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IEDBAFS01\data5000\GEOTECH\Geotech Master Files\Master GI Documents\BOQ\Master BOQ\All Jobs\"/>
    </mc:Choice>
  </mc:AlternateContent>
  <xr:revisionPtr revIDLastSave="0" documentId="13_ncr:1_{38C2E6FA-A6BB-4E1F-A998-3B1AE7BFEACF}" xr6:coauthVersionLast="47" xr6:coauthVersionMax="47" xr10:uidLastSave="{00000000-0000-0000-0000-000000000000}"/>
  <bookViews>
    <workbookView xWindow="2400" yWindow="2410" windowWidth="14400" windowHeight="7510" xr2:uid="{00000000-000D-0000-FFFF-FFFF00000000}"/>
  </bookViews>
  <sheets>
    <sheet name="Boreholes" sheetId="8" r:id="rId1"/>
    <sheet name="Trial Pits" sheetId="5" r:id="rId2"/>
    <sheet name="Trenches" sheetId="6" r:id="rId3"/>
    <sheet name="Inspection pit" sheetId="7" r:id="rId4"/>
    <sheet name="Dynamic Sampling" sheetId="13" r:id="rId5"/>
    <sheet name="Soakaway (BRE)" sheetId="14" r:id="rId6"/>
    <sheet name="DPH" sheetId="10" r:id="rId7"/>
    <sheet name="CPT" sheetId="11" r:id="rId8"/>
    <sheet name="Lab Schedules" sheetId="1" r:id="rId9"/>
    <sheet name="TESTS" sheetId="12" r:id="rId10"/>
    <sheet name="Calculator" sheetId="2" r:id="rId11"/>
  </sheets>
  <definedNames>
    <definedName name="_xlnm._FilterDatabase" localSheetId="8" hidden="1">'Lab Schedules'!$B$3:$D$59</definedName>
    <definedName name="cellx">#REF!</definedName>
    <definedName name="TOTAL_A">#REF!</definedName>
    <definedName name="TOTAL_B">#REF!</definedName>
    <definedName name="TOTAL_C">#REF!</definedName>
    <definedName name="TOTAL_D">#REF!</definedName>
    <definedName name="TOTAL_E">#REF!</definedName>
    <definedName name="TOTAL_F">#REF!</definedName>
    <definedName name="TOTAL_G">#REF!</definedName>
    <definedName name="TOTAL_H">#REF!</definedName>
    <definedName name="TOTAL_I">#REF!</definedName>
    <definedName name="TOTAL_J">#REF!</definedName>
    <definedName name="TOTAL_K">#REF!</definedName>
    <definedName name="TOTAL_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I2" i="5"/>
  <c r="O2" i="5"/>
  <c r="P2" i="5"/>
  <c r="Q2" i="5"/>
  <c r="R2" i="5"/>
  <c r="T2" i="5"/>
  <c r="U2" i="5"/>
  <c r="V2" i="5"/>
  <c r="X2" i="5"/>
  <c r="Y2" i="5"/>
  <c r="AA2" i="5"/>
  <c r="AB2" i="5"/>
  <c r="O21" i="2" l="1"/>
  <c r="AI57" i="8"/>
  <c r="AS57" i="8"/>
  <c r="BC57" i="8"/>
  <c r="BC28" i="8"/>
  <c r="AI28" i="8"/>
  <c r="K91" i="11"/>
  <c r="I91" i="11"/>
  <c r="H91" i="11"/>
  <c r="G91" i="11"/>
  <c r="F91" i="11"/>
  <c r="K90" i="11"/>
  <c r="I90" i="11"/>
  <c r="H90" i="11"/>
  <c r="G90" i="11"/>
  <c r="F90" i="11"/>
  <c r="K89" i="11"/>
  <c r="I89" i="11"/>
  <c r="H89" i="11"/>
  <c r="G89" i="11"/>
  <c r="F89" i="11"/>
  <c r="K88" i="11"/>
  <c r="I88" i="11"/>
  <c r="H88" i="11"/>
  <c r="G88" i="11"/>
  <c r="F88" i="11"/>
  <c r="K87" i="11"/>
  <c r="I87" i="11"/>
  <c r="H87" i="11"/>
  <c r="G87" i="11"/>
  <c r="F87" i="11"/>
  <c r="K86" i="11"/>
  <c r="I86" i="11"/>
  <c r="H86" i="11"/>
  <c r="G86" i="11"/>
  <c r="F86" i="11"/>
  <c r="K85" i="11"/>
  <c r="I85" i="11"/>
  <c r="H85" i="11"/>
  <c r="G85" i="11"/>
  <c r="F85" i="11"/>
  <c r="K84" i="11"/>
  <c r="I84" i="11"/>
  <c r="H84" i="11"/>
  <c r="G84" i="11"/>
  <c r="F84" i="11"/>
  <c r="K83" i="11"/>
  <c r="I83" i="11"/>
  <c r="H83" i="11"/>
  <c r="G83" i="11"/>
  <c r="F83" i="11"/>
  <c r="K82" i="11"/>
  <c r="I82" i="11"/>
  <c r="H82" i="11"/>
  <c r="G82" i="11"/>
  <c r="F82" i="11"/>
  <c r="K81" i="11"/>
  <c r="I81" i="11"/>
  <c r="H81" i="11"/>
  <c r="G81" i="11"/>
  <c r="F81" i="11"/>
  <c r="K80" i="11"/>
  <c r="I80" i="11"/>
  <c r="H80" i="11"/>
  <c r="G80" i="11"/>
  <c r="F80" i="11"/>
  <c r="K79" i="11"/>
  <c r="I79" i="11"/>
  <c r="H79" i="11"/>
  <c r="G79" i="11"/>
  <c r="F79" i="11"/>
  <c r="K78" i="11"/>
  <c r="I78" i="11"/>
  <c r="H78" i="11"/>
  <c r="G78" i="11"/>
  <c r="F78" i="11"/>
  <c r="K77" i="11"/>
  <c r="I77" i="11"/>
  <c r="H77" i="11"/>
  <c r="G77" i="11"/>
  <c r="F77" i="11"/>
  <c r="K76" i="11"/>
  <c r="I76" i="11"/>
  <c r="H76" i="11"/>
  <c r="G76" i="11"/>
  <c r="F76" i="11"/>
  <c r="K75" i="11"/>
  <c r="I75" i="11"/>
  <c r="H75" i="11"/>
  <c r="G75" i="11"/>
  <c r="F75" i="11"/>
  <c r="K74" i="11"/>
  <c r="I74" i="11"/>
  <c r="H74" i="11"/>
  <c r="G74" i="11"/>
  <c r="F74" i="11"/>
  <c r="K73" i="11"/>
  <c r="I73" i="11"/>
  <c r="H73" i="11"/>
  <c r="G73" i="11"/>
  <c r="F73" i="11"/>
  <c r="K72" i="11"/>
  <c r="I72" i="11"/>
  <c r="H72" i="11"/>
  <c r="G72" i="11"/>
  <c r="F72" i="11"/>
  <c r="K71" i="11"/>
  <c r="I71" i="11"/>
  <c r="H71" i="11"/>
  <c r="G71" i="11"/>
  <c r="F71" i="11"/>
  <c r="K70" i="11"/>
  <c r="I70" i="11"/>
  <c r="H70" i="11"/>
  <c r="G70" i="11"/>
  <c r="F70" i="11"/>
  <c r="K69" i="11"/>
  <c r="I69" i="11"/>
  <c r="H69" i="11"/>
  <c r="G69" i="11"/>
  <c r="F69" i="11"/>
  <c r="K68" i="11"/>
  <c r="I68" i="11"/>
  <c r="H68" i="11"/>
  <c r="G68" i="11"/>
  <c r="F68" i="11"/>
  <c r="K67" i="11"/>
  <c r="I67" i="11"/>
  <c r="H67" i="11"/>
  <c r="G67" i="11"/>
  <c r="F67" i="11"/>
  <c r="K66" i="11"/>
  <c r="I66" i="11"/>
  <c r="H66" i="11"/>
  <c r="G66" i="11"/>
  <c r="F66" i="11"/>
  <c r="K65" i="11"/>
  <c r="I65" i="11"/>
  <c r="H65" i="11"/>
  <c r="G65" i="11"/>
  <c r="F65" i="11"/>
  <c r="K64" i="11"/>
  <c r="I64" i="11"/>
  <c r="H64" i="11"/>
  <c r="G64" i="11"/>
  <c r="F64" i="11"/>
  <c r="K63" i="11"/>
  <c r="I63" i="11"/>
  <c r="H63" i="11"/>
  <c r="G63" i="11"/>
  <c r="F63" i="11"/>
  <c r="K62" i="11"/>
  <c r="I62" i="11"/>
  <c r="H62" i="11"/>
  <c r="G62" i="11"/>
  <c r="F62" i="11"/>
  <c r="K61" i="11"/>
  <c r="I61" i="11"/>
  <c r="H61" i="11"/>
  <c r="G61" i="11"/>
  <c r="F61" i="11"/>
  <c r="K60" i="11"/>
  <c r="I60" i="11"/>
  <c r="H60" i="11"/>
  <c r="G60" i="11"/>
  <c r="F60" i="11"/>
  <c r="K59" i="11"/>
  <c r="I59" i="11"/>
  <c r="H59" i="11"/>
  <c r="G59" i="11"/>
  <c r="F59" i="11"/>
  <c r="K58" i="11"/>
  <c r="I58" i="11"/>
  <c r="H58" i="11"/>
  <c r="G58" i="11"/>
  <c r="F58" i="11"/>
  <c r="K57" i="11"/>
  <c r="I57" i="11"/>
  <c r="H57" i="11"/>
  <c r="G57" i="11"/>
  <c r="F57" i="11"/>
  <c r="K56" i="11"/>
  <c r="I56" i="11"/>
  <c r="H56" i="11"/>
  <c r="G56" i="11"/>
  <c r="F56" i="11"/>
  <c r="K55" i="11"/>
  <c r="I55" i="11"/>
  <c r="H55" i="11"/>
  <c r="G55" i="11"/>
  <c r="F55" i="11"/>
  <c r="K54" i="11"/>
  <c r="I54" i="11"/>
  <c r="H54" i="11"/>
  <c r="G54" i="11"/>
  <c r="F54" i="11"/>
  <c r="K53" i="11"/>
  <c r="I53" i="11"/>
  <c r="H53" i="11"/>
  <c r="G53" i="11"/>
  <c r="F53" i="11"/>
  <c r="K52" i="11"/>
  <c r="I52" i="11"/>
  <c r="H52" i="11"/>
  <c r="G52" i="11"/>
  <c r="F52" i="11"/>
  <c r="K51" i="11"/>
  <c r="I51" i="11"/>
  <c r="H51" i="11"/>
  <c r="G51" i="11"/>
  <c r="F51" i="11"/>
  <c r="K50" i="11"/>
  <c r="I50" i="11"/>
  <c r="H50" i="11"/>
  <c r="G50" i="11"/>
  <c r="F50" i="11"/>
  <c r="K49" i="11"/>
  <c r="I49" i="11"/>
  <c r="H49" i="11"/>
  <c r="G49" i="11"/>
  <c r="F49" i="11"/>
  <c r="K48" i="11"/>
  <c r="I48" i="11"/>
  <c r="H48" i="11"/>
  <c r="G48" i="11"/>
  <c r="F48" i="11"/>
  <c r="E48" i="14"/>
  <c r="E49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C20" i="14"/>
  <c r="E19" i="14"/>
  <c r="C19" i="14"/>
  <c r="E18" i="14"/>
  <c r="C18" i="14"/>
  <c r="O53" i="13"/>
  <c r="H53" i="13"/>
  <c r="F53" i="13"/>
  <c r="E53" i="13"/>
  <c r="D53" i="13"/>
  <c r="O52" i="13"/>
  <c r="H52" i="13"/>
  <c r="F52" i="13"/>
  <c r="E52" i="13"/>
  <c r="D52" i="13"/>
  <c r="O51" i="13"/>
  <c r="H51" i="13"/>
  <c r="F51" i="13"/>
  <c r="E51" i="13"/>
  <c r="D51" i="13"/>
  <c r="O50" i="13"/>
  <c r="H50" i="13"/>
  <c r="F50" i="13"/>
  <c r="E50" i="13"/>
  <c r="D50" i="13"/>
  <c r="O49" i="13"/>
  <c r="H49" i="13"/>
  <c r="F49" i="13"/>
  <c r="E49" i="13"/>
  <c r="D49" i="13"/>
  <c r="O48" i="13"/>
  <c r="H48" i="13"/>
  <c r="F48" i="13"/>
  <c r="E48" i="13"/>
  <c r="D48" i="13"/>
  <c r="O47" i="13"/>
  <c r="H47" i="13"/>
  <c r="F47" i="13"/>
  <c r="E47" i="13"/>
  <c r="D47" i="13"/>
  <c r="O46" i="13"/>
  <c r="H46" i="13"/>
  <c r="F46" i="13"/>
  <c r="E46" i="13"/>
  <c r="D46" i="13"/>
  <c r="O45" i="13"/>
  <c r="H45" i="13"/>
  <c r="F45" i="13"/>
  <c r="E45" i="13"/>
  <c r="D45" i="13"/>
  <c r="O44" i="13"/>
  <c r="H44" i="13"/>
  <c r="F44" i="13"/>
  <c r="E44" i="13"/>
  <c r="D44" i="13"/>
  <c r="O43" i="13"/>
  <c r="H43" i="13"/>
  <c r="F43" i="13"/>
  <c r="E43" i="13"/>
  <c r="D43" i="13"/>
  <c r="O42" i="13"/>
  <c r="H42" i="13"/>
  <c r="F42" i="13"/>
  <c r="E42" i="13"/>
  <c r="D42" i="13"/>
  <c r="O41" i="13"/>
  <c r="H41" i="13"/>
  <c r="F41" i="13"/>
  <c r="E41" i="13"/>
  <c r="D41" i="13"/>
  <c r="O40" i="13"/>
  <c r="H40" i="13"/>
  <c r="F40" i="13"/>
  <c r="E40" i="13"/>
  <c r="D40" i="13"/>
  <c r="O39" i="13"/>
  <c r="H39" i="13"/>
  <c r="F39" i="13"/>
  <c r="E39" i="13"/>
  <c r="D39" i="13"/>
  <c r="O38" i="13"/>
  <c r="H38" i="13"/>
  <c r="F38" i="13"/>
  <c r="E38" i="13"/>
  <c r="D38" i="13"/>
  <c r="O37" i="13"/>
  <c r="H37" i="13"/>
  <c r="F37" i="13"/>
  <c r="E37" i="13"/>
  <c r="D37" i="13"/>
  <c r="O36" i="13"/>
  <c r="H36" i="13"/>
  <c r="F36" i="13"/>
  <c r="E36" i="13"/>
  <c r="D36" i="13"/>
  <c r="O35" i="13"/>
  <c r="H35" i="13"/>
  <c r="F35" i="13"/>
  <c r="E35" i="13"/>
  <c r="D35" i="13"/>
  <c r="O34" i="13"/>
  <c r="H34" i="13"/>
  <c r="F34" i="13"/>
  <c r="E34" i="13"/>
  <c r="D34" i="13"/>
  <c r="O33" i="13"/>
  <c r="H33" i="13"/>
  <c r="F33" i="13"/>
  <c r="E33" i="13"/>
  <c r="D33" i="13"/>
  <c r="O32" i="13"/>
  <c r="H32" i="13"/>
  <c r="F32" i="13"/>
  <c r="E32" i="13"/>
  <c r="D32" i="13"/>
  <c r="O31" i="13"/>
  <c r="H31" i="13"/>
  <c r="F31" i="13"/>
  <c r="E31" i="13"/>
  <c r="D31" i="13"/>
  <c r="O30" i="13"/>
  <c r="H30" i="13"/>
  <c r="F30" i="13"/>
  <c r="E30" i="13"/>
  <c r="D30" i="13"/>
  <c r="O29" i="13"/>
  <c r="H29" i="13"/>
  <c r="F29" i="13"/>
  <c r="E29" i="13"/>
  <c r="D29" i="13"/>
  <c r="O28" i="13"/>
  <c r="H28" i="13"/>
  <c r="F28" i="13"/>
  <c r="E28" i="13"/>
  <c r="D28" i="13"/>
  <c r="J53" i="7"/>
  <c r="H53" i="7"/>
  <c r="J52" i="7"/>
  <c r="H52" i="7"/>
  <c r="J51" i="7"/>
  <c r="H51" i="7"/>
  <c r="J50" i="7"/>
  <c r="H50" i="7"/>
  <c r="J49" i="7"/>
  <c r="H49" i="7"/>
  <c r="J48" i="7"/>
  <c r="H48" i="7"/>
  <c r="J47" i="7"/>
  <c r="H47" i="7"/>
  <c r="J46" i="7"/>
  <c r="H46" i="7"/>
  <c r="J45" i="7"/>
  <c r="H45" i="7"/>
  <c r="J44" i="7"/>
  <c r="H44" i="7"/>
  <c r="J43" i="7"/>
  <c r="H43" i="7"/>
  <c r="J42" i="7"/>
  <c r="H42" i="7"/>
  <c r="J41" i="7"/>
  <c r="H41" i="7"/>
  <c r="J40" i="7"/>
  <c r="H40" i="7"/>
  <c r="J39" i="7"/>
  <c r="H39" i="7"/>
  <c r="J38" i="7"/>
  <c r="H38" i="7"/>
  <c r="J37" i="7"/>
  <c r="H37" i="7"/>
  <c r="J36" i="7"/>
  <c r="H36" i="7"/>
  <c r="J35" i="7"/>
  <c r="H35" i="7"/>
  <c r="J34" i="7"/>
  <c r="H34" i="7"/>
  <c r="J33" i="7"/>
  <c r="H33" i="7"/>
  <c r="J32" i="7"/>
  <c r="H32" i="7"/>
  <c r="J31" i="7"/>
  <c r="H31" i="7"/>
  <c r="J30" i="7"/>
  <c r="H30" i="7"/>
  <c r="J29" i="7"/>
  <c r="H29" i="7"/>
  <c r="J28" i="7"/>
  <c r="H28" i="7"/>
  <c r="J64" i="7"/>
  <c r="H64" i="7"/>
  <c r="J63" i="7"/>
  <c r="H63" i="7"/>
  <c r="J62" i="7"/>
  <c r="H62" i="7"/>
  <c r="J61" i="7"/>
  <c r="H61" i="7"/>
  <c r="J60" i="7"/>
  <c r="H60" i="7"/>
  <c r="J59" i="7"/>
  <c r="H59" i="7"/>
  <c r="J58" i="7"/>
  <c r="H58" i="7"/>
  <c r="J57" i="7"/>
  <c r="H57" i="7"/>
  <c r="J56" i="7"/>
  <c r="H56" i="7"/>
  <c r="J55" i="7"/>
  <c r="H55" i="7"/>
  <c r="J54" i="7"/>
  <c r="H54" i="7"/>
  <c r="J27" i="7"/>
  <c r="H27" i="7"/>
  <c r="J26" i="7"/>
  <c r="H26" i="7"/>
  <c r="J25" i="7"/>
  <c r="H25" i="7"/>
  <c r="J24" i="7"/>
  <c r="H24" i="7"/>
  <c r="J23" i="7"/>
  <c r="H23" i="7"/>
  <c r="J22" i="7"/>
  <c r="H22" i="7"/>
  <c r="J21" i="7"/>
  <c r="H21" i="7"/>
  <c r="J20" i="7"/>
  <c r="H20" i="7"/>
  <c r="J19" i="7"/>
  <c r="H19" i="7"/>
  <c r="J18" i="7"/>
  <c r="H18" i="7"/>
  <c r="J17" i="7"/>
  <c r="H17" i="7"/>
  <c r="J16" i="7"/>
  <c r="H16" i="7"/>
  <c r="J15" i="7"/>
  <c r="H15" i="7"/>
  <c r="J14" i="7"/>
  <c r="H14" i="7"/>
  <c r="J13" i="7"/>
  <c r="H13" i="7"/>
  <c r="J12" i="7"/>
  <c r="H12" i="7"/>
  <c r="J11" i="7"/>
  <c r="H11" i="7"/>
  <c r="J10" i="7"/>
  <c r="H10" i="7"/>
  <c r="J9" i="7"/>
  <c r="H9" i="7"/>
  <c r="J8" i="7"/>
  <c r="H8" i="7"/>
  <c r="J7" i="7"/>
  <c r="H7" i="7"/>
  <c r="J6" i="7"/>
  <c r="H6" i="7"/>
  <c r="J5" i="7"/>
  <c r="H5" i="7"/>
  <c r="J4" i="7"/>
  <c r="H4" i="7"/>
  <c r="J3" i="7"/>
  <c r="H3" i="7"/>
  <c r="J2" i="7"/>
  <c r="H2" i="7"/>
  <c r="J91" i="7"/>
  <c r="H91" i="7"/>
  <c r="J90" i="7"/>
  <c r="H90" i="7"/>
  <c r="J89" i="7"/>
  <c r="H89" i="7"/>
  <c r="J88" i="7"/>
  <c r="H88" i="7"/>
  <c r="J87" i="7"/>
  <c r="H87" i="7"/>
  <c r="J86" i="7"/>
  <c r="H86" i="7"/>
  <c r="J85" i="7"/>
  <c r="H85" i="7"/>
  <c r="J84" i="7"/>
  <c r="H84" i="7"/>
  <c r="J83" i="7"/>
  <c r="H83" i="7"/>
  <c r="J82" i="7"/>
  <c r="H82" i="7"/>
  <c r="J81" i="7"/>
  <c r="H81" i="7"/>
  <c r="J80" i="7"/>
  <c r="H80" i="7"/>
  <c r="J79" i="7"/>
  <c r="H79" i="7"/>
  <c r="J78" i="7"/>
  <c r="H78" i="7"/>
  <c r="J77" i="7"/>
  <c r="H77" i="7"/>
  <c r="J76" i="7"/>
  <c r="H76" i="7"/>
  <c r="J75" i="7"/>
  <c r="H75" i="7"/>
  <c r="J74" i="7"/>
  <c r="H74" i="7"/>
  <c r="AJ88" i="6"/>
  <c r="AI88" i="6"/>
  <c r="AH88" i="6"/>
  <c r="AG88" i="6"/>
  <c r="AC88" i="6"/>
  <c r="AE88" i="6" s="1"/>
  <c r="AB88" i="6"/>
  <c r="AD88" i="6" s="1"/>
  <c r="W88" i="6"/>
  <c r="V88" i="6"/>
  <c r="U88" i="6"/>
  <c r="R88" i="6"/>
  <c r="T88" i="6" s="1"/>
  <c r="Q88" i="6"/>
  <c r="S88" i="6" s="1"/>
  <c r="K88" i="6"/>
  <c r="AJ87" i="6"/>
  <c r="AI87" i="6"/>
  <c r="AH87" i="6"/>
  <c r="AG87" i="6"/>
  <c r="AD87" i="6"/>
  <c r="AC87" i="6"/>
  <c r="AE87" i="6" s="1"/>
  <c r="AB87" i="6"/>
  <c r="W87" i="6"/>
  <c r="V87" i="6"/>
  <c r="U87" i="6"/>
  <c r="R87" i="6"/>
  <c r="T87" i="6" s="1"/>
  <c r="Q87" i="6"/>
  <c r="S87" i="6" s="1"/>
  <c r="K87" i="6"/>
  <c r="AJ86" i="6"/>
  <c r="AI86" i="6"/>
  <c r="AH86" i="6"/>
  <c r="AG86" i="6"/>
  <c r="AD86" i="6"/>
  <c r="AC86" i="6"/>
  <c r="AE86" i="6" s="1"/>
  <c r="AB86" i="6"/>
  <c r="W86" i="6"/>
  <c r="V86" i="6"/>
  <c r="U86" i="6"/>
  <c r="R86" i="6"/>
  <c r="T86" i="6" s="1"/>
  <c r="Q86" i="6"/>
  <c r="S86" i="6" s="1"/>
  <c r="K86" i="6"/>
  <c r="AJ85" i="6"/>
  <c r="AI85" i="6"/>
  <c r="AH85" i="6"/>
  <c r="AG85" i="6"/>
  <c r="AD85" i="6"/>
  <c r="AC85" i="6"/>
  <c r="AE85" i="6" s="1"/>
  <c r="AB85" i="6"/>
  <c r="W85" i="6"/>
  <c r="V85" i="6"/>
  <c r="U85" i="6"/>
  <c r="R85" i="6"/>
  <c r="T85" i="6" s="1"/>
  <c r="Q85" i="6"/>
  <c r="S85" i="6" s="1"/>
  <c r="K85" i="6"/>
  <c r="AJ84" i="6"/>
  <c r="AI84" i="6"/>
  <c r="AH84" i="6"/>
  <c r="AG84" i="6"/>
  <c r="AC84" i="6"/>
  <c r="AE84" i="6" s="1"/>
  <c r="AB84" i="6"/>
  <c r="AD84" i="6" s="1"/>
  <c r="W84" i="6"/>
  <c r="V84" i="6"/>
  <c r="U84" i="6"/>
  <c r="R84" i="6"/>
  <c r="T84" i="6" s="1"/>
  <c r="Q84" i="6"/>
  <c r="S84" i="6" s="1"/>
  <c r="K84" i="6"/>
  <c r="AJ83" i="6"/>
  <c r="AI83" i="6"/>
  <c r="AH83" i="6"/>
  <c r="AG83" i="6"/>
  <c r="AC83" i="6"/>
  <c r="AE83" i="6" s="1"/>
  <c r="AB83" i="6"/>
  <c r="AD83" i="6" s="1"/>
  <c r="W83" i="6"/>
  <c r="V83" i="6"/>
  <c r="U83" i="6"/>
  <c r="R83" i="6"/>
  <c r="T83" i="6" s="1"/>
  <c r="Q83" i="6"/>
  <c r="S83" i="6" s="1"/>
  <c r="K83" i="6"/>
  <c r="AJ82" i="6"/>
  <c r="AI82" i="6"/>
  <c r="AH82" i="6"/>
  <c r="AG82" i="6"/>
  <c r="AD82" i="6"/>
  <c r="AC82" i="6"/>
  <c r="AE82" i="6" s="1"/>
  <c r="AB82" i="6"/>
  <c r="W82" i="6"/>
  <c r="V82" i="6"/>
  <c r="U82" i="6"/>
  <c r="R82" i="6"/>
  <c r="T82" i="6" s="1"/>
  <c r="Q82" i="6"/>
  <c r="S82" i="6" s="1"/>
  <c r="K82" i="6"/>
  <c r="AJ81" i="6"/>
  <c r="AI81" i="6"/>
  <c r="AH81" i="6"/>
  <c r="AG81" i="6"/>
  <c r="AD81" i="6"/>
  <c r="AC81" i="6"/>
  <c r="AE81" i="6" s="1"/>
  <c r="AB81" i="6"/>
  <c r="W81" i="6"/>
  <c r="V81" i="6"/>
  <c r="U81" i="6"/>
  <c r="R81" i="6"/>
  <c r="T81" i="6" s="1"/>
  <c r="Q81" i="6"/>
  <c r="S81" i="6" s="1"/>
  <c r="K81" i="6"/>
  <c r="AJ80" i="6"/>
  <c r="AI80" i="6"/>
  <c r="AH80" i="6"/>
  <c r="AG80" i="6"/>
  <c r="AD80" i="6"/>
  <c r="AC80" i="6"/>
  <c r="AE80" i="6" s="1"/>
  <c r="AB80" i="6"/>
  <c r="W80" i="6"/>
  <c r="V80" i="6"/>
  <c r="U80" i="6"/>
  <c r="R80" i="6"/>
  <c r="T80" i="6" s="1"/>
  <c r="Q80" i="6"/>
  <c r="S80" i="6" s="1"/>
  <c r="K80" i="6"/>
  <c r="AJ79" i="6"/>
  <c r="AI79" i="6"/>
  <c r="AH79" i="6"/>
  <c r="AG79" i="6"/>
  <c r="AC79" i="6"/>
  <c r="AE79" i="6" s="1"/>
  <c r="AB79" i="6"/>
  <c r="AD79" i="6" s="1"/>
  <c r="W79" i="6"/>
  <c r="V79" i="6"/>
  <c r="U79" i="6"/>
  <c r="R79" i="6"/>
  <c r="T79" i="6" s="1"/>
  <c r="Q79" i="6"/>
  <c r="S79" i="6" s="1"/>
  <c r="K79" i="6"/>
  <c r="AJ78" i="6"/>
  <c r="AI78" i="6"/>
  <c r="AH78" i="6"/>
  <c r="AG78" i="6"/>
  <c r="AC78" i="6"/>
  <c r="AE78" i="6" s="1"/>
  <c r="AB78" i="6"/>
  <c r="AD78" i="6" s="1"/>
  <c r="W78" i="6"/>
  <c r="V78" i="6"/>
  <c r="U78" i="6"/>
  <c r="R78" i="6"/>
  <c r="T78" i="6" s="1"/>
  <c r="Q78" i="6"/>
  <c r="S78" i="6" s="1"/>
  <c r="K78" i="6"/>
  <c r="AJ77" i="6"/>
  <c r="AI77" i="6"/>
  <c r="AH77" i="6"/>
  <c r="AG77" i="6"/>
  <c r="AD77" i="6"/>
  <c r="AC77" i="6"/>
  <c r="AE77" i="6" s="1"/>
  <c r="AB77" i="6"/>
  <c r="W77" i="6"/>
  <c r="V77" i="6"/>
  <c r="U77" i="6"/>
  <c r="R77" i="6"/>
  <c r="T77" i="6" s="1"/>
  <c r="Q77" i="6"/>
  <c r="S77" i="6" s="1"/>
  <c r="K77" i="6"/>
  <c r="AJ76" i="6"/>
  <c r="AI76" i="6"/>
  <c r="AH76" i="6"/>
  <c r="AG76" i="6"/>
  <c r="AC76" i="6"/>
  <c r="AE76" i="6" s="1"/>
  <c r="AB76" i="6"/>
  <c r="AD76" i="6" s="1"/>
  <c r="W76" i="6"/>
  <c r="V76" i="6"/>
  <c r="U76" i="6"/>
  <c r="R76" i="6"/>
  <c r="T76" i="6" s="1"/>
  <c r="Q76" i="6"/>
  <c r="S76" i="6" s="1"/>
  <c r="K76" i="6"/>
  <c r="AJ75" i="6"/>
  <c r="AI75" i="6"/>
  <c r="AH75" i="6"/>
  <c r="AG75" i="6"/>
  <c r="AC75" i="6"/>
  <c r="AE75" i="6" s="1"/>
  <c r="AB75" i="6"/>
  <c r="AD75" i="6" s="1"/>
  <c r="W75" i="6"/>
  <c r="V75" i="6"/>
  <c r="U75" i="6"/>
  <c r="R75" i="6"/>
  <c r="T75" i="6" s="1"/>
  <c r="Q75" i="6"/>
  <c r="S75" i="6" s="1"/>
  <c r="K75" i="6"/>
  <c r="AJ74" i="6"/>
  <c r="AI74" i="6"/>
  <c r="AH74" i="6"/>
  <c r="AG74" i="6"/>
  <c r="AD74" i="6"/>
  <c r="AC74" i="6"/>
  <c r="AE74" i="6" s="1"/>
  <c r="AB74" i="6"/>
  <c r="W74" i="6"/>
  <c r="V74" i="6"/>
  <c r="U74" i="6"/>
  <c r="R74" i="6"/>
  <c r="T74" i="6" s="1"/>
  <c r="Q74" i="6"/>
  <c r="S74" i="6" s="1"/>
  <c r="K74" i="6"/>
  <c r="AJ73" i="6"/>
  <c r="AI73" i="6"/>
  <c r="AH73" i="6"/>
  <c r="AG73" i="6"/>
  <c r="AC73" i="6"/>
  <c r="AE73" i="6" s="1"/>
  <c r="AB73" i="6"/>
  <c r="AD73" i="6" s="1"/>
  <c r="W73" i="6"/>
  <c r="V73" i="6"/>
  <c r="U73" i="6"/>
  <c r="R73" i="6"/>
  <c r="T73" i="6" s="1"/>
  <c r="Q73" i="6"/>
  <c r="S73" i="6" s="1"/>
  <c r="K73" i="6"/>
  <c r="AJ72" i="6"/>
  <c r="AI72" i="6"/>
  <c r="AH72" i="6"/>
  <c r="AG72" i="6"/>
  <c r="AD72" i="6"/>
  <c r="AC72" i="6"/>
  <c r="AE72" i="6" s="1"/>
  <c r="AB72" i="6"/>
  <c r="W72" i="6"/>
  <c r="V72" i="6"/>
  <c r="U72" i="6"/>
  <c r="R72" i="6"/>
  <c r="T72" i="6" s="1"/>
  <c r="Q72" i="6"/>
  <c r="S72" i="6" s="1"/>
  <c r="K72" i="6"/>
  <c r="AJ71" i="6"/>
  <c r="AI71" i="6"/>
  <c r="AH71" i="6"/>
  <c r="AG71" i="6"/>
  <c r="AC71" i="6"/>
  <c r="AE71" i="6" s="1"/>
  <c r="AB71" i="6"/>
  <c r="AD71" i="6" s="1"/>
  <c r="W71" i="6"/>
  <c r="V71" i="6"/>
  <c r="U71" i="6"/>
  <c r="R71" i="6"/>
  <c r="T71" i="6" s="1"/>
  <c r="Q71" i="6"/>
  <c r="S71" i="6" s="1"/>
  <c r="K71" i="6"/>
  <c r="AJ70" i="6"/>
  <c r="AI70" i="6"/>
  <c r="AH70" i="6"/>
  <c r="AG70" i="6"/>
  <c r="AD70" i="6"/>
  <c r="AC70" i="6"/>
  <c r="AE70" i="6" s="1"/>
  <c r="AB70" i="6"/>
  <c r="W70" i="6"/>
  <c r="V70" i="6"/>
  <c r="U70" i="6"/>
  <c r="R70" i="6"/>
  <c r="T70" i="6" s="1"/>
  <c r="Q70" i="6"/>
  <c r="S70" i="6" s="1"/>
  <c r="K70" i="6"/>
  <c r="AJ69" i="6"/>
  <c r="AI69" i="6"/>
  <c r="AH69" i="6"/>
  <c r="AG69" i="6"/>
  <c r="AD69" i="6"/>
  <c r="AC69" i="6"/>
  <c r="AE69" i="6" s="1"/>
  <c r="AB69" i="6"/>
  <c r="W69" i="6"/>
  <c r="V69" i="6"/>
  <c r="U69" i="6"/>
  <c r="R69" i="6"/>
  <c r="T69" i="6" s="1"/>
  <c r="Q69" i="6"/>
  <c r="S69" i="6" s="1"/>
  <c r="K69" i="6"/>
  <c r="AJ68" i="6"/>
  <c r="AI68" i="6"/>
  <c r="AH68" i="6"/>
  <c r="AG68" i="6"/>
  <c r="AC68" i="6"/>
  <c r="AE68" i="6" s="1"/>
  <c r="AB68" i="6"/>
  <c r="AD68" i="6" s="1"/>
  <c r="W68" i="6"/>
  <c r="V68" i="6"/>
  <c r="U68" i="6"/>
  <c r="R68" i="6"/>
  <c r="T68" i="6" s="1"/>
  <c r="Q68" i="6"/>
  <c r="S68" i="6" s="1"/>
  <c r="K68" i="6"/>
  <c r="AJ67" i="6"/>
  <c r="AI67" i="6"/>
  <c r="AH67" i="6"/>
  <c r="AG67" i="6"/>
  <c r="AC67" i="6"/>
  <c r="AE67" i="6" s="1"/>
  <c r="AB67" i="6"/>
  <c r="AD67" i="6" s="1"/>
  <c r="W67" i="6"/>
  <c r="V67" i="6"/>
  <c r="U67" i="6"/>
  <c r="R67" i="6"/>
  <c r="T67" i="6" s="1"/>
  <c r="Q67" i="6"/>
  <c r="S67" i="6" s="1"/>
  <c r="K67" i="6"/>
  <c r="AJ66" i="6"/>
  <c r="AI66" i="6"/>
  <c r="AH66" i="6"/>
  <c r="AG66" i="6"/>
  <c r="AC66" i="6"/>
  <c r="AE66" i="6" s="1"/>
  <c r="AB66" i="6"/>
  <c r="AD66" i="6" s="1"/>
  <c r="W66" i="6"/>
  <c r="V66" i="6"/>
  <c r="U66" i="6"/>
  <c r="R66" i="6"/>
  <c r="T66" i="6" s="1"/>
  <c r="Q66" i="6"/>
  <c r="S66" i="6" s="1"/>
  <c r="K66" i="6"/>
  <c r="AJ65" i="6"/>
  <c r="AI65" i="6"/>
  <c r="AH65" i="6"/>
  <c r="AG65" i="6"/>
  <c r="AC65" i="6"/>
  <c r="AE65" i="6" s="1"/>
  <c r="AB65" i="6"/>
  <c r="AD65" i="6" s="1"/>
  <c r="W65" i="6"/>
  <c r="V65" i="6"/>
  <c r="U65" i="6"/>
  <c r="R65" i="6"/>
  <c r="T65" i="6" s="1"/>
  <c r="Q65" i="6"/>
  <c r="S65" i="6" s="1"/>
  <c r="K65" i="6"/>
  <c r="AJ64" i="6"/>
  <c r="AI64" i="6"/>
  <c r="AH64" i="6"/>
  <c r="AG64" i="6"/>
  <c r="AD64" i="6"/>
  <c r="AC64" i="6"/>
  <c r="AE64" i="6" s="1"/>
  <c r="AB64" i="6"/>
  <c r="W64" i="6"/>
  <c r="V64" i="6"/>
  <c r="U64" i="6"/>
  <c r="R64" i="6"/>
  <c r="T64" i="6" s="1"/>
  <c r="Q64" i="6"/>
  <c r="S64" i="6" s="1"/>
  <c r="K64" i="6"/>
  <c r="AJ63" i="6"/>
  <c r="AI63" i="6"/>
  <c r="AH63" i="6"/>
  <c r="AG63" i="6"/>
  <c r="AC63" i="6"/>
  <c r="AE63" i="6" s="1"/>
  <c r="AB63" i="6"/>
  <c r="AD63" i="6" s="1"/>
  <c r="W63" i="6"/>
  <c r="V63" i="6"/>
  <c r="U63" i="6"/>
  <c r="R63" i="6"/>
  <c r="T63" i="6" s="1"/>
  <c r="Q63" i="6"/>
  <c r="S63" i="6" s="1"/>
  <c r="K63" i="6"/>
  <c r="AJ62" i="6"/>
  <c r="AI62" i="6"/>
  <c r="AH62" i="6"/>
  <c r="AG62" i="6"/>
  <c r="AC62" i="6"/>
  <c r="AE62" i="6" s="1"/>
  <c r="AB62" i="6"/>
  <c r="AD62" i="6" s="1"/>
  <c r="W62" i="6"/>
  <c r="V62" i="6"/>
  <c r="U62" i="6"/>
  <c r="R62" i="6"/>
  <c r="T62" i="6" s="1"/>
  <c r="Q62" i="6"/>
  <c r="S62" i="6" s="1"/>
  <c r="K62" i="6"/>
  <c r="AJ61" i="6"/>
  <c r="AI61" i="6"/>
  <c r="AH61" i="6"/>
  <c r="AG61" i="6"/>
  <c r="AC61" i="6"/>
  <c r="AE61" i="6" s="1"/>
  <c r="AB61" i="6"/>
  <c r="AD61" i="6" s="1"/>
  <c r="W61" i="6"/>
  <c r="V61" i="6"/>
  <c r="U61" i="6"/>
  <c r="R61" i="6"/>
  <c r="T61" i="6" s="1"/>
  <c r="Q61" i="6"/>
  <c r="S61" i="6" s="1"/>
  <c r="K61" i="6"/>
  <c r="AJ60" i="6"/>
  <c r="AI60" i="6"/>
  <c r="AH60" i="6"/>
  <c r="AG60" i="6"/>
  <c r="AD60" i="6"/>
  <c r="AC60" i="6"/>
  <c r="AE60" i="6" s="1"/>
  <c r="AB60" i="6"/>
  <c r="W60" i="6"/>
  <c r="V60" i="6"/>
  <c r="U60" i="6"/>
  <c r="R60" i="6"/>
  <c r="T60" i="6" s="1"/>
  <c r="Q60" i="6"/>
  <c r="S60" i="6" s="1"/>
  <c r="K60" i="6"/>
  <c r="AJ59" i="6"/>
  <c r="AI59" i="6"/>
  <c r="AH59" i="6"/>
  <c r="AG59" i="6"/>
  <c r="AD59" i="6"/>
  <c r="AC59" i="6"/>
  <c r="AE59" i="6" s="1"/>
  <c r="AB59" i="6"/>
  <c r="W59" i="6"/>
  <c r="V59" i="6"/>
  <c r="U59" i="6"/>
  <c r="R59" i="6"/>
  <c r="T59" i="6" s="1"/>
  <c r="Q59" i="6"/>
  <c r="S59" i="6" s="1"/>
  <c r="K59" i="6"/>
  <c r="AJ58" i="6"/>
  <c r="AI58" i="6"/>
  <c r="AH58" i="6"/>
  <c r="AG58" i="6"/>
  <c r="AC58" i="6"/>
  <c r="AE58" i="6" s="1"/>
  <c r="AB58" i="6"/>
  <c r="AD58" i="6" s="1"/>
  <c r="W58" i="6"/>
  <c r="V58" i="6"/>
  <c r="U58" i="6"/>
  <c r="R58" i="6"/>
  <c r="T58" i="6" s="1"/>
  <c r="Q58" i="6"/>
  <c r="S58" i="6" s="1"/>
  <c r="K58" i="6"/>
  <c r="AJ57" i="6"/>
  <c r="AI57" i="6"/>
  <c r="AH57" i="6"/>
  <c r="AG57" i="6"/>
  <c r="AD57" i="6"/>
  <c r="AC57" i="6"/>
  <c r="AE57" i="6" s="1"/>
  <c r="AB57" i="6"/>
  <c r="W57" i="6"/>
  <c r="V57" i="6"/>
  <c r="U57" i="6"/>
  <c r="R57" i="6"/>
  <c r="T57" i="6" s="1"/>
  <c r="Q57" i="6"/>
  <c r="S57" i="6" s="1"/>
  <c r="K57" i="6"/>
  <c r="AJ56" i="6"/>
  <c r="AI56" i="6"/>
  <c r="AH56" i="6"/>
  <c r="AG56" i="6"/>
  <c r="AD56" i="6"/>
  <c r="AC56" i="6"/>
  <c r="AE56" i="6" s="1"/>
  <c r="AB56" i="6"/>
  <c r="W56" i="6"/>
  <c r="V56" i="6"/>
  <c r="U56" i="6"/>
  <c r="R56" i="6"/>
  <c r="T56" i="6" s="1"/>
  <c r="Q56" i="6"/>
  <c r="S56" i="6" s="1"/>
  <c r="K56" i="6"/>
  <c r="AJ55" i="6"/>
  <c r="AI55" i="6"/>
  <c r="AH55" i="6"/>
  <c r="AG55" i="6"/>
  <c r="AC55" i="6"/>
  <c r="AE55" i="6" s="1"/>
  <c r="AB55" i="6"/>
  <c r="AD55" i="6" s="1"/>
  <c r="W55" i="6"/>
  <c r="V55" i="6"/>
  <c r="U55" i="6"/>
  <c r="R55" i="6"/>
  <c r="T55" i="6" s="1"/>
  <c r="Q55" i="6"/>
  <c r="S55" i="6" s="1"/>
  <c r="K55" i="6"/>
  <c r="AJ54" i="6"/>
  <c r="AI54" i="6"/>
  <c r="AH54" i="6"/>
  <c r="AG54" i="6"/>
  <c r="AD54" i="6"/>
  <c r="AC54" i="6"/>
  <c r="AE54" i="6" s="1"/>
  <c r="AB54" i="6"/>
  <c r="W54" i="6"/>
  <c r="V54" i="6"/>
  <c r="U54" i="6"/>
  <c r="R54" i="6"/>
  <c r="T54" i="6" s="1"/>
  <c r="Q54" i="6"/>
  <c r="S54" i="6" s="1"/>
  <c r="K54" i="6"/>
  <c r="AJ53" i="6"/>
  <c r="AI53" i="6"/>
  <c r="AH53" i="6"/>
  <c r="AG53" i="6"/>
  <c r="AC53" i="6"/>
  <c r="AE53" i="6" s="1"/>
  <c r="AB53" i="6"/>
  <c r="AD53" i="6" s="1"/>
  <c r="W53" i="6"/>
  <c r="V53" i="6"/>
  <c r="U53" i="6"/>
  <c r="R53" i="6"/>
  <c r="T53" i="6" s="1"/>
  <c r="Q53" i="6"/>
  <c r="S53" i="6" s="1"/>
  <c r="K53" i="6"/>
  <c r="AJ52" i="6"/>
  <c r="AI52" i="6"/>
  <c r="AH52" i="6"/>
  <c r="AG52" i="6"/>
  <c r="AD52" i="6"/>
  <c r="AC52" i="6"/>
  <c r="AE52" i="6" s="1"/>
  <c r="AB52" i="6"/>
  <c r="W52" i="6"/>
  <c r="V52" i="6"/>
  <c r="U52" i="6"/>
  <c r="R52" i="6"/>
  <c r="T52" i="6" s="1"/>
  <c r="Q52" i="6"/>
  <c r="S52" i="6" s="1"/>
  <c r="K52" i="6"/>
  <c r="AJ51" i="6"/>
  <c r="AI51" i="6"/>
  <c r="AH51" i="6"/>
  <c r="AG51" i="6"/>
  <c r="AD51" i="6"/>
  <c r="AC51" i="6"/>
  <c r="AE51" i="6" s="1"/>
  <c r="AB51" i="6"/>
  <c r="W51" i="6"/>
  <c r="V51" i="6"/>
  <c r="U51" i="6"/>
  <c r="R51" i="6"/>
  <c r="T51" i="6" s="1"/>
  <c r="Q51" i="6"/>
  <c r="S51" i="6" s="1"/>
  <c r="K51" i="6"/>
  <c r="AJ50" i="6"/>
  <c r="AI50" i="6"/>
  <c r="AH50" i="6"/>
  <c r="AG50" i="6"/>
  <c r="AC50" i="6"/>
  <c r="AE50" i="6" s="1"/>
  <c r="AB50" i="6"/>
  <c r="AD50" i="6" s="1"/>
  <c r="W50" i="6"/>
  <c r="V50" i="6"/>
  <c r="U50" i="6"/>
  <c r="R50" i="6"/>
  <c r="T50" i="6" s="1"/>
  <c r="Q50" i="6"/>
  <c r="S50" i="6" s="1"/>
  <c r="K50" i="6"/>
  <c r="AJ49" i="6"/>
  <c r="AI49" i="6"/>
  <c r="AH49" i="6"/>
  <c r="AG49" i="6"/>
  <c r="AD49" i="6"/>
  <c r="AC49" i="6"/>
  <c r="AE49" i="6" s="1"/>
  <c r="AB49" i="6"/>
  <c r="W49" i="6"/>
  <c r="V49" i="6"/>
  <c r="U49" i="6"/>
  <c r="R49" i="6"/>
  <c r="T49" i="6" s="1"/>
  <c r="Q49" i="6"/>
  <c r="S49" i="6" s="1"/>
  <c r="K49" i="6"/>
  <c r="AJ48" i="6"/>
  <c r="AI48" i="6"/>
  <c r="AH48" i="6"/>
  <c r="AG48" i="6"/>
  <c r="AC48" i="6"/>
  <c r="AE48" i="6" s="1"/>
  <c r="AB48" i="6"/>
  <c r="AD48" i="6" s="1"/>
  <c r="W48" i="6"/>
  <c r="V48" i="6"/>
  <c r="U48" i="6"/>
  <c r="R48" i="6"/>
  <c r="T48" i="6" s="1"/>
  <c r="Q48" i="6"/>
  <c r="S48" i="6" s="1"/>
  <c r="K48" i="6"/>
  <c r="AJ47" i="6"/>
  <c r="AI47" i="6"/>
  <c r="AH47" i="6"/>
  <c r="AG47" i="6"/>
  <c r="AC47" i="6"/>
  <c r="AE47" i="6" s="1"/>
  <c r="AB47" i="6"/>
  <c r="AD47" i="6" s="1"/>
  <c r="W47" i="6"/>
  <c r="V47" i="6"/>
  <c r="U47" i="6"/>
  <c r="R47" i="6"/>
  <c r="T47" i="6" s="1"/>
  <c r="Q47" i="6"/>
  <c r="S47" i="6" s="1"/>
  <c r="K47" i="6"/>
  <c r="AJ90" i="6"/>
  <c r="AI90" i="6"/>
  <c r="AH90" i="6"/>
  <c r="AG90" i="6"/>
  <c r="AC90" i="6"/>
  <c r="AE90" i="6" s="1"/>
  <c r="AB90" i="6"/>
  <c r="AD90" i="6" s="1"/>
  <c r="W90" i="6"/>
  <c r="V90" i="6"/>
  <c r="U90" i="6"/>
  <c r="R90" i="6"/>
  <c r="T90" i="6" s="1"/>
  <c r="Q90" i="6"/>
  <c r="S90" i="6" s="1"/>
  <c r="K90" i="6"/>
  <c r="AJ89" i="6"/>
  <c r="AI89" i="6"/>
  <c r="AH89" i="6"/>
  <c r="AG89" i="6"/>
  <c r="AC89" i="6"/>
  <c r="AE89" i="6" s="1"/>
  <c r="AB89" i="6"/>
  <c r="AD89" i="6" s="1"/>
  <c r="W89" i="6"/>
  <c r="V89" i="6"/>
  <c r="U89" i="6"/>
  <c r="R89" i="6"/>
  <c r="T89" i="6" s="1"/>
  <c r="Q89" i="6"/>
  <c r="S89" i="6" s="1"/>
  <c r="K89" i="6"/>
  <c r="AJ46" i="6"/>
  <c r="AI46" i="6"/>
  <c r="AH46" i="6"/>
  <c r="AG46" i="6"/>
  <c r="AC46" i="6"/>
  <c r="AE46" i="6" s="1"/>
  <c r="AB46" i="6"/>
  <c r="AD46" i="6" s="1"/>
  <c r="W46" i="6"/>
  <c r="V46" i="6"/>
  <c r="U46" i="6"/>
  <c r="R46" i="6"/>
  <c r="T46" i="6" s="1"/>
  <c r="Q46" i="6"/>
  <c r="S46" i="6" s="1"/>
  <c r="K46" i="6"/>
  <c r="AJ45" i="6"/>
  <c r="AI45" i="6"/>
  <c r="AH45" i="6"/>
  <c r="AG45" i="6"/>
  <c r="AC45" i="6"/>
  <c r="AE45" i="6" s="1"/>
  <c r="AB45" i="6"/>
  <c r="AD45" i="6" s="1"/>
  <c r="W45" i="6"/>
  <c r="V45" i="6"/>
  <c r="U45" i="6"/>
  <c r="R45" i="6"/>
  <c r="T45" i="6" s="1"/>
  <c r="Q45" i="6"/>
  <c r="S45" i="6" s="1"/>
  <c r="K45" i="6"/>
  <c r="AJ44" i="6"/>
  <c r="AI44" i="6"/>
  <c r="AH44" i="6"/>
  <c r="AG44" i="6"/>
  <c r="AD44" i="6"/>
  <c r="AC44" i="6"/>
  <c r="AE44" i="6" s="1"/>
  <c r="AB44" i="6"/>
  <c r="W44" i="6"/>
  <c r="V44" i="6"/>
  <c r="U44" i="6"/>
  <c r="R44" i="6"/>
  <c r="T44" i="6" s="1"/>
  <c r="Q44" i="6"/>
  <c r="S44" i="6" s="1"/>
  <c r="K44" i="6"/>
  <c r="AJ43" i="6"/>
  <c r="AI43" i="6"/>
  <c r="AH43" i="6"/>
  <c r="AG43" i="6"/>
  <c r="AC43" i="6"/>
  <c r="AE43" i="6" s="1"/>
  <c r="AB43" i="6"/>
  <c r="AD43" i="6" s="1"/>
  <c r="W43" i="6"/>
  <c r="V43" i="6"/>
  <c r="U43" i="6"/>
  <c r="R43" i="6"/>
  <c r="T43" i="6" s="1"/>
  <c r="Q43" i="6"/>
  <c r="S43" i="6" s="1"/>
  <c r="K43" i="6"/>
  <c r="AJ42" i="6"/>
  <c r="AI42" i="6"/>
  <c r="AH42" i="6"/>
  <c r="AG42" i="6"/>
  <c r="AC42" i="6"/>
  <c r="AE42" i="6" s="1"/>
  <c r="AB42" i="6"/>
  <c r="AD42" i="6" s="1"/>
  <c r="W42" i="6"/>
  <c r="V42" i="6"/>
  <c r="U42" i="6"/>
  <c r="R42" i="6"/>
  <c r="T42" i="6" s="1"/>
  <c r="Q42" i="6"/>
  <c r="S42" i="6" s="1"/>
  <c r="K42" i="6"/>
  <c r="AJ41" i="6"/>
  <c r="AI41" i="6"/>
  <c r="AH41" i="6"/>
  <c r="AG41" i="6"/>
  <c r="AD41" i="6"/>
  <c r="AC41" i="6"/>
  <c r="AE41" i="6" s="1"/>
  <c r="AB41" i="6"/>
  <c r="W41" i="6"/>
  <c r="V41" i="6"/>
  <c r="U41" i="6"/>
  <c r="R41" i="6"/>
  <c r="T41" i="6" s="1"/>
  <c r="Q41" i="6"/>
  <c r="S41" i="6" s="1"/>
  <c r="K41" i="6"/>
  <c r="AJ40" i="6"/>
  <c r="AI40" i="6"/>
  <c r="AH40" i="6"/>
  <c r="AG40" i="6"/>
  <c r="AC40" i="6"/>
  <c r="AE40" i="6" s="1"/>
  <c r="AB40" i="6"/>
  <c r="AD40" i="6" s="1"/>
  <c r="W40" i="6"/>
  <c r="V40" i="6"/>
  <c r="U40" i="6"/>
  <c r="R40" i="6"/>
  <c r="T40" i="6" s="1"/>
  <c r="Q40" i="6"/>
  <c r="S40" i="6" s="1"/>
  <c r="K40" i="6"/>
  <c r="AJ39" i="6"/>
  <c r="AI39" i="6"/>
  <c r="AH39" i="6"/>
  <c r="AG39" i="6"/>
  <c r="AC39" i="6"/>
  <c r="AE39" i="6" s="1"/>
  <c r="AB39" i="6"/>
  <c r="AD39" i="6" s="1"/>
  <c r="W39" i="6"/>
  <c r="V39" i="6"/>
  <c r="U39" i="6"/>
  <c r="R39" i="6"/>
  <c r="T39" i="6" s="1"/>
  <c r="Q39" i="6"/>
  <c r="S39" i="6" s="1"/>
  <c r="K39" i="6"/>
  <c r="AJ38" i="6"/>
  <c r="AI38" i="6"/>
  <c r="AH38" i="6"/>
  <c r="AG38" i="6"/>
  <c r="AC38" i="6"/>
  <c r="AE38" i="6" s="1"/>
  <c r="AB38" i="6"/>
  <c r="AD38" i="6" s="1"/>
  <c r="W38" i="6"/>
  <c r="V38" i="6"/>
  <c r="U38" i="6"/>
  <c r="R38" i="6"/>
  <c r="T38" i="6" s="1"/>
  <c r="Q38" i="6"/>
  <c r="S38" i="6" s="1"/>
  <c r="K38" i="6"/>
  <c r="AJ37" i="6"/>
  <c r="AI37" i="6"/>
  <c r="AH37" i="6"/>
  <c r="AG37" i="6"/>
  <c r="AC37" i="6"/>
  <c r="AE37" i="6" s="1"/>
  <c r="AB37" i="6"/>
  <c r="AD37" i="6" s="1"/>
  <c r="W37" i="6"/>
  <c r="V37" i="6"/>
  <c r="U37" i="6"/>
  <c r="R37" i="6"/>
  <c r="T37" i="6" s="1"/>
  <c r="Q37" i="6"/>
  <c r="S37" i="6" s="1"/>
  <c r="K37" i="6"/>
  <c r="AJ36" i="6"/>
  <c r="AI36" i="6"/>
  <c r="AH36" i="6"/>
  <c r="AG36" i="6"/>
  <c r="AC36" i="6"/>
  <c r="AE36" i="6" s="1"/>
  <c r="AB36" i="6"/>
  <c r="AD36" i="6" s="1"/>
  <c r="W36" i="6"/>
  <c r="V36" i="6"/>
  <c r="U36" i="6"/>
  <c r="R36" i="6"/>
  <c r="T36" i="6" s="1"/>
  <c r="Q36" i="6"/>
  <c r="S36" i="6" s="1"/>
  <c r="K36" i="6"/>
  <c r="AJ35" i="6"/>
  <c r="AI35" i="6"/>
  <c r="AH35" i="6"/>
  <c r="AG35" i="6"/>
  <c r="AD35" i="6"/>
  <c r="AC35" i="6"/>
  <c r="AE35" i="6" s="1"/>
  <c r="AB35" i="6"/>
  <c r="W35" i="6"/>
  <c r="V35" i="6"/>
  <c r="U35" i="6"/>
  <c r="R35" i="6"/>
  <c r="T35" i="6" s="1"/>
  <c r="Q35" i="6"/>
  <c r="S35" i="6" s="1"/>
  <c r="K35" i="6"/>
  <c r="AJ34" i="6"/>
  <c r="AI34" i="6"/>
  <c r="AH34" i="6"/>
  <c r="AG34" i="6"/>
  <c r="AC34" i="6"/>
  <c r="AE34" i="6" s="1"/>
  <c r="AB34" i="6"/>
  <c r="AD34" i="6" s="1"/>
  <c r="W34" i="6"/>
  <c r="V34" i="6"/>
  <c r="U34" i="6"/>
  <c r="R34" i="6"/>
  <c r="T34" i="6" s="1"/>
  <c r="Q34" i="6"/>
  <c r="S34" i="6" s="1"/>
  <c r="K34" i="6"/>
  <c r="AJ33" i="6"/>
  <c r="AI33" i="6"/>
  <c r="AH33" i="6"/>
  <c r="AG33" i="6"/>
  <c r="AC33" i="6"/>
  <c r="AE33" i="6" s="1"/>
  <c r="AB33" i="6"/>
  <c r="AD33" i="6" s="1"/>
  <c r="W33" i="6"/>
  <c r="V33" i="6"/>
  <c r="U33" i="6"/>
  <c r="R33" i="6"/>
  <c r="T33" i="6" s="1"/>
  <c r="Q33" i="6"/>
  <c r="S33" i="6" s="1"/>
  <c r="K33" i="6"/>
  <c r="AJ32" i="6"/>
  <c r="AI32" i="6"/>
  <c r="AH32" i="6"/>
  <c r="AG32" i="6"/>
  <c r="AC32" i="6"/>
  <c r="AE32" i="6" s="1"/>
  <c r="AB32" i="6"/>
  <c r="AD32" i="6" s="1"/>
  <c r="W32" i="6"/>
  <c r="V32" i="6"/>
  <c r="U32" i="6"/>
  <c r="R32" i="6"/>
  <c r="T32" i="6" s="1"/>
  <c r="Q32" i="6"/>
  <c r="S32" i="6" s="1"/>
  <c r="K32" i="6"/>
  <c r="AJ31" i="6"/>
  <c r="AI31" i="6"/>
  <c r="AH31" i="6"/>
  <c r="AG31" i="6"/>
  <c r="AC31" i="6"/>
  <c r="AE31" i="6" s="1"/>
  <c r="AB31" i="6"/>
  <c r="AD31" i="6" s="1"/>
  <c r="W31" i="6"/>
  <c r="V31" i="6"/>
  <c r="U31" i="6"/>
  <c r="R31" i="6"/>
  <c r="T31" i="6" s="1"/>
  <c r="Q31" i="6"/>
  <c r="S31" i="6" s="1"/>
  <c r="K31" i="6"/>
  <c r="AJ30" i="6"/>
  <c r="AI30" i="6"/>
  <c r="AH30" i="6"/>
  <c r="AG30" i="6"/>
  <c r="AD30" i="6"/>
  <c r="AC30" i="6"/>
  <c r="AE30" i="6" s="1"/>
  <c r="AB30" i="6"/>
  <c r="W30" i="6"/>
  <c r="V30" i="6"/>
  <c r="U30" i="6"/>
  <c r="R30" i="6"/>
  <c r="T30" i="6" s="1"/>
  <c r="Q30" i="6"/>
  <c r="S30" i="6" s="1"/>
  <c r="K30" i="6"/>
  <c r="AJ29" i="6"/>
  <c r="AI29" i="6"/>
  <c r="AH29" i="6"/>
  <c r="AG29" i="6"/>
  <c r="AC29" i="6"/>
  <c r="AE29" i="6" s="1"/>
  <c r="AB29" i="6"/>
  <c r="AD29" i="6" s="1"/>
  <c r="W29" i="6"/>
  <c r="V29" i="6"/>
  <c r="U29" i="6"/>
  <c r="R29" i="6"/>
  <c r="T29" i="6" s="1"/>
  <c r="Q29" i="6"/>
  <c r="S29" i="6" s="1"/>
  <c r="K29" i="6"/>
  <c r="AJ28" i="6"/>
  <c r="AI28" i="6"/>
  <c r="AH28" i="6"/>
  <c r="AG28" i="6"/>
  <c r="AD28" i="6"/>
  <c r="AC28" i="6"/>
  <c r="AE28" i="6" s="1"/>
  <c r="AB28" i="6"/>
  <c r="W28" i="6"/>
  <c r="V28" i="6"/>
  <c r="U28" i="6"/>
  <c r="R28" i="6"/>
  <c r="T28" i="6" s="1"/>
  <c r="Q28" i="6"/>
  <c r="S28" i="6" s="1"/>
  <c r="K28" i="6"/>
  <c r="AJ27" i="6"/>
  <c r="AI27" i="6"/>
  <c r="AH27" i="6"/>
  <c r="AG27" i="6"/>
  <c r="AC27" i="6"/>
  <c r="AE27" i="6" s="1"/>
  <c r="AB27" i="6"/>
  <c r="AD27" i="6" s="1"/>
  <c r="W27" i="6"/>
  <c r="V27" i="6"/>
  <c r="U27" i="6"/>
  <c r="R27" i="6"/>
  <c r="T27" i="6" s="1"/>
  <c r="Q27" i="6"/>
  <c r="S27" i="6" s="1"/>
  <c r="K27" i="6"/>
  <c r="AJ26" i="6"/>
  <c r="AI26" i="6"/>
  <c r="AH26" i="6"/>
  <c r="AG26" i="6"/>
  <c r="AC26" i="6"/>
  <c r="AE26" i="6" s="1"/>
  <c r="AB26" i="6"/>
  <c r="AD26" i="6" s="1"/>
  <c r="W26" i="6"/>
  <c r="V26" i="6"/>
  <c r="U26" i="6"/>
  <c r="T26" i="6"/>
  <c r="R26" i="6"/>
  <c r="Q26" i="6"/>
  <c r="S26" i="6" s="1"/>
  <c r="K26" i="6"/>
  <c r="AG5" i="6"/>
  <c r="AH5" i="6"/>
  <c r="AI5" i="6"/>
  <c r="AJ5" i="6"/>
  <c r="AG6" i="6"/>
  <c r="AH6" i="6"/>
  <c r="AI6" i="6"/>
  <c r="AJ6" i="6"/>
  <c r="AG7" i="6"/>
  <c r="AH7" i="6"/>
  <c r="AI7" i="6"/>
  <c r="AJ7" i="6"/>
  <c r="AG8" i="6"/>
  <c r="AH8" i="6"/>
  <c r="AI8" i="6"/>
  <c r="AJ8" i="6"/>
  <c r="AG9" i="6"/>
  <c r="AH9" i="6"/>
  <c r="AI9" i="6"/>
  <c r="AJ9" i="6"/>
  <c r="AG10" i="6"/>
  <c r="AH10" i="6"/>
  <c r="AI10" i="6"/>
  <c r="AJ10" i="6"/>
  <c r="AG11" i="6"/>
  <c r="AH11" i="6"/>
  <c r="AI11" i="6"/>
  <c r="AJ11" i="6"/>
  <c r="AG12" i="6"/>
  <c r="AH12" i="6"/>
  <c r="AI12" i="6"/>
  <c r="AJ12" i="6"/>
  <c r="AG13" i="6"/>
  <c r="AH13" i="6"/>
  <c r="AI13" i="6"/>
  <c r="AJ13" i="6"/>
  <c r="AG14" i="6"/>
  <c r="AH14" i="6"/>
  <c r="AI14" i="6"/>
  <c r="AJ14" i="6"/>
  <c r="AG15" i="6"/>
  <c r="AH15" i="6"/>
  <c r="AI15" i="6"/>
  <c r="AJ15" i="6"/>
  <c r="AG16" i="6"/>
  <c r="AH16" i="6"/>
  <c r="AI16" i="6"/>
  <c r="AJ16" i="6"/>
  <c r="AG17" i="6"/>
  <c r="AH17" i="6"/>
  <c r="AI17" i="6"/>
  <c r="AJ17" i="6"/>
  <c r="AG18" i="6"/>
  <c r="AH18" i="6"/>
  <c r="AI18" i="6"/>
  <c r="AJ18" i="6"/>
  <c r="AG19" i="6"/>
  <c r="AH19" i="6"/>
  <c r="AI19" i="6"/>
  <c r="AJ19" i="6"/>
  <c r="AG20" i="6"/>
  <c r="AH20" i="6"/>
  <c r="AI20" i="6"/>
  <c r="AJ20" i="6"/>
  <c r="BP87" i="8"/>
  <c r="BF87" i="8"/>
  <c r="BD87" i="8"/>
  <c r="BC87" i="8"/>
  <c r="BB87" i="8"/>
  <c r="BA87" i="8"/>
  <c r="AV87" i="8"/>
  <c r="AT87" i="8"/>
  <c r="AS87" i="8"/>
  <c r="AR87" i="8"/>
  <c r="AQ87" i="8"/>
  <c r="AL87" i="8"/>
  <c r="AJ87" i="8"/>
  <c r="AI87" i="8"/>
  <c r="AH87" i="8"/>
  <c r="AG87" i="8"/>
  <c r="AB87" i="8"/>
  <c r="Z87" i="8"/>
  <c r="Y87" i="8"/>
  <c r="X87" i="8"/>
  <c r="W87" i="8"/>
  <c r="Q87" i="8"/>
  <c r="P87" i="8"/>
  <c r="O87" i="8"/>
  <c r="N87" i="8"/>
  <c r="I87" i="8"/>
  <c r="E87" i="8"/>
  <c r="AB68" i="5"/>
  <c r="AA68" i="5"/>
  <c r="Y68" i="5"/>
  <c r="X68" i="5"/>
  <c r="V68" i="5"/>
  <c r="U68" i="5"/>
  <c r="T68" i="5"/>
  <c r="R68" i="5"/>
  <c r="Q68" i="5"/>
  <c r="P68" i="5"/>
  <c r="O68" i="5"/>
  <c r="I68" i="5"/>
  <c r="G68" i="5"/>
  <c r="AB67" i="5"/>
  <c r="AA67" i="5"/>
  <c r="Y67" i="5"/>
  <c r="X67" i="5"/>
  <c r="V67" i="5"/>
  <c r="U67" i="5"/>
  <c r="T67" i="5"/>
  <c r="R67" i="5"/>
  <c r="Q67" i="5"/>
  <c r="P67" i="5"/>
  <c r="O67" i="5"/>
  <c r="I67" i="5"/>
  <c r="G67" i="5"/>
  <c r="AB66" i="5"/>
  <c r="AA66" i="5"/>
  <c r="Y66" i="5"/>
  <c r="X66" i="5"/>
  <c r="V66" i="5"/>
  <c r="U66" i="5"/>
  <c r="T66" i="5"/>
  <c r="R66" i="5"/>
  <c r="Q66" i="5"/>
  <c r="P66" i="5"/>
  <c r="O66" i="5"/>
  <c r="I66" i="5"/>
  <c r="G66" i="5"/>
  <c r="AB65" i="5"/>
  <c r="AA65" i="5"/>
  <c r="Y65" i="5"/>
  <c r="X65" i="5"/>
  <c r="V65" i="5"/>
  <c r="U65" i="5"/>
  <c r="T65" i="5"/>
  <c r="R65" i="5"/>
  <c r="Q65" i="5"/>
  <c r="P65" i="5"/>
  <c r="O65" i="5"/>
  <c r="I65" i="5"/>
  <c r="G65" i="5"/>
  <c r="AB64" i="5"/>
  <c r="AA64" i="5"/>
  <c r="Y64" i="5"/>
  <c r="X64" i="5"/>
  <c r="V64" i="5"/>
  <c r="U64" i="5"/>
  <c r="T64" i="5"/>
  <c r="R64" i="5"/>
  <c r="Q64" i="5"/>
  <c r="P64" i="5"/>
  <c r="O64" i="5"/>
  <c r="I64" i="5"/>
  <c r="G64" i="5"/>
  <c r="AB63" i="5"/>
  <c r="AA63" i="5"/>
  <c r="Y63" i="5"/>
  <c r="X63" i="5"/>
  <c r="V63" i="5"/>
  <c r="U63" i="5"/>
  <c r="T63" i="5"/>
  <c r="R63" i="5"/>
  <c r="Q63" i="5"/>
  <c r="P63" i="5"/>
  <c r="O63" i="5"/>
  <c r="I63" i="5"/>
  <c r="G63" i="5"/>
  <c r="AB62" i="5"/>
  <c r="AA62" i="5"/>
  <c r="Y62" i="5"/>
  <c r="X62" i="5"/>
  <c r="V62" i="5"/>
  <c r="U62" i="5"/>
  <c r="T62" i="5"/>
  <c r="R62" i="5"/>
  <c r="Q62" i="5"/>
  <c r="P62" i="5"/>
  <c r="O62" i="5"/>
  <c r="I62" i="5"/>
  <c r="G62" i="5"/>
  <c r="AB61" i="5"/>
  <c r="AA61" i="5"/>
  <c r="Y61" i="5"/>
  <c r="X61" i="5"/>
  <c r="V61" i="5"/>
  <c r="U61" i="5"/>
  <c r="T61" i="5"/>
  <c r="R61" i="5"/>
  <c r="Q61" i="5"/>
  <c r="P61" i="5"/>
  <c r="O61" i="5"/>
  <c r="I61" i="5"/>
  <c r="G61" i="5"/>
  <c r="AB60" i="5"/>
  <c r="AA60" i="5"/>
  <c r="Y60" i="5"/>
  <c r="X60" i="5"/>
  <c r="V60" i="5"/>
  <c r="U60" i="5"/>
  <c r="T60" i="5"/>
  <c r="R60" i="5"/>
  <c r="Q60" i="5"/>
  <c r="P60" i="5"/>
  <c r="O60" i="5"/>
  <c r="I60" i="5"/>
  <c r="G60" i="5"/>
  <c r="AB59" i="5"/>
  <c r="AA59" i="5"/>
  <c r="Y59" i="5"/>
  <c r="X59" i="5"/>
  <c r="V59" i="5"/>
  <c r="U59" i="5"/>
  <c r="T59" i="5"/>
  <c r="R59" i="5"/>
  <c r="Q59" i="5"/>
  <c r="P59" i="5"/>
  <c r="O59" i="5"/>
  <c r="I59" i="5"/>
  <c r="G59" i="5"/>
  <c r="AB58" i="5"/>
  <c r="AA58" i="5"/>
  <c r="Y58" i="5"/>
  <c r="X58" i="5"/>
  <c r="V58" i="5"/>
  <c r="U58" i="5"/>
  <c r="T58" i="5"/>
  <c r="R58" i="5"/>
  <c r="Q58" i="5"/>
  <c r="P58" i="5"/>
  <c r="O58" i="5"/>
  <c r="I58" i="5"/>
  <c r="G58" i="5"/>
  <c r="AB57" i="5"/>
  <c r="AA57" i="5"/>
  <c r="Y57" i="5"/>
  <c r="X57" i="5"/>
  <c r="V57" i="5"/>
  <c r="U57" i="5"/>
  <c r="T57" i="5"/>
  <c r="R57" i="5"/>
  <c r="Q57" i="5"/>
  <c r="P57" i="5"/>
  <c r="O57" i="5"/>
  <c r="I57" i="5"/>
  <c r="G57" i="5"/>
  <c r="AB56" i="5"/>
  <c r="AA56" i="5"/>
  <c r="Y56" i="5"/>
  <c r="X56" i="5"/>
  <c r="V56" i="5"/>
  <c r="U56" i="5"/>
  <c r="T56" i="5"/>
  <c r="R56" i="5"/>
  <c r="Q56" i="5"/>
  <c r="P56" i="5"/>
  <c r="O56" i="5"/>
  <c r="I56" i="5"/>
  <c r="G56" i="5"/>
  <c r="AB55" i="5"/>
  <c r="AA55" i="5"/>
  <c r="Y55" i="5"/>
  <c r="X55" i="5"/>
  <c r="V55" i="5"/>
  <c r="U55" i="5"/>
  <c r="T55" i="5"/>
  <c r="R55" i="5"/>
  <c r="Q55" i="5"/>
  <c r="P55" i="5"/>
  <c r="O55" i="5"/>
  <c r="I55" i="5"/>
  <c r="G55" i="5"/>
  <c r="AB54" i="5"/>
  <c r="AA54" i="5"/>
  <c r="Y54" i="5"/>
  <c r="X54" i="5"/>
  <c r="V54" i="5"/>
  <c r="U54" i="5"/>
  <c r="T54" i="5"/>
  <c r="R54" i="5"/>
  <c r="Q54" i="5"/>
  <c r="P54" i="5"/>
  <c r="O54" i="5"/>
  <c r="I54" i="5"/>
  <c r="G54" i="5"/>
  <c r="AB53" i="5"/>
  <c r="AA53" i="5"/>
  <c r="Y53" i="5"/>
  <c r="X53" i="5"/>
  <c r="V53" i="5"/>
  <c r="U53" i="5"/>
  <c r="T53" i="5"/>
  <c r="R53" i="5"/>
  <c r="Q53" i="5"/>
  <c r="P53" i="5"/>
  <c r="O53" i="5"/>
  <c r="I53" i="5"/>
  <c r="G53" i="5"/>
  <c r="AB52" i="5"/>
  <c r="AA52" i="5"/>
  <c r="Y52" i="5"/>
  <c r="X52" i="5"/>
  <c r="V52" i="5"/>
  <c r="U52" i="5"/>
  <c r="T52" i="5"/>
  <c r="R52" i="5"/>
  <c r="Q52" i="5"/>
  <c r="P52" i="5"/>
  <c r="O52" i="5"/>
  <c r="I52" i="5"/>
  <c r="G52" i="5"/>
  <c r="AB51" i="5"/>
  <c r="AA51" i="5"/>
  <c r="Y51" i="5"/>
  <c r="X51" i="5"/>
  <c r="V51" i="5"/>
  <c r="U51" i="5"/>
  <c r="T51" i="5"/>
  <c r="R51" i="5"/>
  <c r="Q51" i="5"/>
  <c r="P51" i="5"/>
  <c r="O51" i="5"/>
  <c r="I51" i="5"/>
  <c r="G51" i="5"/>
  <c r="AB50" i="5"/>
  <c r="AA50" i="5"/>
  <c r="Y50" i="5"/>
  <c r="X50" i="5"/>
  <c r="V50" i="5"/>
  <c r="U50" i="5"/>
  <c r="T50" i="5"/>
  <c r="R50" i="5"/>
  <c r="Q50" i="5"/>
  <c r="P50" i="5"/>
  <c r="O50" i="5"/>
  <c r="I50" i="5"/>
  <c r="G50" i="5"/>
  <c r="AB49" i="5"/>
  <c r="AA49" i="5"/>
  <c r="Y49" i="5"/>
  <c r="X49" i="5"/>
  <c r="V49" i="5"/>
  <c r="U49" i="5"/>
  <c r="T49" i="5"/>
  <c r="R49" i="5"/>
  <c r="Q49" i="5"/>
  <c r="P49" i="5"/>
  <c r="O49" i="5"/>
  <c r="I49" i="5"/>
  <c r="G49" i="5"/>
  <c r="AB48" i="5"/>
  <c r="AA48" i="5"/>
  <c r="Y48" i="5"/>
  <c r="X48" i="5"/>
  <c r="V48" i="5"/>
  <c r="U48" i="5"/>
  <c r="T48" i="5"/>
  <c r="R48" i="5"/>
  <c r="Q48" i="5"/>
  <c r="P48" i="5"/>
  <c r="O48" i="5"/>
  <c r="I48" i="5"/>
  <c r="G48" i="5"/>
  <c r="AB47" i="5"/>
  <c r="AA47" i="5"/>
  <c r="Y47" i="5"/>
  <c r="X47" i="5"/>
  <c r="V47" i="5"/>
  <c r="U47" i="5"/>
  <c r="T47" i="5"/>
  <c r="R47" i="5"/>
  <c r="Q47" i="5"/>
  <c r="P47" i="5"/>
  <c r="O47" i="5"/>
  <c r="I47" i="5"/>
  <c r="G47" i="5"/>
  <c r="AB46" i="5"/>
  <c r="AA46" i="5"/>
  <c r="Y46" i="5"/>
  <c r="X46" i="5"/>
  <c r="V46" i="5"/>
  <c r="U46" i="5"/>
  <c r="T46" i="5"/>
  <c r="R46" i="5"/>
  <c r="Q46" i="5"/>
  <c r="P46" i="5"/>
  <c r="O46" i="5"/>
  <c r="I46" i="5"/>
  <c r="G46" i="5"/>
  <c r="AB45" i="5"/>
  <c r="AA45" i="5"/>
  <c r="Y45" i="5"/>
  <c r="X45" i="5"/>
  <c r="V45" i="5"/>
  <c r="U45" i="5"/>
  <c r="T45" i="5"/>
  <c r="R45" i="5"/>
  <c r="Q45" i="5"/>
  <c r="P45" i="5"/>
  <c r="O45" i="5"/>
  <c r="I45" i="5"/>
  <c r="G45" i="5"/>
  <c r="AB44" i="5"/>
  <c r="AA44" i="5"/>
  <c r="Y44" i="5"/>
  <c r="X44" i="5"/>
  <c r="V44" i="5"/>
  <c r="U44" i="5"/>
  <c r="T44" i="5"/>
  <c r="R44" i="5"/>
  <c r="Q44" i="5"/>
  <c r="P44" i="5"/>
  <c r="O44" i="5"/>
  <c r="I44" i="5"/>
  <c r="G44" i="5"/>
  <c r="AB43" i="5"/>
  <c r="AA43" i="5"/>
  <c r="Y43" i="5"/>
  <c r="X43" i="5"/>
  <c r="V43" i="5"/>
  <c r="U43" i="5"/>
  <c r="T43" i="5"/>
  <c r="R43" i="5"/>
  <c r="Q43" i="5"/>
  <c r="P43" i="5"/>
  <c r="O43" i="5"/>
  <c r="I43" i="5"/>
  <c r="G43" i="5"/>
  <c r="AB42" i="5"/>
  <c r="AA42" i="5"/>
  <c r="Y42" i="5"/>
  <c r="X42" i="5"/>
  <c r="V42" i="5"/>
  <c r="U42" i="5"/>
  <c r="T42" i="5"/>
  <c r="R42" i="5"/>
  <c r="Q42" i="5"/>
  <c r="P42" i="5"/>
  <c r="O42" i="5"/>
  <c r="I42" i="5"/>
  <c r="G42" i="5"/>
  <c r="AB41" i="5"/>
  <c r="AA41" i="5"/>
  <c r="Y41" i="5"/>
  <c r="X41" i="5"/>
  <c r="V41" i="5"/>
  <c r="U41" i="5"/>
  <c r="T41" i="5"/>
  <c r="R41" i="5"/>
  <c r="Q41" i="5"/>
  <c r="P41" i="5"/>
  <c r="O41" i="5"/>
  <c r="I41" i="5"/>
  <c r="G41" i="5"/>
  <c r="AB40" i="5"/>
  <c r="AA40" i="5"/>
  <c r="Y40" i="5"/>
  <c r="X40" i="5"/>
  <c r="V40" i="5"/>
  <c r="U40" i="5"/>
  <c r="T40" i="5"/>
  <c r="R40" i="5"/>
  <c r="Q40" i="5"/>
  <c r="P40" i="5"/>
  <c r="O40" i="5"/>
  <c r="I40" i="5"/>
  <c r="G40" i="5"/>
  <c r="AB39" i="5"/>
  <c r="AA39" i="5"/>
  <c r="Y39" i="5"/>
  <c r="X39" i="5"/>
  <c r="V39" i="5"/>
  <c r="U39" i="5"/>
  <c r="T39" i="5"/>
  <c r="R39" i="5"/>
  <c r="Q39" i="5"/>
  <c r="P39" i="5"/>
  <c r="O39" i="5"/>
  <c r="I39" i="5"/>
  <c r="G39" i="5"/>
  <c r="AB38" i="5"/>
  <c r="AA38" i="5"/>
  <c r="Y38" i="5"/>
  <c r="X38" i="5"/>
  <c r="V38" i="5"/>
  <c r="U38" i="5"/>
  <c r="T38" i="5"/>
  <c r="R38" i="5"/>
  <c r="Q38" i="5"/>
  <c r="P38" i="5"/>
  <c r="O38" i="5"/>
  <c r="I38" i="5"/>
  <c r="G38" i="5"/>
  <c r="AB37" i="5"/>
  <c r="AA37" i="5"/>
  <c r="Y37" i="5"/>
  <c r="X37" i="5"/>
  <c r="V37" i="5"/>
  <c r="U37" i="5"/>
  <c r="T37" i="5"/>
  <c r="R37" i="5"/>
  <c r="Q37" i="5"/>
  <c r="P37" i="5"/>
  <c r="O37" i="5"/>
  <c r="I37" i="5"/>
  <c r="G37" i="5"/>
  <c r="AB36" i="5"/>
  <c r="AA36" i="5"/>
  <c r="Y36" i="5"/>
  <c r="X36" i="5"/>
  <c r="V36" i="5"/>
  <c r="U36" i="5"/>
  <c r="T36" i="5"/>
  <c r="R36" i="5"/>
  <c r="Q36" i="5"/>
  <c r="P36" i="5"/>
  <c r="O36" i="5"/>
  <c r="I36" i="5"/>
  <c r="G36" i="5"/>
  <c r="BP53" i="8"/>
  <c r="BF53" i="8"/>
  <c r="BD53" i="8"/>
  <c r="BC53" i="8"/>
  <c r="BB53" i="8"/>
  <c r="BA53" i="8"/>
  <c r="AV53" i="8"/>
  <c r="AT53" i="8"/>
  <c r="AS53" i="8"/>
  <c r="AR53" i="8"/>
  <c r="AQ53" i="8"/>
  <c r="AL53" i="8"/>
  <c r="AJ53" i="8"/>
  <c r="AI53" i="8"/>
  <c r="AH53" i="8"/>
  <c r="AG53" i="8"/>
  <c r="AB53" i="8"/>
  <c r="Z53" i="8"/>
  <c r="Y53" i="8"/>
  <c r="X53" i="8"/>
  <c r="W53" i="8"/>
  <c r="Q53" i="8"/>
  <c r="P53" i="8"/>
  <c r="O53" i="8"/>
  <c r="N53" i="8"/>
  <c r="I53" i="8"/>
  <c r="E53" i="8"/>
  <c r="BP52" i="8"/>
  <c r="BF52" i="8"/>
  <c r="BD52" i="8"/>
  <c r="BC52" i="8"/>
  <c r="BB52" i="8"/>
  <c r="BA52" i="8"/>
  <c r="AV52" i="8"/>
  <c r="AT52" i="8"/>
  <c r="AS52" i="8"/>
  <c r="AR52" i="8"/>
  <c r="AQ52" i="8"/>
  <c r="AL52" i="8"/>
  <c r="AJ52" i="8"/>
  <c r="AI52" i="8"/>
  <c r="AH52" i="8"/>
  <c r="AG52" i="8"/>
  <c r="AB52" i="8"/>
  <c r="Z52" i="8"/>
  <c r="Y52" i="8"/>
  <c r="X52" i="8"/>
  <c r="W52" i="8"/>
  <c r="Q52" i="8"/>
  <c r="P52" i="8"/>
  <c r="O52" i="8"/>
  <c r="N52" i="8"/>
  <c r="I52" i="8"/>
  <c r="E52" i="8"/>
  <c r="BP51" i="8"/>
  <c r="BF51" i="8"/>
  <c r="BD51" i="8"/>
  <c r="BC51" i="8"/>
  <c r="BB51" i="8"/>
  <c r="BA51" i="8"/>
  <c r="AV51" i="8"/>
  <c r="AT51" i="8"/>
  <c r="AS51" i="8"/>
  <c r="AR51" i="8"/>
  <c r="AQ51" i="8"/>
  <c r="AL51" i="8"/>
  <c r="AJ51" i="8"/>
  <c r="AI51" i="8"/>
  <c r="AH51" i="8"/>
  <c r="AG51" i="8"/>
  <c r="AB51" i="8"/>
  <c r="Z51" i="8"/>
  <c r="Y51" i="8"/>
  <c r="X51" i="8"/>
  <c r="W51" i="8"/>
  <c r="Q51" i="8"/>
  <c r="P51" i="8"/>
  <c r="O51" i="8"/>
  <c r="N51" i="8"/>
  <c r="I51" i="8"/>
  <c r="E51" i="8"/>
  <c r="BP50" i="8"/>
  <c r="BF50" i="8"/>
  <c r="BD50" i="8"/>
  <c r="BC50" i="8"/>
  <c r="BB50" i="8"/>
  <c r="BA50" i="8"/>
  <c r="AV50" i="8"/>
  <c r="AT50" i="8"/>
  <c r="AS50" i="8"/>
  <c r="AR50" i="8"/>
  <c r="AQ50" i="8"/>
  <c r="AL50" i="8"/>
  <c r="AJ50" i="8"/>
  <c r="AI50" i="8"/>
  <c r="AH50" i="8"/>
  <c r="AG50" i="8"/>
  <c r="AB50" i="8"/>
  <c r="Z50" i="8"/>
  <c r="Y50" i="8"/>
  <c r="X50" i="8"/>
  <c r="W50" i="8"/>
  <c r="Q50" i="8"/>
  <c r="P50" i="8"/>
  <c r="O50" i="8"/>
  <c r="N50" i="8"/>
  <c r="I50" i="8"/>
  <c r="E50" i="8"/>
  <c r="BP49" i="8"/>
  <c r="BF49" i="8"/>
  <c r="BD49" i="8"/>
  <c r="BC49" i="8"/>
  <c r="BB49" i="8"/>
  <c r="BA49" i="8"/>
  <c r="AV49" i="8"/>
  <c r="AT49" i="8"/>
  <c r="AS49" i="8"/>
  <c r="AR49" i="8"/>
  <c r="AQ49" i="8"/>
  <c r="AL49" i="8"/>
  <c r="AJ49" i="8"/>
  <c r="AI49" i="8"/>
  <c r="AH49" i="8"/>
  <c r="AG49" i="8"/>
  <c r="AB49" i="8"/>
  <c r="Z49" i="8"/>
  <c r="Y49" i="8"/>
  <c r="X49" i="8"/>
  <c r="W49" i="8"/>
  <c r="Q49" i="8"/>
  <c r="P49" i="8"/>
  <c r="O49" i="8"/>
  <c r="N49" i="8"/>
  <c r="I49" i="8"/>
  <c r="E49" i="8"/>
  <c r="BP48" i="8"/>
  <c r="BF48" i="8"/>
  <c r="BD48" i="8"/>
  <c r="BC48" i="8"/>
  <c r="BB48" i="8"/>
  <c r="BA48" i="8"/>
  <c r="AV48" i="8"/>
  <c r="AT48" i="8"/>
  <c r="AS48" i="8"/>
  <c r="AR48" i="8"/>
  <c r="AQ48" i="8"/>
  <c r="AL48" i="8"/>
  <c r="AJ48" i="8"/>
  <c r="AI48" i="8"/>
  <c r="AH48" i="8"/>
  <c r="AG48" i="8"/>
  <c r="AB48" i="8"/>
  <c r="Z48" i="8"/>
  <c r="Y48" i="8"/>
  <c r="X48" i="8"/>
  <c r="W48" i="8"/>
  <c r="Q48" i="8"/>
  <c r="P48" i="8"/>
  <c r="O48" i="8"/>
  <c r="N48" i="8"/>
  <c r="I48" i="8"/>
  <c r="E48" i="8"/>
  <c r="BP47" i="8"/>
  <c r="BF47" i="8"/>
  <c r="BD47" i="8"/>
  <c r="BC47" i="8"/>
  <c r="BB47" i="8"/>
  <c r="BA47" i="8"/>
  <c r="AV47" i="8"/>
  <c r="AT47" i="8"/>
  <c r="AS47" i="8"/>
  <c r="AR47" i="8"/>
  <c r="AQ47" i="8"/>
  <c r="AL47" i="8"/>
  <c r="AJ47" i="8"/>
  <c r="AI47" i="8"/>
  <c r="AH47" i="8"/>
  <c r="AG47" i="8"/>
  <c r="AB47" i="8"/>
  <c r="Z47" i="8"/>
  <c r="Y47" i="8"/>
  <c r="X47" i="8"/>
  <c r="W47" i="8"/>
  <c r="Q47" i="8"/>
  <c r="P47" i="8"/>
  <c r="O47" i="8"/>
  <c r="N47" i="8"/>
  <c r="I47" i="8"/>
  <c r="E47" i="8"/>
  <c r="BP46" i="8"/>
  <c r="BF46" i="8"/>
  <c r="BD46" i="8"/>
  <c r="BC46" i="8"/>
  <c r="BB46" i="8"/>
  <c r="BA46" i="8"/>
  <c r="AV46" i="8"/>
  <c r="AT46" i="8"/>
  <c r="AS46" i="8"/>
  <c r="AR46" i="8"/>
  <c r="AQ46" i="8"/>
  <c r="AL46" i="8"/>
  <c r="AJ46" i="8"/>
  <c r="AI46" i="8"/>
  <c r="AH46" i="8"/>
  <c r="AG46" i="8"/>
  <c r="AB46" i="8"/>
  <c r="Z46" i="8"/>
  <c r="Y46" i="8"/>
  <c r="X46" i="8"/>
  <c r="W46" i="8"/>
  <c r="Q46" i="8"/>
  <c r="P46" i="8"/>
  <c r="O46" i="8"/>
  <c r="N46" i="8"/>
  <c r="I46" i="8"/>
  <c r="E46" i="8"/>
  <c r="BP45" i="8"/>
  <c r="BF45" i="8"/>
  <c r="BD45" i="8"/>
  <c r="BC45" i="8"/>
  <c r="BB45" i="8"/>
  <c r="BA45" i="8"/>
  <c r="AV45" i="8"/>
  <c r="AT45" i="8"/>
  <c r="AS45" i="8"/>
  <c r="AR45" i="8"/>
  <c r="AQ45" i="8"/>
  <c r="AL45" i="8"/>
  <c r="AJ45" i="8"/>
  <c r="AI45" i="8"/>
  <c r="AH45" i="8"/>
  <c r="AG45" i="8"/>
  <c r="AB45" i="8"/>
  <c r="Z45" i="8"/>
  <c r="Y45" i="8"/>
  <c r="X45" i="8"/>
  <c r="W45" i="8"/>
  <c r="Q45" i="8"/>
  <c r="P45" i="8"/>
  <c r="O45" i="8"/>
  <c r="N45" i="8"/>
  <c r="I45" i="8"/>
  <c r="E45" i="8"/>
  <c r="BP44" i="8"/>
  <c r="BF44" i="8"/>
  <c r="BD44" i="8"/>
  <c r="BC44" i="8"/>
  <c r="BB44" i="8"/>
  <c r="BA44" i="8"/>
  <c r="AV44" i="8"/>
  <c r="AT44" i="8"/>
  <c r="AS44" i="8"/>
  <c r="AR44" i="8"/>
  <c r="AQ44" i="8"/>
  <c r="AL44" i="8"/>
  <c r="AJ44" i="8"/>
  <c r="AI44" i="8"/>
  <c r="AH44" i="8"/>
  <c r="AG44" i="8"/>
  <c r="AB44" i="8"/>
  <c r="Z44" i="8"/>
  <c r="Y44" i="8"/>
  <c r="X44" i="8"/>
  <c r="W44" i="8"/>
  <c r="Q44" i="8"/>
  <c r="P44" i="8"/>
  <c r="O44" i="8"/>
  <c r="N44" i="8"/>
  <c r="I44" i="8"/>
  <c r="E44" i="8"/>
  <c r="BP43" i="8"/>
  <c r="BF43" i="8"/>
  <c r="BD43" i="8"/>
  <c r="BC43" i="8"/>
  <c r="BB43" i="8"/>
  <c r="BA43" i="8"/>
  <c r="AV43" i="8"/>
  <c r="AT43" i="8"/>
  <c r="AS43" i="8"/>
  <c r="AR43" i="8"/>
  <c r="AQ43" i="8"/>
  <c r="AL43" i="8"/>
  <c r="AJ43" i="8"/>
  <c r="AI43" i="8"/>
  <c r="AH43" i="8"/>
  <c r="AG43" i="8"/>
  <c r="AB43" i="8"/>
  <c r="Z43" i="8"/>
  <c r="Y43" i="8"/>
  <c r="X43" i="8"/>
  <c r="W43" i="8"/>
  <c r="Q43" i="8"/>
  <c r="P43" i="8"/>
  <c r="O43" i="8"/>
  <c r="N43" i="8"/>
  <c r="I43" i="8"/>
  <c r="E43" i="8"/>
  <c r="BP42" i="8"/>
  <c r="BF42" i="8"/>
  <c r="BD42" i="8"/>
  <c r="BC42" i="8"/>
  <c r="BB42" i="8"/>
  <c r="BA42" i="8"/>
  <c r="AV42" i="8"/>
  <c r="AT42" i="8"/>
  <c r="AS42" i="8"/>
  <c r="AR42" i="8"/>
  <c r="AQ42" i="8"/>
  <c r="AL42" i="8"/>
  <c r="AJ42" i="8"/>
  <c r="AI42" i="8"/>
  <c r="AH42" i="8"/>
  <c r="AG42" i="8"/>
  <c r="AB42" i="8"/>
  <c r="Z42" i="8"/>
  <c r="Y42" i="8"/>
  <c r="X42" i="8"/>
  <c r="W42" i="8"/>
  <c r="Q42" i="8"/>
  <c r="P42" i="8"/>
  <c r="O42" i="8"/>
  <c r="N42" i="8"/>
  <c r="I42" i="8"/>
  <c r="E42" i="8"/>
  <c r="BP41" i="8"/>
  <c r="BF41" i="8"/>
  <c r="BD41" i="8"/>
  <c r="BC41" i="8"/>
  <c r="BB41" i="8"/>
  <c r="BA41" i="8"/>
  <c r="AV41" i="8"/>
  <c r="AT41" i="8"/>
  <c r="AS41" i="8"/>
  <c r="AR41" i="8"/>
  <c r="AQ41" i="8"/>
  <c r="AL41" i="8"/>
  <c r="AJ41" i="8"/>
  <c r="AI41" i="8"/>
  <c r="AH41" i="8"/>
  <c r="AG41" i="8"/>
  <c r="AB41" i="8"/>
  <c r="Z41" i="8"/>
  <c r="Y41" i="8"/>
  <c r="X41" i="8"/>
  <c r="W41" i="8"/>
  <c r="Q41" i="8"/>
  <c r="P41" i="8"/>
  <c r="O41" i="8"/>
  <c r="N41" i="8"/>
  <c r="I41" i="8"/>
  <c r="E41" i="8"/>
  <c r="BP40" i="8"/>
  <c r="BF40" i="8"/>
  <c r="BD40" i="8"/>
  <c r="BC40" i="8"/>
  <c r="BB40" i="8"/>
  <c r="BA40" i="8"/>
  <c r="AV40" i="8"/>
  <c r="AT40" i="8"/>
  <c r="AS40" i="8"/>
  <c r="AR40" i="8"/>
  <c r="AQ40" i="8"/>
  <c r="AL40" i="8"/>
  <c r="AJ40" i="8"/>
  <c r="AI40" i="8"/>
  <c r="AH40" i="8"/>
  <c r="AG40" i="8"/>
  <c r="AB40" i="8"/>
  <c r="Z40" i="8"/>
  <c r="Y40" i="8"/>
  <c r="X40" i="8"/>
  <c r="W40" i="8"/>
  <c r="Q40" i="8"/>
  <c r="P40" i="8"/>
  <c r="O40" i="8"/>
  <c r="N40" i="8"/>
  <c r="I40" i="8"/>
  <c r="E40" i="8"/>
  <c r="BP39" i="8"/>
  <c r="BF39" i="8"/>
  <c r="BD39" i="8"/>
  <c r="BC39" i="8"/>
  <c r="BB39" i="8"/>
  <c r="BA39" i="8"/>
  <c r="AV39" i="8"/>
  <c r="AT39" i="8"/>
  <c r="AS39" i="8"/>
  <c r="AR39" i="8"/>
  <c r="AQ39" i="8"/>
  <c r="AL39" i="8"/>
  <c r="AJ39" i="8"/>
  <c r="AI39" i="8"/>
  <c r="AH39" i="8"/>
  <c r="AG39" i="8"/>
  <c r="AB39" i="8"/>
  <c r="Z39" i="8"/>
  <c r="Y39" i="8"/>
  <c r="X39" i="8"/>
  <c r="W39" i="8"/>
  <c r="Q39" i="8"/>
  <c r="P39" i="8"/>
  <c r="O39" i="8"/>
  <c r="N39" i="8"/>
  <c r="I39" i="8"/>
  <c r="E39" i="8"/>
  <c r="BP38" i="8"/>
  <c r="BF38" i="8"/>
  <c r="BD38" i="8"/>
  <c r="BC38" i="8"/>
  <c r="BB38" i="8"/>
  <c r="BA38" i="8"/>
  <c r="AV38" i="8"/>
  <c r="AT38" i="8"/>
  <c r="AS38" i="8"/>
  <c r="AR38" i="8"/>
  <c r="AQ38" i="8"/>
  <c r="AL38" i="8"/>
  <c r="AJ38" i="8"/>
  <c r="AI38" i="8"/>
  <c r="AH38" i="8"/>
  <c r="AG38" i="8"/>
  <c r="AB38" i="8"/>
  <c r="Z38" i="8"/>
  <c r="Y38" i="8"/>
  <c r="X38" i="8"/>
  <c r="W38" i="8"/>
  <c r="Q38" i="8"/>
  <c r="P38" i="8"/>
  <c r="O38" i="8"/>
  <c r="N38" i="8"/>
  <c r="I38" i="8"/>
  <c r="E38" i="8"/>
  <c r="BP37" i="8"/>
  <c r="BF37" i="8"/>
  <c r="BD37" i="8"/>
  <c r="BC37" i="8"/>
  <c r="BB37" i="8"/>
  <c r="BA37" i="8"/>
  <c r="AV37" i="8"/>
  <c r="AT37" i="8"/>
  <c r="AS37" i="8"/>
  <c r="AR37" i="8"/>
  <c r="AQ37" i="8"/>
  <c r="AL37" i="8"/>
  <c r="AJ37" i="8"/>
  <c r="AI37" i="8"/>
  <c r="AH37" i="8"/>
  <c r="AG37" i="8"/>
  <c r="AB37" i="8"/>
  <c r="Z37" i="8"/>
  <c r="Y37" i="8"/>
  <c r="X37" i="8"/>
  <c r="W37" i="8"/>
  <c r="Q37" i="8"/>
  <c r="P37" i="8"/>
  <c r="O37" i="8"/>
  <c r="N37" i="8"/>
  <c r="I37" i="8"/>
  <c r="E37" i="8"/>
  <c r="BP36" i="8"/>
  <c r="BF36" i="8"/>
  <c r="BD36" i="8"/>
  <c r="BC36" i="8"/>
  <c r="BB36" i="8"/>
  <c r="BA36" i="8"/>
  <c r="AV36" i="8"/>
  <c r="AT36" i="8"/>
  <c r="AS36" i="8"/>
  <c r="AR36" i="8"/>
  <c r="AQ36" i="8"/>
  <c r="AL36" i="8"/>
  <c r="AJ36" i="8"/>
  <c r="AI36" i="8"/>
  <c r="AH36" i="8"/>
  <c r="AG36" i="8"/>
  <c r="AB36" i="8"/>
  <c r="Z36" i="8"/>
  <c r="Y36" i="8"/>
  <c r="X36" i="8"/>
  <c r="W36" i="8"/>
  <c r="Q36" i="8"/>
  <c r="P36" i="8"/>
  <c r="O36" i="8"/>
  <c r="N36" i="8"/>
  <c r="I36" i="8"/>
  <c r="E36" i="8"/>
  <c r="BP35" i="8"/>
  <c r="BF35" i="8"/>
  <c r="BD35" i="8"/>
  <c r="BC35" i="8"/>
  <c r="BB35" i="8"/>
  <c r="BA35" i="8"/>
  <c r="AV35" i="8"/>
  <c r="AT35" i="8"/>
  <c r="AS35" i="8"/>
  <c r="AR35" i="8"/>
  <c r="AQ35" i="8"/>
  <c r="AL35" i="8"/>
  <c r="AJ35" i="8"/>
  <c r="AI35" i="8"/>
  <c r="AH35" i="8"/>
  <c r="AG35" i="8"/>
  <c r="AB35" i="8"/>
  <c r="Z35" i="8"/>
  <c r="Y35" i="8"/>
  <c r="X35" i="8"/>
  <c r="W35" i="8"/>
  <c r="Q35" i="8"/>
  <c r="P35" i="8"/>
  <c r="O35" i="8"/>
  <c r="N35" i="8"/>
  <c r="I35" i="8"/>
  <c r="E35" i="8"/>
  <c r="BP34" i="8"/>
  <c r="BF34" i="8"/>
  <c r="BD34" i="8"/>
  <c r="BC34" i="8"/>
  <c r="BB34" i="8"/>
  <c r="BA34" i="8"/>
  <c r="AV34" i="8"/>
  <c r="AT34" i="8"/>
  <c r="AS34" i="8"/>
  <c r="AR34" i="8"/>
  <c r="AQ34" i="8"/>
  <c r="AL34" i="8"/>
  <c r="AJ34" i="8"/>
  <c r="AI34" i="8"/>
  <c r="AH34" i="8"/>
  <c r="AG34" i="8"/>
  <c r="AB34" i="8"/>
  <c r="Z34" i="8"/>
  <c r="Y34" i="8"/>
  <c r="X34" i="8"/>
  <c r="W34" i="8"/>
  <c r="Q34" i="8"/>
  <c r="P34" i="8"/>
  <c r="O34" i="8"/>
  <c r="N34" i="8"/>
  <c r="I34" i="8"/>
  <c r="E34" i="8"/>
  <c r="BP33" i="8"/>
  <c r="BF33" i="8"/>
  <c r="BD33" i="8"/>
  <c r="BC33" i="8"/>
  <c r="BB33" i="8"/>
  <c r="BA33" i="8"/>
  <c r="AV33" i="8"/>
  <c r="AT33" i="8"/>
  <c r="AS33" i="8"/>
  <c r="AR33" i="8"/>
  <c r="AQ33" i="8"/>
  <c r="AL33" i="8"/>
  <c r="AJ33" i="8"/>
  <c r="AI33" i="8"/>
  <c r="AH33" i="8"/>
  <c r="AG33" i="8"/>
  <c r="AB33" i="8"/>
  <c r="Z33" i="8"/>
  <c r="Y33" i="8"/>
  <c r="X33" i="8"/>
  <c r="W33" i="8"/>
  <c r="Q33" i="8"/>
  <c r="P33" i="8"/>
  <c r="O33" i="8"/>
  <c r="N33" i="8"/>
  <c r="I33" i="8"/>
  <c r="E33" i="8"/>
  <c r="BP32" i="8"/>
  <c r="BF32" i="8"/>
  <c r="BD32" i="8"/>
  <c r="BC32" i="8"/>
  <c r="BB32" i="8"/>
  <c r="BA32" i="8"/>
  <c r="AV32" i="8"/>
  <c r="AT32" i="8"/>
  <c r="AS32" i="8"/>
  <c r="AR32" i="8"/>
  <c r="AQ32" i="8"/>
  <c r="AL32" i="8"/>
  <c r="AJ32" i="8"/>
  <c r="AI32" i="8"/>
  <c r="AH32" i="8"/>
  <c r="AG32" i="8"/>
  <c r="AB32" i="8"/>
  <c r="Z32" i="8"/>
  <c r="Y32" i="8"/>
  <c r="X32" i="8"/>
  <c r="W32" i="8"/>
  <c r="Q32" i="8"/>
  <c r="P32" i="8"/>
  <c r="O32" i="8"/>
  <c r="N32" i="8"/>
  <c r="I32" i="8"/>
  <c r="E32" i="8"/>
  <c r="BP31" i="8"/>
  <c r="BF31" i="8"/>
  <c r="BD31" i="8"/>
  <c r="BC31" i="8"/>
  <c r="BB31" i="8"/>
  <c r="BA31" i="8"/>
  <c r="AV31" i="8"/>
  <c r="AT31" i="8"/>
  <c r="AS31" i="8"/>
  <c r="AR31" i="8"/>
  <c r="AQ31" i="8"/>
  <c r="AL31" i="8"/>
  <c r="AJ31" i="8"/>
  <c r="AI31" i="8"/>
  <c r="AH31" i="8"/>
  <c r="AG31" i="8"/>
  <c r="AB31" i="8"/>
  <c r="Z31" i="8"/>
  <c r="Y31" i="8"/>
  <c r="X31" i="8"/>
  <c r="W31" i="8"/>
  <c r="Q31" i="8"/>
  <c r="P31" i="8"/>
  <c r="O31" i="8"/>
  <c r="N31" i="8"/>
  <c r="I31" i="8"/>
  <c r="E31" i="8"/>
  <c r="BP30" i="8"/>
  <c r="BF30" i="8"/>
  <c r="BD30" i="8"/>
  <c r="BC30" i="8"/>
  <c r="BB30" i="8"/>
  <c r="BA30" i="8"/>
  <c r="AV30" i="8"/>
  <c r="AT30" i="8"/>
  <c r="AS30" i="8"/>
  <c r="AR30" i="8"/>
  <c r="AQ30" i="8"/>
  <c r="AL30" i="8"/>
  <c r="AJ30" i="8"/>
  <c r="AI30" i="8"/>
  <c r="AH30" i="8"/>
  <c r="AG30" i="8"/>
  <c r="AB30" i="8"/>
  <c r="Z30" i="8"/>
  <c r="Y30" i="8"/>
  <c r="X30" i="8"/>
  <c r="W30" i="8"/>
  <c r="Q30" i="8"/>
  <c r="P30" i="8"/>
  <c r="O30" i="8"/>
  <c r="N30" i="8"/>
  <c r="I30" i="8"/>
  <c r="E30" i="8"/>
  <c r="BP29" i="8"/>
  <c r="BF29" i="8"/>
  <c r="BD29" i="8"/>
  <c r="BC29" i="8"/>
  <c r="BB29" i="8"/>
  <c r="BA29" i="8"/>
  <c r="AV29" i="8"/>
  <c r="AT29" i="8"/>
  <c r="AS29" i="8"/>
  <c r="AR29" i="8"/>
  <c r="AQ29" i="8"/>
  <c r="AL29" i="8"/>
  <c r="AJ29" i="8"/>
  <c r="AI29" i="8"/>
  <c r="AH29" i="8"/>
  <c r="AG29" i="8"/>
  <c r="AB29" i="8"/>
  <c r="Z29" i="8"/>
  <c r="Y29" i="8"/>
  <c r="X29" i="8"/>
  <c r="W29" i="8"/>
  <c r="Q29" i="8"/>
  <c r="P29" i="8"/>
  <c r="O29" i="8"/>
  <c r="N29" i="8"/>
  <c r="I29" i="8"/>
  <c r="E29" i="8"/>
  <c r="BP28" i="8"/>
  <c r="BF28" i="8"/>
  <c r="BD28" i="8"/>
  <c r="BB28" i="8"/>
  <c r="BA28" i="8"/>
  <c r="AV28" i="8"/>
  <c r="AT28" i="8"/>
  <c r="AS28" i="8"/>
  <c r="AR28" i="8"/>
  <c r="AQ28" i="8"/>
  <c r="AL28" i="8"/>
  <c r="AJ28" i="8"/>
  <c r="AH28" i="8"/>
  <c r="AG28" i="8"/>
  <c r="AB28" i="8"/>
  <c r="Z28" i="8"/>
  <c r="Y28" i="8"/>
  <c r="X28" i="8"/>
  <c r="W28" i="8"/>
  <c r="Q28" i="8"/>
  <c r="P28" i="8"/>
  <c r="O28" i="8"/>
  <c r="N28" i="8"/>
  <c r="I28" i="8"/>
  <c r="E28" i="8"/>
  <c r="BP85" i="8"/>
  <c r="BF85" i="8"/>
  <c r="BD85" i="8"/>
  <c r="BC85" i="8"/>
  <c r="BB85" i="8"/>
  <c r="BA85" i="8"/>
  <c r="AV85" i="8"/>
  <c r="AT85" i="8"/>
  <c r="AS85" i="8"/>
  <c r="AR85" i="8"/>
  <c r="AQ85" i="8"/>
  <c r="AL85" i="8"/>
  <c r="AJ85" i="8"/>
  <c r="AI85" i="8"/>
  <c r="AH85" i="8"/>
  <c r="AG85" i="8"/>
  <c r="AB85" i="8"/>
  <c r="Z85" i="8"/>
  <c r="Y85" i="8"/>
  <c r="X85" i="8"/>
  <c r="W85" i="8"/>
  <c r="Q85" i="8"/>
  <c r="P85" i="8"/>
  <c r="O85" i="8"/>
  <c r="N85" i="8"/>
  <c r="I85" i="8"/>
  <c r="E85" i="8"/>
  <c r="BP84" i="8"/>
  <c r="BF84" i="8"/>
  <c r="BD84" i="8"/>
  <c r="BC84" i="8"/>
  <c r="BB84" i="8"/>
  <c r="BA84" i="8"/>
  <c r="AV84" i="8"/>
  <c r="AT84" i="8"/>
  <c r="AS84" i="8"/>
  <c r="AR84" i="8"/>
  <c r="AQ84" i="8"/>
  <c r="AL84" i="8"/>
  <c r="AJ84" i="8"/>
  <c r="AI84" i="8"/>
  <c r="AH84" i="8"/>
  <c r="AG84" i="8"/>
  <c r="AB84" i="8"/>
  <c r="Z84" i="8"/>
  <c r="Y84" i="8"/>
  <c r="X84" i="8"/>
  <c r="W84" i="8"/>
  <c r="Q84" i="8"/>
  <c r="P84" i="8"/>
  <c r="O84" i="8"/>
  <c r="N84" i="8"/>
  <c r="I84" i="8"/>
  <c r="E84" i="8"/>
  <c r="BP83" i="8"/>
  <c r="BF83" i="8"/>
  <c r="BD83" i="8"/>
  <c r="BC83" i="8"/>
  <c r="BB83" i="8"/>
  <c r="BA83" i="8"/>
  <c r="AV83" i="8"/>
  <c r="AT83" i="8"/>
  <c r="AS83" i="8"/>
  <c r="AR83" i="8"/>
  <c r="AQ83" i="8"/>
  <c r="AL83" i="8"/>
  <c r="AJ83" i="8"/>
  <c r="AI83" i="8"/>
  <c r="AH83" i="8"/>
  <c r="AG83" i="8"/>
  <c r="AB83" i="8"/>
  <c r="Z83" i="8"/>
  <c r="Y83" i="8"/>
  <c r="X83" i="8"/>
  <c r="W83" i="8"/>
  <c r="Q83" i="8"/>
  <c r="P83" i="8"/>
  <c r="O83" i="8"/>
  <c r="N83" i="8"/>
  <c r="I83" i="8"/>
  <c r="E83" i="8"/>
  <c r="BP82" i="8"/>
  <c r="BF82" i="8"/>
  <c r="BD82" i="8"/>
  <c r="BC82" i="8"/>
  <c r="BB82" i="8"/>
  <c r="BA82" i="8"/>
  <c r="AV82" i="8"/>
  <c r="AT82" i="8"/>
  <c r="AS82" i="8"/>
  <c r="AR82" i="8"/>
  <c r="AQ82" i="8"/>
  <c r="AL82" i="8"/>
  <c r="AJ82" i="8"/>
  <c r="AI82" i="8"/>
  <c r="AH82" i="8"/>
  <c r="AG82" i="8"/>
  <c r="AB82" i="8"/>
  <c r="Z82" i="8"/>
  <c r="Y82" i="8"/>
  <c r="X82" i="8"/>
  <c r="W82" i="8"/>
  <c r="Q82" i="8"/>
  <c r="P82" i="8"/>
  <c r="O82" i="8"/>
  <c r="N82" i="8"/>
  <c r="I82" i="8"/>
  <c r="E82" i="8"/>
  <c r="BP81" i="8"/>
  <c r="BF81" i="8"/>
  <c r="BD81" i="8"/>
  <c r="BC81" i="8"/>
  <c r="BB81" i="8"/>
  <c r="BA81" i="8"/>
  <c r="AV81" i="8"/>
  <c r="AT81" i="8"/>
  <c r="AS81" i="8"/>
  <c r="AR81" i="8"/>
  <c r="AQ81" i="8"/>
  <c r="AL81" i="8"/>
  <c r="AJ81" i="8"/>
  <c r="AI81" i="8"/>
  <c r="AH81" i="8"/>
  <c r="AG81" i="8"/>
  <c r="AB81" i="8"/>
  <c r="Z81" i="8"/>
  <c r="Y81" i="8"/>
  <c r="X81" i="8"/>
  <c r="W81" i="8"/>
  <c r="Q81" i="8"/>
  <c r="P81" i="8"/>
  <c r="O81" i="8"/>
  <c r="N81" i="8"/>
  <c r="I81" i="8"/>
  <c r="E81" i="8"/>
  <c r="BP80" i="8"/>
  <c r="BF80" i="8"/>
  <c r="BD80" i="8"/>
  <c r="BC80" i="8"/>
  <c r="BB80" i="8"/>
  <c r="BA80" i="8"/>
  <c r="AV80" i="8"/>
  <c r="AT80" i="8"/>
  <c r="AS80" i="8"/>
  <c r="AR80" i="8"/>
  <c r="AQ80" i="8"/>
  <c r="AL80" i="8"/>
  <c r="AJ80" i="8"/>
  <c r="AI80" i="8"/>
  <c r="AH80" i="8"/>
  <c r="AG80" i="8"/>
  <c r="AB80" i="8"/>
  <c r="Z80" i="8"/>
  <c r="Y80" i="8"/>
  <c r="X80" i="8"/>
  <c r="W80" i="8"/>
  <c r="Q80" i="8"/>
  <c r="P80" i="8"/>
  <c r="O80" i="8"/>
  <c r="N80" i="8"/>
  <c r="I80" i="8"/>
  <c r="E80" i="8"/>
  <c r="BP79" i="8"/>
  <c r="BF79" i="8"/>
  <c r="BD79" i="8"/>
  <c r="BC79" i="8"/>
  <c r="BB79" i="8"/>
  <c r="BA79" i="8"/>
  <c r="AV79" i="8"/>
  <c r="AT79" i="8"/>
  <c r="AS79" i="8"/>
  <c r="AR79" i="8"/>
  <c r="AQ79" i="8"/>
  <c r="AL79" i="8"/>
  <c r="AJ79" i="8"/>
  <c r="AI79" i="8"/>
  <c r="AH79" i="8"/>
  <c r="AG79" i="8"/>
  <c r="AB79" i="8"/>
  <c r="Z79" i="8"/>
  <c r="Y79" i="8"/>
  <c r="X79" i="8"/>
  <c r="W79" i="8"/>
  <c r="Q79" i="8"/>
  <c r="P79" i="8"/>
  <c r="O79" i="8"/>
  <c r="N79" i="8"/>
  <c r="I79" i="8"/>
  <c r="E79" i="8"/>
  <c r="BP78" i="8"/>
  <c r="BF78" i="8"/>
  <c r="BD78" i="8"/>
  <c r="BC78" i="8"/>
  <c r="BB78" i="8"/>
  <c r="BA78" i="8"/>
  <c r="AV78" i="8"/>
  <c r="AT78" i="8"/>
  <c r="AS78" i="8"/>
  <c r="AR78" i="8"/>
  <c r="AQ78" i="8"/>
  <c r="AL78" i="8"/>
  <c r="AJ78" i="8"/>
  <c r="AI78" i="8"/>
  <c r="AH78" i="8"/>
  <c r="AG78" i="8"/>
  <c r="AB78" i="8"/>
  <c r="Z78" i="8"/>
  <c r="Y78" i="8"/>
  <c r="X78" i="8"/>
  <c r="W78" i="8"/>
  <c r="Q78" i="8"/>
  <c r="P78" i="8"/>
  <c r="O78" i="8"/>
  <c r="N78" i="8"/>
  <c r="I78" i="8"/>
  <c r="E78" i="8"/>
  <c r="BP77" i="8"/>
  <c r="BF77" i="8"/>
  <c r="BD77" i="8"/>
  <c r="BC77" i="8"/>
  <c r="BB77" i="8"/>
  <c r="BA77" i="8"/>
  <c r="AV77" i="8"/>
  <c r="AT77" i="8"/>
  <c r="AS77" i="8"/>
  <c r="AR77" i="8"/>
  <c r="AQ77" i="8"/>
  <c r="AL77" i="8"/>
  <c r="AJ77" i="8"/>
  <c r="AI77" i="8"/>
  <c r="AH77" i="8"/>
  <c r="AG77" i="8"/>
  <c r="AB77" i="8"/>
  <c r="Z77" i="8"/>
  <c r="Y77" i="8"/>
  <c r="X77" i="8"/>
  <c r="W77" i="8"/>
  <c r="Q77" i="8"/>
  <c r="P77" i="8"/>
  <c r="O77" i="8"/>
  <c r="N77" i="8"/>
  <c r="I77" i="8"/>
  <c r="E77" i="8"/>
  <c r="BP76" i="8"/>
  <c r="BF76" i="8"/>
  <c r="BD76" i="8"/>
  <c r="BC76" i="8"/>
  <c r="BB76" i="8"/>
  <c r="BA76" i="8"/>
  <c r="AV76" i="8"/>
  <c r="AT76" i="8"/>
  <c r="AS76" i="8"/>
  <c r="AR76" i="8"/>
  <c r="AQ76" i="8"/>
  <c r="AL76" i="8"/>
  <c r="AJ76" i="8"/>
  <c r="AI76" i="8"/>
  <c r="AH76" i="8"/>
  <c r="AG76" i="8"/>
  <c r="AB76" i="8"/>
  <c r="Z76" i="8"/>
  <c r="Y76" i="8"/>
  <c r="X76" i="8"/>
  <c r="W76" i="8"/>
  <c r="Q76" i="8"/>
  <c r="P76" i="8"/>
  <c r="O76" i="8"/>
  <c r="N76" i="8"/>
  <c r="I76" i="8"/>
  <c r="E76" i="8"/>
  <c r="BP75" i="8"/>
  <c r="BF75" i="8"/>
  <c r="BD75" i="8"/>
  <c r="BC75" i="8"/>
  <c r="BB75" i="8"/>
  <c r="BA75" i="8"/>
  <c r="AV75" i="8"/>
  <c r="AT75" i="8"/>
  <c r="AS75" i="8"/>
  <c r="AR75" i="8"/>
  <c r="AQ75" i="8"/>
  <c r="AL75" i="8"/>
  <c r="AJ75" i="8"/>
  <c r="AI75" i="8"/>
  <c r="AH75" i="8"/>
  <c r="AG75" i="8"/>
  <c r="AB75" i="8"/>
  <c r="Z75" i="8"/>
  <c r="Y75" i="8"/>
  <c r="X75" i="8"/>
  <c r="W75" i="8"/>
  <c r="Q75" i="8"/>
  <c r="P75" i="8"/>
  <c r="O75" i="8"/>
  <c r="N75" i="8"/>
  <c r="I75" i="8"/>
  <c r="E75" i="8"/>
  <c r="BP74" i="8"/>
  <c r="BF74" i="8"/>
  <c r="BD74" i="8"/>
  <c r="BC74" i="8"/>
  <c r="BB74" i="8"/>
  <c r="BA74" i="8"/>
  <c r="AV74" i="8"/>
  <c r="AT74" i="8"/>
  <c r="AS74" i="8"/>
  <c r="AR74" i="8"/>
  <c r="AQ74" i="8"/>
  <c r="AL74" i="8"/>
  <c r="AJ74" i="8"/>
  <c r="AI74" i="8"/>
  <c r="AH74" i="8"/>
  <c r="AG74" i="8"/>
  <c r="AB74" i="8"/>
  <c r="Z74" i="8"/>
  <c r="Y74" i="8"/>
  <c r="X74" i="8"/>
  <c r="W74" i="8"/>
  <c r="Q74" i="8"/>
  <c r="P74" i="8"/>
  <c r="O74" i="8"/>
  <c r="N74" i="8"/>
  <c r="I74" i="8"/>
  <c r="E74" i="8"/>
  <c r="BP73" i="8"/>
  <c r="BF73" i="8"/>
  <c r="BD73" i="8"/>
  <c r="BC73" i="8"/>
  <c r="BB73" i="8"/>
  <c r="BA73" i="8"/>
  <c r="AV73" i="8"/>
  <c r="AT73" i="8"/>
  <c r="AS73" i="8"/>
  <c r="AR73" i="8"/>
  <c r="AQ73" i="8"/>
  <c r="AL73" i="8"/>
  <c r="AJ73" i="8"/>
  <c r="AI73" i="8"/>
  <c r="AH73" i="8"/>
  <c r="AG73" i="8"/>
  <c r="AB73" i="8"/>
  <c r="Z73" i="8"/>
  <c r="Y73" i="8"/>
  <c r="X73" i="8"/>
  <c r="W73" i="8"/>
  <c r="Q73" i="8"/>
  <c r="P73" i="8"/>
  <c r="O73" i="8"/>
  <c r="N73" i="8"/>
  <c r="I73" i="8"/>
  <c r="E73" i="8"/>
  <c r="BP72" i="8"/>
  <c r="BF72" i="8"/>
  <c r="BD72" i="8"/>
  <c r="BC72" i="8"/>
  <c r="BB72" i="8"/>
  <c r="BA72" i="8"/>
  <c r="AV72" i="8"/>
  <c r="AT72" i="8"/>
  <c r="AS72" i="8"/>
  <c r="AR72" i="8"/>
  <c r="AQ72" i="8"/>
  <c r="AL72" i="8"/>
  <c r="AJ72" i="8"/>
  <c r="AI72" i="8"/>
  <c r="AH72" i="8"/>
  <c r="AG72" i="8"/>
  <c r="AB72" i="8"/>
  <c r="Z72" i="8"/>
  <c r="Y72" i="8"/>
  <c r="X72" i="8"/>
  <c r="W72" i="8"/>
  <c r="Q72" i="8"/>
  <c r="P72" i="8"/>
  <c r="O72" i="8"/>
  <c r="N72" i="8"/>
  <c r="I72" i="8"/>
  <c r="E72" i="8"/>
  <c r="BP71" i="8"/>
  <c r="BF71" i="8"/>
  <c r="BD71" i="8"/>
  <c r="BC71" i="8"/>
  <c r="BB71" i="8"/>
  <c r="BA71" i="8"/>
  <c r="AV71" i="8"/>
  <c r="AT71" i="8"/>
  <c r="AS71" i="8"/>
  <c r="AR71" i="8"/>
  <c r="AQ71" i="8"/>
  <c r="AL71" i="8"/>
  <c r="AJ71" i="8"/>
  <c r="AI71" i="8"/>
  <c r="AH71" i="8"/>
  <c r="AG71" i="8"/>
  <c r="AB71" i="8"/>
  <c r="Z71" i="8"/>
  <c r="Y71" i="8"/>
  <c r="X71" i="8"/>
  <c r="W71" i="8"/>
  <c r="Q71" i="8"/>
  <c r="P71" i="8"/>
  <c r="O71" i="8"/>
  <c r="N71" i="8"/>
  <c r="I71" i="8"/>
  <c r="E71" i="8"/>
  <c r="BP70" i="8"/>
  <c r="BF70" i="8"/>
  <c r="BD70" i="8"/>
  <c r="BC70" i="8"/>
  <c r="BB70" i="8"/>
  <c r="BA70" i="8"/>
  <c r="AV70" i="8"/>
  <c r="AT70" i="8"/>
  <c r="AS70" i="8"/>
  <c r="AR70" i="8"/>
  <c r="AQ70" i="8"/>
  <c r="AL70" i="8"/>
  <c r="AJ70" i="8"/>
  <c r="AI70" i="8"/>
  <c r="AH70" i="8"/>
  <c r="AG70" i="8"/>
  <c r="AB70" i="8"/>
  <c r="Z70" i="8"/>
  <c r="Y70" i="8"/>
  <c r="X70" i="8"/>
  <c r="W70" i="8"/>
  <c r="Q70" i="8"/>
  <c r="P70" i="8"/>
  <c r="O70" i="8"/>
  <c r="N70" i="8"/>
  <c r="I70" i="8"/>
  <c r="E70" i="8"/>
  <c r="BP69" i="8"/>
  <c r="BF69" i="8"/>
  <c r="BD69" i="8"/>
  <c r="BC69" i="8"/>
  <c r="BB69" i="8"/>
  <c r="BA69" i="8"/>
  <c r="AV69" i="8"/>
  <c r="AT69" i="8"/>
  <c r="AS69" i="8"/>
  <c r="AR69" i="8"/>
  <c r="AQ69" i="8"/>
  <c r="AL69" i="8"/>
  <c r="AJ69" i="8"/>
  <c r="AI69" i="8"/>
  <c r="AH69" i="8"/>
  <c r="AG69" i="8"/>
  <c r="AB69" i="8"/>
  <c r="Z69" i="8"/>
  <c r="Y69" i="8"/>
  <c r="X69" i="8"/>
  <c r="W69" i="8"/>
  <c r="Q69" i="8"/>
  <c r="P69" i="8"/>
  <c r="O69" i="8"/>
  <c r="N69" i="8"/>
  <c r="I69" i="8"/>
  <c r="E69" i="8"/>
  <c r="BP68" i="8"/>
  <c r="BF68" i="8"/>
  <c r="BD68" i="8"/>
  <c r="BC68" i="8"/>
  <c r="BB68" i="8"/>
  <c r="BA68" i="8"/>
  <c r="AV68" i="8"/>
  <c r="AT68" i="8"/>
  <c r="AS68" i="8"/>
  <c r="AR68" i="8"/>
  <c r="AQ68" i="8"/>
  <c r="AL68" i="8"/>
  <c r="AJ68" i="8"/>
  <c r="AI68" i="8"/>
  <c r="AH68" i="8"/>
  <c r="AG68" i="8"/>
  <c r="AB68" i="8"/>
  <c r="Z68" i="8"/>
  <c r="Y68" i="8"/>
  <c r="X68" i="8"/>
  <c r="W68" i="8"/>
  <c r="Q68" i="8"/>
  <c r="P68" i="8"/>
  <c r="O68" i="8"/>
  <c r="N68" i="8"/>
  <c r="I68" i="8"/>
  <c r="E68" i="8"/>
  <c r="BP67" i="8"/>
  <c r="BF67" i="8"/>
  <c r="BD67" i="8"/>
  <c r="BC67" i="8"/>
  <c r="BB67" i="8"/>
  <c r="BA67" i="8"/>
  <c r="AV67" i="8"/>
  <c r="AT67" i="8"/>
  <c r="AS67" i="8"/>
  <c r="AR67" i="8"/>
  <c r="AQ67" i="8"/>
  <c r="AL67" i="8"/>
  <c r="AJ67" i="8"/>
  <c r="AI67" i="8"/>
  <c r="AH67" i="8"/>
  <c r="AG67" i="8"/>
  <c r="AB67" i="8"/>
  <c r="Z67" i="8"/>
  <c r="Y67" i="8"/>
  <c r="X67" i="8"/>
  <c r="W67" i="8"/>
  <c r="Q67" i="8"/>
  <c r="P67" i="8"/>
  <c r="O67" i="8"/>
  <c r="N67" i="8"/>
  <c r="I67" i="8"/>
  <c r="E67" i="8"/>
  <c r="BP66" i="8"/>
  <c r="BF66" i="8"/>
  <c r="BD66" i="8"/>
  <c r="BC66" i="8"/>
  <c r="BB66" i="8"/>
  <c r="BA66" i="8"/>
  <c r="AV66" i="8"/>
  <c r="AT66" i="8"/>
  <c r="AS66" i="8"/>
  <c r="AR66" i="8"/>
  <c r="AQ66" i="8"/>
  <c r="AL66" i="8"/>
  <c r="AJ66" i="8"/>
  <c r="AI66" i="8"/>
  <c r="AH66" i="8"/>
  <c r="AG66" i="8"/>
  <c r="AB66" i="8"/>
  <c r="Z66" i="8"/>
  <c r="Y66" i="8"/>
  <c r="X66" i="8"/>
  <c r="W66" i="8"/>
  <c r="Q66" i="8"/>
  <c r="P66" i="8"/>
  <c r="O66" i="8"/>
  <c r="N66" i="8"/>
  <c r="I66" i="8"/>
  <c r="E66" i="8"/>
  <c r="BP65" i="8"/>
  <c r="BF65" i="8"/>
  <c r="BD65" i="8"/>
  <c r="BC65" i="8"/>
  <c r="BB65" i="8"/>
  <c r="BA65" i="8"/>
  <c r="AV65" i="8"/>
  <c r="AT65" i="8"/>
  <c r="AS65" i="8"/>
  <c r="AR65" i="8"/>
  <c r="AQ65" i="8"/>
  <c r="AL65" i="8"/>
  <c r="AJ65" i="8"/>
  <c r="AI65" i="8"/>
  <c r="AH65" i="8"/>
  <c r="AG65" i="8"/>
  <c r="AB65" i="8"/>
  <c r="Z65" i="8"/>
  <c r="Y65" i="8"/>
  <c r="X65" i="8"/>
  <c r="W65" i="8"/>
  <c r="Q65" i="8"/>
  <c r="P65" i="8"/>
  <c r="O65" i="8"/>
  <c r="N65" i="8"/>
  <c r="I65" i="8"/>
  <c r="E65" i="8"/>
  <c r="BP64" i="8"/>
  <c r="BF64" i="8"/>
  <c r="BD64" i="8"/>
  <c r="BC64" i="8"/>
  <c r="BB64" i="8"/>
  <c r="BA64" i="8"/>
  <c r="AV64" i="8"/>
  <c r="AT64" i="8"/>
  <c r="AS64" i="8"/>
  <c r="AR64" i="8"/>
  <c r="AQ64" i="8"/>
  <c r="AL64" i="8"/>
  <c r="AJ64" i="8"/>
  <c r="AI64" i="8"/>
  <c r="AH64" i="8"/>
  <c r="AG64" i="8"/>
  <c r="AB64" i="8"/>
  <c r="Z64" i="8"/>
  <c r="Y64" i="8"/>
  <c r="X64" i="8"/>
  <c r="W64" i="8"/>
  <c r="Q64" i="8"/>
  <c r="P64" i="8"/>
  <c r="O64" i="8"/>
  <c r="N64" i="8"/>
  <c r="I64" i="8"/>
  <c r="E64" i="8"/>
  <c r="BP63" i="8"/>
  <c r="BF63" i="8"/>
  <c r="BD63" i="8"/>
  <c r="BC63" i="8"/>
  <c r="BB63" i="8"/>
  <c r="BA63" i="8"/>
  <c r="AV63" i="8"/>
  <c r="AT63" i="8"/>
  <c r="AS63" i="8"/>
  <c r="AR63" i="8"/>
  <c r="AQ63" i="8"/>
  <c r="AL63" i="8"/>
  <c r="AJ63" i="8"/>
  <c r="AI63" i="8"/>
  <c r="AH63" i="8"/>
  <c r="AG63" i="8"/>
  <c r="AB63" i="8"/>
  <c r="Z63" i="8"/>
  <c r="Y63" i="8"/>
  <c r="X63" i="8"/>
  <c r="W63" i="8"/>
  <c r="Q63" i="8"/>
  <c r="P63" i="8"/>
  <c r="O63" i="8"/>
  <c r="N63" i="8"/>
  <c r="I63" i="8"/>
  <c r="E63" i="8"/>
  <c r="BP62" i="8"/>
  <c r="BF62" i="8"/>
  <c r="BD62" i="8"/>
  <c r="BC62" i="8"/>
  <c r="BB62" i="8"/>
  <c r="BA62" i="8"/>
  <c r="AV62" i="8"/>
  <c r="AT62" i="8"/>
  <c r="AS62" i="8"/>
  <c r="AR62" i="8"/>
  <c r="AQ62" i="8"/>
  <c r="AL62" i="8"/>
  <c r="AJ62" i="8"/>
  <c r="AI62" i="8"/>
  <c r="AH62" i="8"/>
  <c r="AG62" i="8"/>
  <c r="AB62" i="8"/>
  <c r="Z62" i="8"/>
  <c r="Y62" i="8"/>
  <c r="X62" i="8"/>
  <c r="W62" i="8"/>
  <c r="Q62" i="8"/>
  <c r="P62" i="8"/>
  <c r="O62" i="8"/>
  <c r="N62" i="8"/>
  <c r="I62" i="8"/>
  <c r="E62" i="8"/>
  <c r="BP61" i="8"/>
  <c r="BF61" i="8"/>
  <c r="BD61" i="8"/>
  <c r="BC61" i="8"/>
  <c r="BB61" i="8"/>
  <c r="BA61" i="8"/>
  <c r="AV61" i="8"/>
  <c r="AT61" i="8"/>
  <c r="AS61" i="8"/>
  <c r="AR61" i="8"/>
  <c r="AQ61" i="8"/>
  <c r="AL61" i="8"/>
  <c r="AJ61" i="8"/>
  <c r="AI61" i="8"/>
  <c r="AH61" i="8"/>
  <c r="AG61" i="8"/>
  <c r="AB61" i="8"/>
  <c r="Z61" i="8"/>
  <c r="Y61" i="8"/>
  <c r="X61" i="8"/>
  <c r="W61" i="8"/>
  <c r="Q61" i="8"/>
  <c r="P61" i="8"/>
  <c r="O61" i="8"/>
  <c r="N61" i="8"/>
  <c r="I61" i="8"/>
  <c r="E61" i="8"/>
  <c r="BP60" i="8"/>
  <c r="BF60" i="8"/>
  <c r="BD60" i="8"/>
  <c r="BC60" i="8"/>
  <c r="BB60" i="8"/>
  <c r="BA60" i="8"/>
  <c r="AV60" i="8"/>
  <c r="AT60" i="8"/>
  <c r="AS60" i="8"/>
  <c r="AR60" i="8"/>
  <c r="AQ60" i="8"/>
  <c r="AL60" i="8"/>
  <c r="AJ60" i="8"/>
  <c r="AI60" i="8"/>
  <c r="AH60" i="8"/>
  <c r="AG60" i="8"/>
  <c r="AB60" i="8"/>
  <c r="Z60" i="8"/>
  <c r="Y60" i="8"/>
  <c r="X60" i="8"/>
  <c r="W60" i="8"/>
  <c r="Q60" i="8"/>
  <c r="P60" i="8"/>
  <c r="O60" i="8"/>
  <c r="N60" i="8"/>
  <c r="I60" i="8"/>
  <c r="E60" i="8"/>
  <c r="BP59" i="8"/>
  <c r="BF59" i="8"/>
  <c r="BD59" i="8"/>
  <c r="BC59" i="8"/>
  <c r="BB59" i="8"/>
  <c r="BA59" i="8"/>
  <c r="AV59" i="8"/>
  <c r="AT59" i="8"/>
  <c r="AS59" i="8"/>
  <c r="AR59" i="8"/>
  <c r="AQ59" i="8"/>
  <c r="AL59" i="8"/>
  <c r="AJ59" i="8"/>
  <c r="AI59" i="8"/>
  <c r="AH59" i="8"/>
  <c r="AG59" i="8"/>
  <c r="AB59" i="8"/>
  <c r="Z59" i="8"/>
  <c r="Y59" i="8"/>
  <c r="X59" i="8"/>
  <c r="W59" i="8"/>
  <c r="Q59" i="8"/>
  <c r="P59" i="8"/>
  <c r="O59" i="8"/>
  <c r="N59" i="8"/>
  <c r="I59" i="8"/>
  <c r="E59" i="8"/>
  <c r="BP58" i="8"/>
  <c r="BF58" i="8"/>
  <c r="BD58" i="8"/>
  <c r="BC58" i="8"/>
  <c r="BB58" i="8"/>
  <c r="BA58" i="8"/>
  <c r="AV58" i="8"/>
  <c r="AT58" i="8"/>
  <c r="AS58" i="8"/>
  <c r="AR58" i="8"/>
  <c r="AQ58" i="8"/>
  <c r="AL58" i="8"/>
  <c r="AJ58" i="8"/>
  <c r="AI58" i="8"/>
  <c r="AH58" i="8"/>
  <c r="AG58" i="8"/>
  <c r="AB58" i="8"/>
  <c r="Z58" i="8"/>
  <c r="Y58" i="8"/>
  <c r="X58" i="8"/>
  <c r="W58" i="8"/>
  <c r="Q58" i="8"/>
  <c r="P58" i="8"/>
  <c r="O58" i="8"/>
  <c r="N58" i="8"/>
  <c r="I58" i="8"/>
  <c r="E58" i="8"/>
  <c r="BP57" i="8"/>
  <c r="BF57" i="8"/>
  <c r="BD57" i="8"/>
  <c r="BB57" i="8"/>
  <c r="BA57" i="8"/>
  <c r="AV57" i="8"/>
  <c r="AT57" i="8"/>
  <c r="AR57" i="8"/>
  <c r="AQ57" i="8"/>
  <c r="AL57" i="8"/>
  <c r="AJ57" i="8"/>
  <c r="AH57" i="8"/>
  <c r="AG57" i="8"/>
  <c r="AB57" i="8"/>
  <c r="Z57" i="8"/>
  <c r="Y57" i="8"/>
  <c r="X57" i="8"/>
  <c r="W57" i="8"/>
  <c r="Q57" i="8"/>
  <c r="P57" i="8"/>
  <c r="O57" i="8"/>
  <c r="N57" i="8"/>
  <c r="I57" i="8"/>
  <c r="E57" i="8"/>
  <c r="BP55" i="8" l="1"/>
  <c r="G33" i="5" l="1"/>
  <c r="I33" i="5"/>
  <c r="G34" i="5"/>
  <c r="I34" i="5"/>
  <c r="G35" i="5"/>
  <c r="I35" i="5"/>
  <c r="G32" i="5"/>
  <c r="I32" i="5"/>
  <c r="I22" i="8" l="1"/>
  <c r="D2" i="13" l="1"/>
  <c r="E2" i="13"/>
  <c r="F2" i="13"/>
  <c r="H2" i="13"/>
  <c r="D3" i="13"/>
  <c r="E3" i="13"/>
  <c r="F3" i="13"/>
  <c r="H3" i="13"/>
  <c r="D4" i="13"/>
  <c r="E4" i="13"/>
  <c r="F4" i="13"/>
  <c r="H4" i="13"/>
  <c r="D5" i="13"/>
  <c r="E5" i="13"/>
  <c r="F5" i="13"/>
  <c r="H5" i="13"/>
  <c r="D6" i="13"/>
  <c r="E6" i="13"/>
  <c r="F6" i="13"/>
  <c r="H6" i="13"/>
  <c r="D7" i="13"/>
  <c r="E7" i="13"/>
  <c r="F7" i="13"/>
  <c r="H7" i="13"/>
  <c r="D8" i="13"/>
  <c r="E8" i="13"/>
  <c r="F8" i="13"/>
  <c r="H8" i="13"/>
  <c r="D9" i="13"/>
  <c r="E9" i="13"/>
  <c r="F9" i="13"/>
  <c r="H9" i="13"/>
  <c r="D10" i="13"/>
  <c r="E10" i="13"/>
  <c r="F10" i="13"/>
  <c r="H10" i="13"/>
  <c r="D11" i="13"/>
  <c r="E11" i="13"/>
  <c r="F11" i="13"/>
  <c r="H11" i="13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E18" i="8"/>
  <c r="E19" i="8"/>
  <c r="E20" i="8"/>
  <c r="E21" i="8"/>
  <c r="E22" i="8"/>
  <c r="E23" i="8"/>
  <c r="E24" i="8"/>
  <c r="E25" i="8"/>
  <c r="E26" i="8"/>
  <c r="H47" i="10" l="1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D10" i="10"/>
  <c r="E10" i="10"/>
  <c r="F10" i="10"/>
  <c r="D11" i="10"/>
  <c r="E11" i="10"/>
  <c r="F11" i="10"/>
  <c r="D12" i="10"/>
  <c r="E12" i="10"/>
  <c r="F12" i="10"/>
  <c r="D13" i="10"/>
  <c r="E13" i="10"/>
  <c r="F13" i="10"/>
  <c r="D14" i="10"/>
  <c r="E14" i="10"/>
  <c r="F14" i="10"/>
  <c r="D15" i="10"/>
  <c r="E15" i="10"/>
  <c r="F15" i="10"/>
  <c r="D16" i="10"/>
  <c r="E16" i="10"/>
  <c r="F16" i="10"/>
  <c r="D17" i="10"/>
  <c r="E17" i="10"/>
  <c r="F17" i="10"/>
  <c r="D18" i="10"/>
  <c r="E18" i="10"/>
  <c r="F18" i="10"/>
  <c r="D19" i="10"/>
  <c r="E19" i="10"/>
  <c r="F19" i="10"/>
  <c r="D20" i="10"/>
  <c r="E20" i="10"/>
  <c r="F20" i="10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29" i="10"/>
  <c r="E29" i="10"/>
  <c r="F29" i="10"/>
  <c r="D30" i="10"/>
  <c r="E30" i="10"/>
  <c r="F30" i="10"/>
  <c r="D31" i="10"/>
  <c r="E31" i="10"/>
  <c r="F31" i="10"/>
  <c r="D32" i="10"/>
  <c r="E32" i="10"/>
  <c r="F32" i="10"/>
  <c r="D47" i="10"/>
  <c r="E47" i="10"/>
  <c r="F47" i="10"/>
  <c r="D48" i="10"/>
  <c r="E48" i="10"/>
  <c r="F48" i="10"/>
  <c r="D49" i="10"/>
  <c r="E49" i="10"/>
  <c r="F49" i="10"/>
  <c r="D50" i="10"/>
  <c r="E50" i="10"/>
  <c r="F50" i="10"/>
  <c r="D51" i="10"/>
  <c r="E51" i="10"/>
  <c r="F51" i="10"/>
  <c r="D52" i="10"/>
  <c r="E52" i="10"/>
  <c r="F52" i="10"/>
  <c r="D53" i="10"/>
  <c r="E53" i="10"/>
  <c r="F53" i="10"/>
  <c r="D54" i="10"/>
  <c r="E54" i="10"/>
  <c r="F54" i="10"/>
  <c r="D55" i="10"/>
  <c r="E55" i="10"/>
  <c r="F55" i="10"/>
  <c r="D56" i="10"/>
  <c r="E56" i="10"/>
  <c r="F56" i="10"/>
  <c r="D57" i="10"/>
  <c r="E57" i="10"/>
  <c r="F57" i="10"/>
  <c r="D58" i="10"/>
  <c r="E58" i="10"/>
  <c r="F58" i="10"/>
  <c r="D59" i="10"/>
  <c r="E59" i="10"/>
  <c r="F59" i="10"/>
  <c r="D60" i="10"/>
  <c r="E60" i="10"/>
  <c r="F60" i="10"/>
  <c r="D61" i="10"/>
  <c r="E61" i="10"/>
  <c r="F61" i="10"/>
  <c r="D62" i="10"/>
  <c r="E62" i="10"/>
  <c r="F62" i="10"/>
  <c r="D63" i="10"/>
  <c r="E63" i="10"/>
  <c r="F63" i="10"/>
  <c r="D64" i="10"/>
  <c r="E64" i="10"/>
  <c r="F64" i="10"/>
  <c r="D65" i="10"/>
  <c r="E65" i="10"/>
  <c r="F65" i="10"/>
  <c r="D66" i="10"/>
  <c r="E66" i="10"/>
  <c r="F66" i="10"/>
  <c r="D67" i="10"/>
  <c r="E67" i="10"/>
  <c r="F67" i="10"/>
  <c r="D68" i="10"/>
  <c r="E68" i="10"/>
  <c r="F68" i="10"/>
  <c r="D69" i="10"/>
  <c r="E69" i="10"/>
  <c r="F69" i="10"/>
  <c r="D70" i="10"/>
  <c r="E70" i="10"/>
  <c r="F70" i="10"/>
  <c r="D71" i="10"/>
  <c r="E71" i="10"/>
  <c r="F71" i="10"/>
  <c r="D72" i="10"/>
  <c r="E72" i="10"/>
  <c r="F72" i="10"/>
  <c r="D73" i="10"/>
  <c r="E73" i="10"/>
  <c r="F73" i="10"/>
  <c r="D74" i="10"/>
  <c r="E74" i="10"/>
  <c r="F74" i="10"/>
  <c r="D75" i="10"/>
  <c r="E75" i="10"/>
  <c r="F75" i="10"/>
  <c r="D76" i="10"/>
  <c r="E76" i="10"/>
  <c r="F76" i="10"/>
  <c r="D77" i="10"/>
  <c r="E77" i="10"/>
  <c r="F77" i="10"/>
  <c r="D78" i="10"/>
  <c r="E78" i="10"/>
  <c r="F78" i="10"/>
  <c r="D79" i="10"/>
  <c r="E79" i="10"/>
  <c r="F79" i="10"/>
  <c r="E2" i="8"/>
  <c r="I2" i="8"/>
  <c r="N2" i="8"/>
  <c r="O2" i="8"/>
  <c r="P2" i="8"/>
  <c r="Q2" i="8"/>
  <c r="E3" i="8"/>
  <c r="I3" i="8"/>
  <c r="N3" i="8"/>
  <c r="O3" i="8"/>
  <c r="P3" i="8"/>
  <c r="Q3" i="8"/>
  <c r="E4" i="8"/>
  <c r="I4" i="8"/>
  <c r="N4" i="8"/>
  <c r="O4" i="8"/>
  <c r="P4" i="8"/>
  <c r="Q4" i="8"/>
  <c r="E5" i="8"/>
  <c r="I5" i="8"/>
  <c r="N5" i="8"/>
  <c r="O5" i="8"/>
  <c r="P5" i="8"/>
  <c r="Q5" i="8"/>
  <c r="E6" i="8"/>
  <c r="I6" i="8"/>
  <c r="N6" i="8"/>
  <c r="O6" i="8"/>
  <c r="P6" i="8"/>
  <c r="Q6" i="8"/>
  <c r="E7" i="8"/>
  <c r="I7" i="8"/>
  <c r="N7" i="8"/>
  <c r="O7" i="8"/>
  <c r="P7" i="8"/>
  <c r="Q7" i="8"/>
  <c r="E8" i="8"/>
  <c r="I8" i="8"/>
  <c r="N8" i="8"/>
  <c r="O8" i="8"/>
  <c r="P8" i="8"/>
  <c r="Q8" i="8"/>
  <c r="G11" i="5" l="1"/>
  <c r="I11" i="5"/>
  <c r="I52" i="14" l="1"/>
  <c r="E5" i="14"/>
  <c r="E51" i="14"/>
  <c r="E50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4" i="14"/>
  <c r="C4" i="14"/>
  <c r="E3" i="14"/>
  <c r="C3" i="14"/>
  <c r="E2" i="14"/>
  <c r="C2" i="14"/>
  <c r="E52" i="14" l="1"/>
  <c r="O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M92" i="13"/>
  <c r="L92" i="13"/>
  <c r="O62" i="13"/>
  <c r="O61" i="13"/>
  <c r="O60" i="13"/>
  <c r="O59" i="13"/>
  <c r="O58" i="13"/>
  <c r="O57" i="13"/>
  <c r="O56" i="13"/>
  <c r="O55" i="13"/>
  <c r="O54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C92" i="13"/>
  <c r="O92" i="13" l="1"/>
  <c r="K37" i="11"/>
  <c r="I37" i="11"/>
  <c r="H37" i="11"/>
  <c r="G37" i="11"/>
  <c r="F37" i="11"/>
  <c r="K36" i="11"/>
  <c r="I36" i="11"/>
  <c r="H36" i="11"/>
  <c r="G36" i="11"/>
  <c r="F36" i="11"/>
  <c r="K35" i="11"/>
  <c r="I35" i="11"/>
  <c r="H35" i="11"/>
  <c r="G35" i="11"/>
  <c r="F35" i="11"/>
  <c r="K34" i="11"/>
  <c r="I34" i="11"/>
  <c r="H34" i="11"/>
  <c r="G34" i="11"/>
  <c r="F34" i="11"/>
  <c r="K33" i="11"/>
  <c r="I33" i="11"/>
  <c r="H33" i="11"/>
  <c r="G33" i="11"/>
  <c r="F33" i="11"/>
  <c r="K32" i="11"/>
  <c r="I32" i="11"/>
  <c r="H32" i="11"/>
  <c r="G32" i="11"/>
  <c r="F32" i="11"/>
  <c r="K31" i="11"/>
  <c r="I31" i="11"/>
  <c r="H31" i="11"/>
  <c r="G31" i="11"/>
  <c r="F31" i="11"/>
  <c r="K30" i="11"/>
  <c r="I30" i="11"/>
  <c r="H30" i="11"/>
  <c r="G30" i="11"/>
  <c r="F30" i="11"/>
  <c r="K29" i="11"/>
  <c r="I29" i="11"/>
  <c r="H29" i="11"/>
  <c r="G29" i="11"/>
  <c r="F29" i="11"/>
  <c r="K28" i="11"/>
  <c r="I28" i="11"/>
  <c r="H28" i="11"/>
  <c r="G28" i="11"/>
  <c r="F28" i="11"/>
  <c r="K27" i="11"/>
  <c r="I27" i="11"/>
  <c r="H27" i="11"/>
  <c r="G27" i="11"/>
  <c r="F27" i="11"/>
  <c r="K26" i="11"/>
  <c r="I26" i="11"/>
  <c r="H26" i="11"/>
  <c r="G26" i="11"/>
  <c r="F26" i="11"/>
  <c r="K25" i="11"/>
  <c r="I25" i="11"/>
  <c r="H25" i="11"/>
  <c r="G25" i="11"/>
  <c r="F25" i="11"/>
  <c r="K24" i="11"/>
  <c r="I24" i="11"/>
  <c r="H24" i="11"/>
  <c r="G24" i="11"/>
  <c r="F24" i="11"/>
  <c r="K23" i="11"/>
  <c r="I23" i="11"/>
  <c r="H23" i="11"/>
  <c r="G23" i="11"/>
  <c r="F23" i="11"/>
  <c r="K22" i="11"/>
  <c r="I22" i="11"/>
  <c r="H22" i="11"/>
  <c r="G22" i="11"/>
  <c r="F22" i="11"/>
  <c r="H6" i="10"/>
  <c r="H7" i="10"/>
  <c r="H8" i="10"/>
  <c r="H9" i="10"/>
  <c r="H33" i="10"/>
  <c r="H34" i="10"/>
  <c r="H35" i="10"/>
  <c r="H36" i="10"/>
  <c r="H37" i="10"/>
  <c r="H38" i="10"/>
  <c r="H39" i="10"/>
  <c r="H40" i="10"/>
  <c r="D6" i="10"/>
  <c r="E6" i="10"/>
  <c r="F6" i="10"/>
  <c r="D7" i="10"/>
  <c r="E7" i="10"/>
  <c r="F7" i="10"/>
  <c r="D8" i="10"/>
  <c r="E8" i="10"/>
  <c r="F8" i="10"/>
  <c r="D9" i="10"/>
  <c r="E9" i="10"/>
  <c r="F9" i="10"/>
  <c r="D33" i="10"/>
  <c r="E33" i="10"/>
  <c r="F33" i="10"/>
  <c r="D34" i="10"/>
  <c r="E34" i="10"/>
  <c r="F34" i="10"/>
  <c r="D35" i="10"/>
  <c r="E35" i="10"/>
  <c r="F35" i="10"/>
  <c r="D36" i="10"/>
  <c r="E36" i="10"/>
  <c r="F36" i="10"/>
  <c r="D37" i="10"/>
  <c r="E37" i="10"/>
  <c r="F37" i="10"/>
  <c r="D38" i="10"/>
  <c r="E38" i="10"/>
  <c r="F38" i="10"/>
  <c r="D39" i="10"/>
  <c r="E39" i="10"/>
  <c r="F39" i="10"/>
  <c r="D40" i="10"/>
  <c r="E40" i="10"/>
  <c r="F40" i="10"/>
  <c r="H24" i="13"/>
  <c r="H25" i="13"/>
  <c r="H26" i="13"/>
  <c r="H27" i="13"/>
  <c r="H54" i="13"/>
  <c r="H55" i="13"/>
  <c r="H56" i="13"/>
  <c r="D24" i="13"/>
  <c r="E24" i="13"/>
  <c r="F24" i="13"/>
  <c r="D25" i="13"/>
  <c r="E25" i="13"/>
  <c r="F25" i="13"/>
  <c r="D26" i="13"/>
  <c r="E26" i="13"/>
  <c r="F26" i="13"/>
  <c r="D27" i="13"/>
  <c r="E27" i="13"/>
  <c r="F27" i="13"/>
  <c r="D54" i="13"/>
  <c r="E54" i="13"/>
  <c r="F54" i="13"/>
  <c r="D55" i="13"/>
  <c r="E55" i="13"/>
  <c r="F55" i="13"/>
  <c r="D56" i="13"/>
  <c r="E56" i="13"/>
  <c r="F56" i="13"/>
  <c r="BP18" i="8"/>
  <c r="BP19" i="8"/>
  <c r="BP20" i="8"/>
  <c r="BP21" i="8"/>
  <c r="BP22" i="8"/>
  <c r="BP23" i="8"/>
  <c r="BP24" i="8"/>
  <c r="BP25" i="8"/>
  <c r="BP26" i="8"/>
  <c r="BF18" i="8"/>
  <c r="BF19" i="8"/>
  <c r="BF20" i="8"/>
  <c r="BF21" i="8"/>
  <c r="BF22" i="8"/>
  <c r="BF23" i="8"/>
  <c r="BF24" i="8"/>
  <c r="BF25" i="8"/>
  <c r="BF26" i="8"/>
  <c r="BA18" i="8"/>
  <c r="BB18" i="8"/>
  <c r="BC18" i="8"/>
  <c r="BD18" i="8"/>
  <c r="BA19" i="8"/>
  <c r="BB19" i="8"/>
  <c r="BC19" i="8"/>
  <c r="BD19" i="8"/>
  <c r="BA20" i="8"/>
  <c r="BB20" i="8"/>
  <c r="BC20" i="8"/>
  <c r="BD20" i="8"/>
  <c r="BA21" i="8"/>
  <c r="BB21" i="8"/>
  <c r="BC21" i="8"/>
  <c r="BD21" i="8"/>
  <c r="BA22" i="8"/>
  <c r="BB22" i="8"/>
  <c r="BC22" i="8"/>
  <c r="BD22" i="8"/>
  <c r="BA23" i="8"/>
  <c r="BB23" i="8"/>
  <c r="BC23" i="8"/>
  <c r="BD23" i="8"/>
  <c r="BA24" i="8"/>
  <c r="BB24" i="8"/>
  <c r="BC24" i="8"/>
  <c r="BD24" i="8"/>
  <c r="BA25" i="8"/>
  <c r="BB25" i="8"/>
  <c r="BC25" i="8"/>
  <c r="BD25" i="8"/>
  <c r="BA26" i="8"/>
  <c r="BB26" i="8"/>
  <c r="BC26" i="8"/>
  <c r="BD26" i="8"/>
  <c r="AV18" i="8"/>
  <c r="AV19" i="8"/>
  <c r="AV20" i="8"/>
  <c r="AV21" i="8"/>
  <c r="AV22" i="8"/>
  <c r="AV23" i="8"/>
  <c r="AV24" i="8"/>
  <c r="AV25" i="8"/>
  <c r="AV26" i="8"/>
  <c r="AQ18" i="8"/>
  <c r="AR18" i="8"/>
  <c r="AS18" i="8"/>
  <c r="AT18" i="8"/>
  <c r="AQ19" i="8"/>
  <c r="AR19" i="8"/>
  <c r="AS19" i="8"/>
  <c r="AT19" i="8"/>
  <c r="AQ20" i="8"/>
  <c r="AR20" i="8"/>
  <c r="AS20" i="8"/>
  <c r="AT20" i="8"/>
  <c r="AQ21" i="8"/>
  <c r="AR21" i="8"/>
  <c r="AS21" i="8"/>
  <c r="AT21" i="8"/>
  <c r="AQ22" i="8"/>
  <c r="AR22" i="8"/>
  <c r="AS22" i="8"/>
  <c r="AT22" i="8"/>
  <c r="AQ23" i="8"/>
  <c r="AR23" i="8"/>
  <c r="AS23" i="8"/>
  <c r="AT23" i="8"/>
  <c r="AQ24" i="8"/>
  <c r="AR24" i="8"/>
  <c r="AS24" i="8"/>
  <c r="AT24" i="8"/>
  <c r="AQ25" i="8"/>
  <c r="AR25" i="8"/>
  <c r="AS25" i="8"/>
  <c r="AT25" i="8"/>
  <c r="AQ26" i="8"/>
  <c r="AR26" i="8"/>
  <c r="AS26" i="8"/>
  <c r="AT26" i="8"/>
  <c r="AL18" i="8"/>
  <c r="AL19" i="8"/>
  <c r="AL20" i="8"/>
  <c r="AL21" i="8"/>
  <c r="AL22" i="8"/>
  <c r="AL23" i="8"/>
  <c r="AL24" i="8"/>
  <c r="AL25" i="8"/>
  <c r="AL26" i="8"/>
  <c r="AG18" i="8"/>
  <c r="AH18" i="8"/>
  <c r="AI18" i="8"/>
  <c r="AJ18" i="8"/>
  <c r="AG19" i="8"/>
  <c r="AH19" i="8"/>
  <c r="AI19" i="8"/>
  <c r="AJ19" i="8"/>
  <c r="AG20" i="8"/>
  <c r="AH20" i="8"/>
  <c r="AI20" i="8"/>
  <c r="AJ20" i="8"/>
  <c r="AG21" i="8"/>
  <c r="AH21" i="8"/>
  <c r="AI21" i="8"/>
  <c r="AJ21" i="8"/>
  <c r="AG22" i="8"/>
  <c r="AH22" i="8"/>
  <c r="AI22" i="8"/>
  <c r="AJ22" i="8"/>
  <c r="AG23" i="8"/>
  <c r="AH23" i="8"/>
  <c r="AI23" i="8"/>
  <c r="AJ23" i="8"/>
  <c r="AG24" i="8"/>
  <c r="AH24" i="8"/>
  <c r="AI24" i="8"/>
  <c r="AJ24" i="8"/>
  <c r="AG25" i="8"/>
  <c r="AH25" i="8"/>
  <c r="AI25" i="8"/>
  <c r="AJ25" i="8"/>
  <c r="AG26" i="8"/>
  <c r="AH26" i="8"/>
  <c r="AI26" i="8"/>
  <c r="AJ26" i="8"/>
  <c r="AB18" i="8"/>
  <c r="AB19" i="8"/>
  <c r="AB20" i="8"/>
  <c r="AB21" i="8"/>
  <c r="AB22" i="8"/>
  <c r="AB23" i="8"/>
  <c r="AB24" i="8"/>
  <c r="AB25" i="8"/>
  <c r="AB26" i="8"/>
  <c r="W18" i="8"/>
  <c r="X18" i="8"/>
  <c r="Y18" i="8"/>
  <c r="Z18" i="8"/>
  <c r="W19" i="8"/>
  <c r="X19" i="8"/>
  <c r="Y19" i="8"/>
  <c r="Z19" i="8"/>
  <c r="W20" i="8"/>
  <c r="X20" i="8"/>
  <c r="Y20" i="8"/>
  <c r="Z20" i="8"/>
  <c r="W21" i="8"/>
  <c r="X21" i="8"/>
  <c r="Y21" i="8"/>
  <c r="Z21" i="8"/>
  <c r="W22" i="8"/>
  <c r="X22" i="8"/>
  <c r="Y22" i="8"/>
  <c r="Z22" i="8"/>
  <c r="W23" i="8"/>
  <c r="X23" i="8"/>
  <c r="Y23" i="8"/>
  <c r="Z23" i="8"/>
  <c r="W24" i="8"/>
  <c r="X24" i="8"/>
  <c r="Y24" i="8"/>
  <c r="Z24" i="8"/>
  <c r="W25" i="8"/>
  <c r="X25" i="8"/>
  <c r="Y25" i="8"/>
  <c r="Z25" i="8"/>
  <c r="W26" i="8"/>
  <c r="X26" i="8"/>
  <c r="Y26" i="8"/>
  <c r="Z26" i="8"/>
  <c r="N18" i="8"/>
  <c r="O18" i="8"/>
  <c r="P18" i="8"/>
  <c r="Q18" i="8"/>
  <c r="N19" i="8"/>
  <c r="O19" i="8"/>
  <c r="P19" i="8"/>
  <c r="Q19" i="8"/>
  <c r="N20" i="8"/>
  <c r="O20" i="8"/>
  <c r="P20" i="8"/>
  <c r="Q20" i="8"/>
  <c r="N21" i="8"/>
  <c r="O21" i="8"/>
  <c r="P21" i="8"/>
  <c r="Q21" i="8"/>
  <c r="N22" i="8"/>
  <c r="O22" i="8"/>
  <c r="P22" i="8"/>
  <c r="Q22" i="8"/>
  <c r="N23" i="8"/>
  <c r="O23" i="8"/>
  <c r="P23" i="8"/>
  <c r="Q23" i="8"/>
  <c r="N24" i="8"/>
  <c r="O24" i="8"/>
  <c r="P24" i="8"/>
  <c r="Q24" i="8"/>
  <c r="N25" i="8"/>
  <c r="O25" i="8"/>
  <c r="P25" i="8"/>
  <c r="Q25" i="8"/>
  <c r="N26" i="8"/>
  <c r="O26" i="8"/>
  <c r="P26" i="8"/>
  <c r="Q26" i="8"/>
  <c r="I18" i="8"/>
  <c r="I19" i="8"/>
  <c r="I20" i="8"/>
  <c r="I21" i="8"/>
  <c r="I23" i="8"/>
  <c r="I24" i="8"/>
  <c r="I25" i="8"/>
  <c r="I26" i="8"/>
  <c r="AB9" i="6"/>
  <c r="AD9" i="6" s="1"/>
  <c r="AC9" i="6"/>
  <c r="AE9" i="6" s="1"/>
  <c r="AB10" i="6"/>
  <c r="AD10" i="6" s="1"/>
  <c r="AC10" i="6"/>
  <c r="AE10" i="6" s="1"/>
  <c r="AB11" i="6"/>
  <c r="AD11" i="6" s="1"/>
  <c r="AC11" i="6"/>
  <c r="AE11" i="6" s="1"/>
  <c r="AB12" i="6"/>
  <c r="AD12" i="6" s="1"/>
  <c r="AC12" i="6"/>
  <c r="AE12" i="6" s="1"/>
  <c r="AB13" i="6"/>
  <c r="AD13" i="6" s="1"/>
  <c r="AC13" i="6"/>
  <c r="AE13" i="6" s="1"/>
  <c r="AB14" i="6"/>
  <c r="AD14" i="6" s="1"/>
  <c r="AC14" i="6"/>
  <c r="AE14" i="6" s="1"/>
  <c r="AB15" i="6"/>
  <c r="AD15" i="6" s="1"/>
  <c r="AC15" i="6"/>
  <c r="AE15" i="6" s="1"/>
  <c r="AB16" i="6"/>
  <c r="AD16" i="6" s="1"/>
  <c r="AC16" i="6"/>
  <c r="AE16" i="6" s="1"/>
  <c r="AB17" i="6"/>
  <c r="AD17" i="6" s="1"/>
  <c r="AC17" i="6"/>
  <c r="AE17" i="6" s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Q9" i="6"/>
  <c r="S9" i="6" s="1"/>
  <c r="R9" i="6"/>
  <c r="T9" i="6" s="1"/>
  <c r="U9" i="6"/>
  <c r="V9" i="6"/>
  <c r="W9" i="6"/>
  <c r="Q10" i="6"/>
  <c r="S10" i="6" s="1"/>
  <c r="R10" i="6"/>
  <c r="T10" i="6" s="1"/>
  <c r="U10" i="6"/>
  <c r="V10" i="6"/>
  <c r="W10" i="6"/>
  <c r="Q11" i="6"/>
  <c r="S11" i="6" s="1"/>
  <c r="R11" i="6"/>
  <c r="T11" i="6" s="1"/>
  <c r="U11" i="6"/>
  <c r="V11" i="6"/>
  <c r="W11" i="6"/>
  <c r="Q12" i="6"/>
  <c r="S12" i="6" s="1"/>
  <c r="R12" i="6"/>
  <c r="T12" i="6" s="1"/>
  <c r="U12" i="6"/>
  <c r="V12" i="6"/>
  <c r="W12" i="6"/>
  <c r="Q13" i="6"/>
  <c r="S13" i="6" s="1"/>
  <c r="R13" i="6"/>
  <c r="T13" i="6" s="1"/>
  <c r="U13" i="6"/>
  <c r="V13" i="6"/>
  <c r="W13" i="6"/>
  <c r="Q14" i="6"/>
  <c r="S14" i="6" s="1"/>
  <c r="R14" i="6"/>
  <c r="T14" i="6" s="1"/>
  <c r="U14" i="6"/>
  <c r="V14" i="6"/>
  <c r="W14" i="6"/>
  <c r="Q15" i="6"/>
  <c r="S15" i="6" s="1"/>
  <c r="R15" i="6"/>
  <c r="T15" i="6" s="1"/>
  <c r="U15" i="6"/>
  <c r="V15" i="6"/>
  <c r="W15" i="6"/>
  <c r="Q16" i="6"/>
  <c r="S16" i="6" s="1"/>
  <c r="R16" i="6"/>
  <c r="T16" i="6" s="1"/>
  <c r="U16" i="6"/>
  <c r="V16" i="6"/>
  <c r="W16" i="6"/>
  <c r="Q17" i="6"/>
  <c r="S17" i="6" s="1"/>
  <c r="R17" i="6"/>
  <c r="T17" i="6" s="1"/>
  <c r="U17" i="6"/>
  <c r="V17" i="6"/>
  <c r="W17" i="6"/>
  <c r="AB5" i="6"/>
  <c r="AD5" i="6" s="1"/>
  <c r="AC5" i="6"/>
  <c r="AE5" i="6" s="1"/>
  <c r="AB6" i="6"/>
  <c r="AD6" i="6" s="1"/>
  <c r="AC6" i="6"/>
  <c r="AE6" i="6" s="1"/>
  <c r="AB7" i="6"/>
  <c r="AD7" i="6" s="1"/>
  <c r="AC7" i="6"/>
  <c r="AE7" i="6" s="1"/>
  <c r="AB8" i="6"/>
  <c r="AD8" i="6" s="1"/>
  <c r="AC8" i="6"/>
  <c r="AE8" i="6" s="1"/>
  <c r="AB18" i="6"/>
  <c r="AD18" i="6" s="1"/>
  <c r="AC18" i="6"/>
  <c r="AE18" i="6" s="1"/>
  <c r="AB19" i="6"/>
  <c r="AD19" i="6" s="1"/>
  <c r="AC19" i="6"/>
  <c r="AE19" i="6" s="1"/>
  <c r="Q5" i="6"/>
  <c r="S5" i="6" s="1"/>
  <c r="R5" i="6"/>
  <c r="T5" i="6" s="1"/>
  <c r="U5" i="6"/>
  <c r="V5" i="6"/>
  <c r="W5" i="6"/>
  <c r="Q6" i="6"/>
  <c r="S6" i="6" s="1"/>
  <c r="R6" i="6"/>
  <c r="T6" i="6" s="1"/>
  <c r="U6" i="6"/>
  <c r="V6" i="6"/>
  <c r="W6" i="6"/>
  <c r="Q7" i="6"/>
  <c r="S7" i="6" s="1"/>
  <c r="R7" i="6"/>
  <c r="T7" i="6" s="1"/>
  <c r="U7" i="6"/>
  <c r="V7" i="6"/>
  <c r="W7" i="6"/>
  <c r="Q8" i="6"/>
  <c r="S8" i="6" s="1"/>
  <c r="R8" i="6"/>
  <c r="T8" i="6" s="1"/>
  <c r="U8" i="6"/>
  <c r="V8" i="6"/>
  <c r="W8" i="6"/>
  <c r="Q18" i="6"/>
  <c r="S18" i="6" s="1"/>
  <c r="R18" i="6"/>
  <c r="T18" i="6" s="1"/>
  <c r="U18" i="6"/>
  <c r="V18" i="6"/>
  <c r="W18" i="6"/>
  <c r="Q19" i="6"/>
  <c r="S19" i="6" s="1"/>
  <c r="R19" i="6"/>
  <c r="T19" i="6" s="1"/>
  <c r="U19" i="6"/>
  <c r="V19" i="6"/>
  <c r="W19" i="6"/>
  <c r="E27" i="8"/>
  <c r="I27" i="8"/>
  <c r="N27" i="8"/>
  <c r="O27" i="8"/>
  <c r="P27" i="8"/>
  <c r="Q27" i="8"/>
  <c r="W27" i="8"/>
  <c r="X27" i="8"/>
  <c r="Y27" i="8"/>
  <c r="Z27" i="8"/>
  <c r="AB27" i="8"/>
  <c r="AG27" i="8"/>
  <c r="AH27" i="8"/>
  <c r="AI27" i="8"/>
  <c r="AJ27" i="8"/>
  <c r="AL27" i="8"/>
  <c r="AQ27" i="8"/>
  <c r="AR27" i="8"/>
  <c r="AS27" i="8"/>
  <c r="AT27" i="8"/>
  <c r="AV27" i="8"/>
  <c r="BA27" i="8"/>
  <c r="BB27" i="8"/>
  <c r="BC27" i="8"/>
  <c r="BD27" i="8"/>
  <c r="BF27" i="8"/>
  <c r="BP27" i="8"/>
  <c r="E54" i="8"/>
  <c r="I54" i="8"/>
  <c r="N54" i="8"/>
  <c r="O54" i="8"/>
  <c r="P54" i="8"/>
  <c r="Q54" i="8"/>
  <c r="W54" i="8"/>
  <c r="X54" i="8"/>
  <c r="Y54" i="8"/>
  <c r="Z54" i="8"/>
  <c r="AB54" i="8"/>
  <c r="AG54" i="8"/>
  <c r="AH54" i="8"/>
  <c r="AI54" i="8"/>
  <c r="AJ54" i="8"/>
  <c r="AL54" i="8"/>
  <c r="AQ54" i="8"/>
  <c r="AR54" i="8"/>
  <c r="AS54" i="8"/>
  <c r="AT54" i="8"/>
  <c r="AV54" i="8"/>
  <c r="BA54" i="8"/>
  <c r="BB54" i="8"/>
  <c r="BC54" i="8"/>
  <c r="BD54" i="8"/>
  <c r="BF54" i="8"/>
  <c r="BP54" i="8"/>
  <c r="E55" i="8"/>
  <c r="I55" i="8"/>
  <c r="N55" i="8"/>
  <c r="O55" i="8"/>
  <c r="P55" i="8"/>
  <c r="Q55" i="8"/>
  <c r="W55" i="8"/>
  <c r="X55" i="8"/>
  <c r="Y55" i="8"/>
  <c r="Z55" i="8"/>
  <c r="AB55" i="8"/>
  <c r="AG55" i="8"/>
  <c r="AH55" i="8"/>
  <c r="AI55" i="8"/>
  <c r="AJ55" i="8"/>
  <c r="AL55" i="8"/>
  <c r="AQ55" i="8"/>
  <c r="AR55" i="8"/>
  <c r="AS55" i="8"/>
  <c r="AT55" i="8"/>
  <c r="AV55" i="8"/>
  <c r="BA55" i="8"/>
  <c r="BB55" i="8"/>
  <c r="BC55" i="8"/>
  <c r="BD55" i="8"/>
  <c r="BF55" i="8"/>
  <c r="E56" i="8"/>
  <c r="I56" i="8"/>
  <c r="N56" i="8"/>
  <c r="O56" i="8"/>
  <c r="P56" i="8"/>
  <c r="Q56" i="8"/>
  <c r="W56" i="8"/>
  <c r="X56" i="8"/>
  <c r="Y56" i="8"/>
  <c r="Z56" i="8"/>
  <c r="AB56" i="8"/>
  <c r="AG56" i="8"/>
  <c r="AH56" i="8"/>
  <c r="AI56" i="8"/>
  <c r="AJ56" i="8"/>
  <c r="AL56" i="8"/>
  <c r="AQ56" i="8"/>
  <c r="AR56" i="8"/>
  <c r="AS56" i="8"/>
  <c r="AT56" i="8"/>
  <c r="AV56" i="8"/>
  <c r="BA56" i="8"/>
  <c r="BB56" i="8"/>
  <c r="BC56" i="8"/>
  <c r="BD56" i="8"/>
  <c r="BF56" i="8"/>
  <c r="BP56" i="8"/>
  <c r="E86" i="8"/>
  <c r="I86" i="8"/>
  <c r="N86" i="8"/>
  <c r="O86" i="8"/>
  <c r="P86" i="8"/>
  <c r="Q86" i="8"/>
  <c r="W86" i="8"/>
  <c r="X86" i="8"/>
  <c r="Y86" i="8"/>
  <c r="Z86" i="8"/>
  <c r="AB86" i="8"/>
  <c r="AG86" i="8"/>
  <c r="AH86" i="8"/>
  <c r="AI86" i="8"/>
  <c r="AJ86" i="8"/>
  <c r="AL86" i="8"/>
  <c r="AQ86" i="8"/>
  <c r="AR86" i="8"/>
  <c r="AS86" i="8"/>
  <c r="AT86" i="8"/>
  <c r="AV86" i="8"/>
  <c r="BA86" i="8"/>
  <c r="BB86" i="8"/>
  <c r="BC86" i="8"/>
  <c r="BD86" i="8"/>
  <c r="BF86" i="8"/>
  <c r="BP86" i="8"/>
  <c r="E88" i="8"/>
  <c r="I88" i="8"/>
  <c r="N88" i="8"/>
  <c r="O88" i="8"/>
  <c r="P88" i="8"/>
  <c r="Q88" i="8"/>
  <c r="W88" i="8"/>
  <c r="X88" i="8"/>
  <c r="Y88" i="8"/>
  <c r="Z88" i="8"/>
  <c r="AB88" i="8"/>
  <c r="AG88" i="8"/>
  <c r="AH88" i="8"/>
  <c r="AI88" i="8"/>
  <c r="AJ88" i="8"/>
  <c r="AL88" i="8"/>
  <c r="AQ88" i="8"/>
  <c r="AR88" i="8"/>
  <c r="AS88" i="8"/>
  <c r="AT88" i="8"/>
  <c r="AV88" i="8"/>
  <c r="BA88" i="8"/>
  <c r="BB88" i="8"/>
  <c r="BC88" i="8"/>
  <c r="BD88" i="8"/>
  <c r="BF88" i="8"/>
  <c r="BP88" i="8"/>
  <c r="AB4" i="6" l="1"/>
  <c r="AD4" i="6" s="1"/>
  <c r="AC4" i="6"/>
  <c r="AE4" i="6" s="1"/>
  <c r="AB20" i="6"/>
  <c r="AD20" i="6" s="1"/>
  <c r="AC20" i="6"/>
  <c r="AE20" i="6" s="1"/>
  <c r="AB21" i="6"/>
  <c r="AD21" i="6" s="1"/>
  <c r="AC21" i="6"/>
  <c r="AE21" i="6" s="1"/>
  <c r="AB22" i="6"/>
  <c r="AD22" i="6" s="1"/>
  <c r="AC22" i="6"/>
  <c r="AE22" i="6" s="1"/>
  <c r="AB23" i="6"/>
  <c r="AD23" i="6" s="1"/>
  <c r="AC23" i="6"/>
  <c r="AE23" i="6" s="1"/>
  <c r="AB24" i="6"/>
  <c r="AD24" i="6" s="1"/>
  <c r="AC24" i="6"/>
  <c r="AE24" i="6" s="1"/>
  <c r="AB25" i="6"/>
  <c r="AD25" i="6" s="1"/>
  <c r="AC25" i="6"/>
  <c r="AE25" i="6" s="1"/>
  <c r="AB91" i="6"/>
  <c r="AD91" i="6" s="1"/>
  <c r="AC91" i="6"/>
  <c r="AE91" i="6" s="1"/>
  <c r="AB92" i="6"/>
  <c r="AD92" i="6" s="1"/>
  <c r="AC92" i="6"/>
  <c r="AE92" i="6" s="1"/>
  <c r="Q4" i="6"/>
  <c r="S4" i="6" s="1"/>
  <c r="R4" i="6"/>
  <c r="T4" i="6" s="1"/>
  <c r="U4" i="6"/>
  <c r="V4" i="6"/>
  <c r="W4" i="6"/>
  <c r="Q20" i="6"/>
  <c r="S20" i="6" s="1"/>
  <c r="R20" i="6"/>
  <c r="T20" i="6" s="1"/>
  <c r="U20" i="6"/>
  <c r="V20" i="6"/>
  <c r="W20" i="6"/>
  <c r="Q21" i="6"/>
  <c r="S21" i="6" s="1"/>
  <c r="R21" i="6"/>
  <c r="T21" i="6" s="1"/>
  <c r="U21" i="6"/>
  <c r="V21" i="6"/>
  <c r="W21" i="6"/>
  <c r="Q22" i="6"/>
  <c r="S22" i="6" s="1"/>
  <c r="R22" i="6"/>
  <c r="T22" i="6" s="1"/>
  <c r="U22" i="6"/>
  <c r="V22" i="6"/>
  <c r="W22" i="6"/>
  <c r="Q23" i="6"/>
  <c r="S23" i="6" s="1"/>
  <c r="R23" i="6"/>
  <c r="T23" i="6" s="1"/>
  <c r="U23" i="6"/>
  <c r="V23" i="6"/>
  <c r="W23" i="6"/>
  <c r="Q24" i="6"/>
  <c r="S24" i="6" s="1"/>
  <c r="R24" i="6"/>
  <c r="T24" i="6" s="1"/>
  <c r="U24" i="6"/>
  <c r="V24" i="6"/>
  <c r="W24" i="6"/>
  <c r="Q25" i="6"/>
  <c r="S25" i="6" s="1"/>
  <c r="R25" i="6"/>
  <c r="T25" i="6" s="1"/>
  <c r="U25" i="6"/>
  <c r="V25" i="6"/>
  <c r="W25" i="6"/>
  <c r="Q91" i="6"/>
  <c r="S91" i="6" s="1"/>
  <c r="R91" i="6"/>
  <c r="T91" i="6" s="1"/>
  <c r="U91" i="6"/>
  <c r="V91" i="6"/>
  <c r="W91" i="6"/>
  <c r="Q92" i="6"/>
  <c r="S92" i="6" s="1"/>
  <c r="R92" i="6"/>
  <c r="T92" i="6" s="1"/>
  <c r="U92" i="6"/>
  <c r="V92" i="6"/>
  <c r="W92" i="6"/>
  <c r="H20" i="13" l="1"/>
  <c r="H21" i="13"/>
  <c r="H22" i="13"/>
  <c r="H2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F20" i="13"/>
  <c r="F21" i="13"/>
  <c r="F22" i="13"/>
  <c r="F23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E20" i="13"/>
  <c r="E21" i="13"/>
  <c r="E22" i="13"/>
  <c r="E23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D20" i="13"/>
  <c r="D21" i="13"/>
  <c r="D22" i="13"/>
  <c r="D23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F12" i="13"/>
  <c r="F13" i="13"/>
  <c r="F14" i="13"/>
  <c r="F15" i="13"/>
  <c r="F16" i="13"/>
  <c r="F17" i="13"/>
  <c r="F18" i="13"/>
  <c r="F19" i="13"/>
  <c r="H19" i="13"/>
  <c r="E19" i="13"/>
  <c r="D19" i="13"/>
  <c r="H18" i="13"/>
  <c r="E18" i="13"/>
  <c r="D18" i="13"/>
  <c r="H17" i="13"/>
  <c r="E17" i="13"/>
  <c r="D17" i="13"/>
  <c r="H16" i="13"/>
  <c r="E16" i="13"/>
  <c r="D16" i="13"/>
  <c r="H15" i="13"/>
  <c r="E15" i="13"/>
  <c r="D15" i="13"/>
  <c r="H14" i="13"/>
  <c r="E14" i="13"/>
  <c r="D14" i="13"/>
  <c r="H13" i="13"/>
  <c r="E13" i="13"/>
  <c r="D13" i="13"/>
  <c r="H12" i="13"/>
  <c r="E12" i="13"/>
  <c r="D12" i="13"/>
  <c r="F92" i="13" l="1"/>
  <c r="D92" i="13"/>
  <c r="E92" i="13"/>
  <c r="H92" i="13"/>
  <c r="K92" i="8" l="1"/>
  <c r="BP16" i="8"/>
  <c r="BF16" i="8"/>
  <c r="BD16" i="8"/>
  <c r="BC16" i="8"/>
  <c r="BB16" i="8"/>
  <c r="BA16" i="8"/>
  <c r="AV16" i="8"/>
  <c r="AT16" i="8"/>
  <c r="AS16" i="8"/>
  <c r="AR16" i="8"/>
  <c r="AQ16" i="8"/>
  <c r="AL16" i="8"/>
  <c r="AJ16" i="8"/>
  <c r="AI16" i="8"/>
  <c r="AH16" i="8"/>
  <c r="AG16" i="8"/>
  <c r="AB16" i="8"/>
  <c r="Z16" i="8"/>
  <c r="Y16" i="8"/>
  <c r="X16" i="8"/>
  <c r="W16" i="8"/>
  <c r="Q16" i="8"/>
  <c r="P16" i="8"/>
  <c r="O16" i="8"/>
  <c r="N16" i="8"/>
  <c r="I16" i="8"/>
  <c r="E16" i="8"/>
  <c r="AH4" i="6" l="1"/>
  <c r="AH21" i="6"/>
  <c r="AH22" i="6"/>
  <c r="AH23" i="6"/>
  <c r="AH24" i="6"/>
  <c r="AH25" i="6"/>
  <c r="AH91" i="6"/>
  <c r="AH92" i="6"/>
  <c r="AH3" i="6"/>
  <c r="AG4" i="6"/>
  <c r="AG21" i="6"/>
  <c r="AG22" i="6"/>
  <c r="AG23" i="6"/>
  <c r="AG24" i="6"/>
  <c r="AG25" i="6"/>
  <c r="AG91" i="6"/>
  <c r="AG92" i="6"/>
  <c r="AG3" i="6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BP2" i="8" l="1"/>
  <c r="BJ92" i="8"/>
  <c r="AX92" i="8"/>
  <c r="AN92" i="8"/>
  <c r="AD92" i="8"/>
  <c r="AB2" i="8"/>
  <c r="T92" i="8"/>
  <c r="K3" i="6" l="1"/>
  <c r="G3" i="5"/>
  <c r="G4" i="5"/>
  <c r="G5" i="5"/>
  <c r="G6" i="5"/>
  <c r="G7" i="5"/>
  <c r="G8" i="5"/>
  <c r="G9" i="5"/>
  <c r="G10" i="5"/>
  <c r="BP14" i="8" l="1"/>
  <c r="BF14" i="8"/>
  <c r="BD14" i="8"/>
  <c r="BC14" i="8"/>
  <c r="BB14" i="8"/>
  <c r="BA14" i="8"/>
  <c r="AV14" i="8"/>
  <c r="AT14" i="8"/>
  <c r="AS14" i="8"/>
  <c r="AR14" i="8"/>
  <c r="AQ14" i="8"/>
  <c r="AL14" i="8"/>
  <c r="AJ14" i="8"/>
  <c r="AI14" i="8"/>
  <c r="AH14" i="8"/>
  <c r="AG14" i="8"/>
  <c r="AB14" i="8"/>
  <c r="Z14" i="8"/>
  <c r="Y14" i="8"/>
  <c r="X14" i="8"/>
  <c r="W14" i="8"/>
  <c r="Q14" i="8"/>
  <c r="P14" i="8"/>
  <c r="O14" i="8"/>
  <c r="N14" i="8"/>
  <c r="I14" i="8"/>
  <c r="E14" i="8"/>
  <c r="BP13" i="8"/>
  <c r="BF13" i="8"/>
  <c r="BD13" i="8"/>
  <c r="BC13" i="8"/>
  <c r="BB13" i="8"/>
  <c r="BA13" i="8"/>
  <c r="AV13" i="8"/>
  <c r="AT13" i="8"/>
  <c r="AS13" i="8"/>
  <c r="AR13" i="8"/>
  <c r="AQ13" i="8"/>
  <c r="AL13" i="8"/>
  <c r="AJ13" i="8"/>
  <c r="AI13" i="8"/>
  <c r="AH13" i="8"/>
  <c r="AG13" i="8"/>
  <c r="AB13" i="8"/>
  <c r="Z13" i="8"/>
  <c r="Y13" i="8"/>
  <c r="X13" i="8"/>
  <c r="W13" i="8"/>
  <c r="Q13" i="8"/>
  <c r="P13" i="8"/>
  <c r="O13" i="8"/>
  <c r="N13" i="8"/>
  <c r="I13" i="8"/>
  <c r="E13" i="8"/>
  <c r="BP3" i="8" l="1"/>
  <c r="BP4" i="8"/>
  <c r="BP5" i="8"/>
  <c r="BP6" i="8"/>
  <c r="BP7" i="8"/>
  <c r="BP8" i="8"/>
  <c r="BP9" i="8"/>
  <c r="BP10" i="8"/>
  <c r="BP11" i="8"/>
  <c r="BP12" i="8"/>
  <c r="BP15" i="8"/>
  <c r="BP17" i="8"/>
  <c r="BP89" i="8"/>
  <c r="BP90" i="8"/>
  <c r="BP91" i="8"/>
  <c r="BN92" i="8"/>
  <c r="BM92" i="8"/>
  <c r="BP92" i="8" l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38" i="11"/>
  <c r="K39" i="11"/>
  <c r="K40" i="11"/>
  <c r="K41" i="11"/>
  <c r="K42" i="11"/>
  <c r="K43" i="11"/>
  <c r="K44" i="11"/>
  <c r="K45" i="11"/>
  <c r="K46" i="11"/>
  <c r="K47" i="11"/>
  <c r="K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38" i="11"/>
  <c r="H39" i="11"/>
  <c r="H40" i="11"/>
  <c r="H41" i="11"/>
  <c r="H42" i="11"/>
  <c r="H43" i="11"/>
  <c r="H44" i="11"/>
  <c r="H45" i="11"/>
  <c r="H46" i="11"/>
  <c r="H47" i="11"/>
  <c r="H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38" i="11"/>
  <c r="I39" i="11"/>
  <c r="I40" i="11"/>
  <c r="I41" i="11"/>
  <c r="I42" i="11"/>
  <c r="I43" i="11"/>
  <c r="I44" i="11"/>
  <c r="I45" i="11"/>
  <c r="I46" i="11"/>
  <c r="I47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38" i="11"/>
  <c r="G39" i="11"/>
  <c r="G40" i="11"/>
  <c r="G41" i="11"/>
  <c r="G42" i="11"/>
  <c r="G43" i="11"/>
  <c r="G44" i="11"/>
  <c r="G45" i="11"/>
  <c r="G46" i="11"/>
  <c r="G47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38" i="11"/>
  <c r="F39" i="11"/>
  <c r="F40" i="11"/>
  <c r="F41" i="11"/>
  <c r="F42" i="11"/>
  <c r="F43" i="11"/>
  <c r="F44" i="11"/>
  <c r="F45" i="11"/>
  <c r="F46" i="11"/>
  <c r="F47" i="11"/>
  <c r="F2" i="11"/>
  <c r="H3" i="10"/>
  <c r="H4" i="10"/>
  <c r="H5" i="10"/>
  <c r="H41" i="10"/>
  <c r="H42" i="10"/>
  <c r="H43" i="10"/>
  <c r="H44" i="10"/>
  <c r="H45" i="10"/>
  <c r="H46" i="10"/>
  <c r="H2" i="10"/>
  <c r="F3" i="10"/>
  <c r="F4" i="10"/>
  <c r="F5" i="10"/>
  <c r="F41" i="10"/>
  <c r="F42" i="10"/>
  <c r="F43" i="10"/>
  <c r="F44" i="10"/>
  <c r="F45" i="10"/>
  <c r="F46" i="10"/>
  <c r="F2" i="10"/>
  <c r="E3" i="10"/>
  <c r="E4" i="10"/>
  <c r="E5" i="10"/>
  <c r="E41" i="10"/>
  <c r="E42" i="10"/>
  <c r="E43" i="10"/>
  <c r="E44" i="10"/>
  <c r="E45" i="10"/>
  <c r="E46" i="10"/>
  <c r="E2" i="10"/>
  <c r="D2" i="10"/>
  <c r="D3" i="10"/>
  <c r="D4" i="10"/>
  <c r="D5" i="10"/>
  <c r="D41" i="10"/>
  <c r="D42" i="10"/>
  <c r="D43" i="10"/>
  <c r="D44" i="10"/>
  <c r="D45" i="10"/>
  <c r="D46" i="10"/>
  <c r="H122" i="10" l="1"/>
  <c r="G92" i="11"/>
  <c r="I92" i="11"/>
  <c r="F92" i="11"/>
  <c r="K92" i="11"/>
  <c r="H92" i="11"/>
  <c r="E122" i="10"/>
  <c r="D122" i="10"/>
  <c r="F122" i="10"/>
  <c r="J65" i="7"/>
  <c r="AJ4" i="6" l="1"/>
  <c r="AJ21" i="6"/>
  <c r="AJ22" i="6"/>
  <c r="AJ23" i="6"/>
  <c r="AJ24" i="6"/>
  <c r="AJ25" i="6"/>
  <c r="AJ91" i="6"/>
  <c r="AJ92" i="6"/>
  <c r="AJ3" i="6"/>
  <c r="AI4" i="6"/>
  <c r="AI21" i="6"/>
  <c r="AI22" i="6"/>
  <c r="AI23" i="6"/>
  <c r="AI24" i="6"/>
  <c r="AI25" i="6"/>
  <c r="AI91" i="6"/>
  <c r="AI92" i="6"/>
  <c r="AI3" i="6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G92" i="5"/>
  <c r="AB92" i="5" l="1"/>
  <c r="AA92" i="5"/>
  <c r="AI93" i="6"/>
  <c r="AJ93" i="6"/>
  <c r="W3" i="6"/>
  <c r="V3" i="6"/>
  <c r="U3" i="6"/>
  <c r="U3" i="5"/>
  <c r="Y92" i="5" l="1"/>
  <c r="X92" i="5"/>
  <c r="AH93" i="6"/>
  <c r="AG93" i="6"/>
  <c r="W93" i="6"/>
  <c r="U5" i="5" l="1"/>
  <c r="U4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R3" i="6" l="1"/>
  <c r="Q3" i="6"/>
  <c r="S3" i="6" s="1"/>
  <c r="I3" i="5"/>
  <c r="I4" i="5"/>
  <c r="I5" i="5"/>
  <c r="I6" i="5"/>
  <c r="I7" i="5"/>
  <c r="I8" i="5"/>
  <c r="I9" i="5"/>
  <c r="I10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E92" i="7"/>
  <c r="E9" i="8"/>
  <c r="E10" i="8"/>
  <c r="E11" i="8"/>
  <c r="E12" i="8"/>
  <c r="E15" i="8"/>
  <c r="E17" i="8"/>
  <c r="E89" i="8"/>
  <c r="E90" i="8"/>
  <c r="E91" i="8"/>
  <c r="E92" i="8" l="1"/>
  <c r="I92" i="5"/>
  <c r="BF91" i="8"/>
  <c r="BD91" i="8"/>
  <c r="BC91" i="8"/>
  <c r="BB91" i="8"/>
  <c r="BA91" i="8"/>
  <c r="BF90" i="8"/>
  <c r="BD90" i="8"/>
  <c r="BC90" i="8"/>
  <c r="BB90" i="8"/>
  <c r="BA90" i="8"/>
  <c r="BF89" i="8"/>
  <c r="BD89" i="8"/>
  <c r="BC89" i="8"/>
  <c r="BB89" i="8"/>
  <c r="BA89" i="8"/>
  <c r="BF17" i="8"/>
  <c r="BD17" i="8"/>
  <c r="BC17" i="8"/>
  <c r="BB17" i="8"/>
  <c r="BA17" i="8"/>
  <c r="BF15" i="8"/>
  <c r="BD15" i="8"/>
  <c r="BC15" i="8"/>
  <c r="BB15" i="8"/>
  <c r="BA15" i="8"/>
  <c r="BF12" i="8"/>
  <c r="BD12" i="8"/>
  <c r="BC12" i="8"/>
  <c r="BB12" i="8"/>
  <c r="BA12" i="8"/>
  <c r="BF11" i="8"/>
  <c r="BD11" i="8"/>
  <c r="BC11" i="8"/>
  <c r="BB11" i="8"/>
  <c r="BA11" i="8"/>
  <c r="BF10" i="8"/>
  <c r="BD10" i="8"/>
  <c r="BC10" i="8"/>
  <c r="BB10" i="8"/>
  <c r="BA10" i="8"/>
  <c r="BF9" i="8"/>
  <c r="BD9" i="8"/>
  <c r="BC9" i="8"/>
  <c r="BB9" i="8"/>
  <c r="BA9" i="8"/>
  <c r="BF8" i="8"/>
  <c r="BD8" i="8"/>
  <c r="BC8" i="8"/>
  <c r="BB8" i="8"/>
  <c r="BA8" i="8"/>
  <c r="BF7" i="8"/>
  <c r="BD7" i="8"/>
  <c r="BC7" i="8"/>
  <c r="BB7" i="8"/>
  <c r="BA7" i="8"/>
  <c r="BF6" i="8"/>
  <c r="BD6" i="8"/>
  <c r="BC6" i="8"/>
  <c r="BB6" i="8"/>
  <c r="BA6" i="8"/>
  <c r="BF5" i="8"/>
  <c r="BD5" i="8"/>
  <c r="BC5" i="8"/>
  <c r="BB5" i="8"/>
  <c r="BA5" i="8"/>
  <c r="BF4" i="8"/>
  <c r="BD4" i="8"/>
  <c r="BC4" i="8"/>
  <c r="BB4" i="8"/>
  <c r="BA4" i="8"/>
  <c r="BF3" i="8"/>
  <c r="BD3" i="8"/>
  <c r="BC3" i="8"/>
  <c r="BB3" i="8"/>
  <c r="BA3" i="8"/>
  <c r="BF2" i="8"/>
  <c r="BD2" i="8"/>
  <c r="BC2" i="8"/>
  <c r="BB2" i="8"/>
  <c r="BA2" i="8"/>
  <c r="AV91" i="8"/>
  <c r="AT91" i="8"/>
  <c r="AS91" i="8"/>
  <c r="AR91" i="8"/>
  <c r="AQ91" i="8"/>
  <c r="AV90" i="8"/>
  <c r="AT90" i="8"/>
  <c r="AS90" i="8"/>
  <c r="AR90" i="8"/>
  <c r="AQ90" i="8"/>
  <c r="AV89" i="8"/>
  <c r="AT89" i="8"/>
  <c r="AS89" i="8"/>
  <c r="AR89" i="8"/>
  <c r="AQ89" i="8"/>
  <c r="AV17" i="8"/>
  <c r="AT17" i="8"/>
  <c r="AS17" i="8"/>
  <c r="AR17" i="8"/>
  <c r="AQ17" i="8"/>
  <c r="AV15" i="8"/>
  <c r="AT15" i="8"/>
  <c r="AS15" i="8"/>
  <c r="AR15" i="8"/>
  <c r="AQ15" i="8"/>
  <c r="AV12" i="8"/>
  <c r="AT12" i="8"/>
  <c r="AS12" i="8"/>
  <c r="AR12" i="8"/>
  <c r="AQ12" i="8"/>
  <c r="AV11" i="8"/>
  <c r="AT11" i="8"/>
  <c r="AS11" i="8"/>
  <c r="AR11" i="8"/>
  <c r="AQ11" i="8"/>
  <c r="AV10" i="8"/>
  <c r="AT10" i="8"/>
  <c r="AS10" i="8"/>
  <c r="AR10" i="8"/>
  <c r="AQ10" i="8"/>
  <c r="AV9" i="8"/>
  <c r="AT9" i="8"/>
  <c r="AS9" i="8"/>
  <c r="AR9" i="8"/>
  <c r="AQ9" i="8"/>
  <c r="AV8" i="8"/>
  <c r="AT8" i="8"/>
  <c r="AS8" i="8"/>
  <c r="AR8" i="8"/>
  <c r="AQ8" i="8"/>
  <c r="AV7" i="8"/>
  <c r="AT7" i="8"/>
  <c r="AS7" i="8"/>
  <c r="AR7" i="8"/>
  <c r="AQ7" i="8"/>
  <c r="AV6" i="8"/>
  <c r="AT6" i="8"/>
  <c r="AS6" i="8"/>
  <c r="AR6" i="8"/>
  <c r="AQ6" i="8"/>
  <c r="AV5" i="8"/>
  <c r="AT5" i="8"/>
  <c r="AS5" i="8"/>
  <c r="AR5" i="8"/>
  <c r="AQ5" i="8"/>
  <c r="AV4" i="8"/>
  <c r="AT4" i="8"/>
  <c r="AS4" i="8"/>
  <c r="AR4" i="8"/>
  <c r="AQ4" i="8"/>
  <c r="AV3" i="8"/>
  <c r="AT3" i="8"/>
  <c r="AS3" i="8"/>
  <c r="AR3" i="8"/>
  <c r="AQ3" i="8"/>
  <c r="AV2" i="8"/>
  <c r="AT2" i="8"/>
  <c r="AS2" i="8"/>
  <c r="AR2" i="8"/>
  <c r="AQ2" i="8"/>
  <c r="AL91" i="8"/>
  <c r="AJ91" i="8"/>
  <c r="AI91" i="8"/>
  <c r="AH91" i="8"/>
  <c r="AG91" i="8"/>
  <c r="AL90" i="8"/>
  <c r="AJ90" i="8"/>
  <c r="AI90" i="8"/>
  <c r="AH90" i="8"/>
  <c r="AG90" i="8"/>
  <c r="AL89" i="8"/>
  <c r="AJ89" i="8"/>
  <c r="AI89" i="8"/>
  <c r="AH89" i="8"/>
  <c r="AG89" i="8"/>
  <c r="AL17" i="8"/>
  <c r="AJ17" i="8"/>
  <c r="AI17" i="8"/>
  <c r="AH17" i="8"/>
  <c r="AG17" i="8"/>
  <c r="AL15" i="8"/>
  <c r="AJ15" i="8"/>
  <c r="AI15" i="8"/>
  <c r="AH15" i="8"/>
  <c r="AG15" i="8"/>
  <c r="AL12" i="8"/>
  <c r="AJ12" i="8"/>
  <c r="AI12" i="8"/>
  <c r="AH12" i="8"/>
  <c r="AG12" i="8"/>
  <c r="AL11" i="8"/>
  <c r="AJ11" i="8"/>
  <c r="AI11" i="8"/>
  <c r="AH11" i="8"/>
  <c r="AG11" i="8"/>
  <c r="AL10" i="8"/>
  <c r="AJ10" i="8"/>
  <c r="AI10" i="8"/>
  <c r="AH10" i="8"/>
  <c r="AG10" i="8"/>
  <c r="AL9" i="8"/>
  <c r="AJ9" i="8"/>
  <c r="AI9" i="8"/>
  <c r="AH9" i="8"/>
  <c r="AG9" i="8"/>
  <c r="AL8" i="8"/>
  <c r="AJ8" i="8"/>
  <c r="AI8" i="8"/>
  <c r="AH8" i="8"/>
  <c r="AG8" i="8"/>
  <c r="AL7" i="8"/>
  <c r="AJ7" i="8"/>
  <c r="AI7" i="8"/>
  <c r="AH7" i="8"/>
  <c r="AG7" i="8"/>
  <c r="AL6" i="8"/>
  <c r="AJ6" i="8"/>
  <c r="AI6" i="8"/>
  <c r="AH6" i="8"/>
  <c r="AG6" i="8"/>
  <c r="AL5" i="8"/>
  <c r="AJ5" i="8"/>
  <c r="AI5" i="8"/>
  <c r="AH5" i="8"/>
  <c r="AG5" i="8"/>
  <c r="AL4" i="8"/>
  <c r="AJ4" i="8"/>
  <c r="AI4" i="8"/>
  <c r="AH4" i="8"/>
  <c r="AG4" i="8"/>
  <c r="AL3" i="8"/>
  <c r="AJ3" i="8"/>
  <c r="AI3" i="8"/>
  <c r="AH3" i="8"/>
  <c r="AG3" i="8"/>
  <c r="AL2" i="8"/>
  <c r="AJ2" i="8"/>
  <c r="AI2" i="8"/>
  <c r="AH2" i="8"/>
  <c r="AG2" i="8"/>
  <c r="AL92" i="8" l="1"/>
  <c r="AH92" i="8"/>
  <c r="AJ92" i="8"/>
  <c r="AG92" i="8"/>
  <c r="AI92" i="8"/>
  <c r="AV92" i="8"/>
  <c r="AQ92" i="8"/>
  <c r="AS92" i="8"/>
  <c r="AT92" i="8"/>
  <c r="AR92" i="8"/>
  <c r="BF92" i="8"/>
  <c r="BD92" i="8"/>
  <c r="BA92" i="8"/>
  <c r="BB92" i="8"/>
  <c r="BC92" i="8"/>
  <c r="Q91" i="8" l="1"/>
  <c r="Q90" i="8"/>
  <c r="Q89" i="8"/>
  <c r="Q17" i="8"/>
  <c r="Q15" i="8"/>
  <c r="Q12" i="8"/>
  <c r="Q11" i="8"/>
  <c r="Q10" i="8"/>
  <c r="Q9" i="8"/>
  <c r="Y2" i="8"/>
  <c r="Z3" i="8"/>
  <c r="Z4" i="8"/>
  <c r="Z5" i="8"/>
  <c r="Z6" i="8"/>
  <c r="Z7" i="8"/>
  <c r="Z8" i="8"/>
  <c r="Z9" i="8"/>
  <c r="Z10" i="8"/>
  <c r="Z11" i="8"/>
  <c r="Z12" i="8"/>
  <c r="Z15" i="8"/>
  <c r="Z17" i="8"/>
  <c r="Z89" i="8"/>
  <c r="Z90" i="8"/>
  <c r="Z91" i="8"/>
  <c r="Z2" i="8"/>
  <c r="M92" i="5"/>
  <c r="Q92" i="8" l="1"/>
  <c r="Z92" i="8"/>
  <c r="Y91" i="8"/>
  <c r="X91" i="8"/>
  <c r="W91" i="8"/>
  <c r="Y90" i="8"/>
  <c r="X90" i="8"/>
  <c r="W90" i="8"/>
  <c r="Y89" i="8"/>
  <c r="X89" i="8"/>
  <c r="W89" i="8"/>
  <c r="Y17" i="8"/>
  <c r="X17" i="8"/>
  <c r="W17" i="8"/>
  <c r="Y15" i="8"/>
  <c r="X15" i="8"/>
  <c r="W15" i="8"/>
  <c r="Y12" i="8"/>
  <c r="X12" i="8"/>
  <c r="W12" i="8"/>
  <c r="Y11" i="8"/>
  <c r="X11" i="8"/>
  <c r="W11" i="8"/>
  <c r="Y10" i="8"/>
  <c r="X10" i="8"/>
  <c r="W10" i="8"/>
  <c r="Y9" i="8"/>
  <c r="X9" i="8"/>
  <c r="W9" i="8"/>
  <c r="Y8" i="8"/>
  <c r="X8" i="8"/>
  <c r="W8" i="8"/>
  <c r="Y7" i="8"/>
  <c r="X7" i="8"/>
  <c r="W7" i="8"/>
  <c r="Y6" i="8"/>
  <c r="X6" i="8"/>
  <c r="W6" i="8"/>
  <c r="Y5" i="8"/>
  <c r="X5" i="8"/>
  <c r="W5" i="8"/>
  <c r="Y4" i="8"/>
  <c r="X4" i="8"/>
  <c r="W4" i="8"/>
  <c r="Y3" i="8"/>
  <c r="X3" i="8"/>
  <c r="W3" i="8"/>
  <c r="X2" i="8"/>
  <c r="W2" i="8"/>
  <c r="P91" i="8"/>
  <c r="O91" i="8"/>
  <c r="N91" i="8"/>
  <c r="P90" i="8"/>
  <c r="O90" i="8"/>
  <c r="N90" i="8"/>
  <c r="P89" i="8"/>
  <c r="O89" i="8"/>
  <c r="N89" i="8"/>
  <c r="P17" i="8"/>
  <c r="O17" i="8"/>
  <c r="N17" i="8"/>
  <c r="P15" i="8"/>
  <c r="O15" i="8"/>
  <c r="N15" i="8"/>
  <c r="P12" i="8"/>
  <c r="O12" i="8"/>
  <c r="N12" i="8"/>
  <c r="P11" i="8"/>
  <c r="O11" i="8"/>
  <c r="N11" i="8"/>
  <c r="P10" i="8"/>
  <c r="O10" i="8"/>
  <c r="N10" i="8"/>
  <c r="P9" i="8"/>
  <c r="O9" i="8"/>
  <c r="N9" i="8"/>
  <c r="Y92" i="8" l="1"/>
  <c r="O92" i="8"/>
  <c r="P92" i="8"/>
  <c r="W92" i="8"/>
  <c r="X92" i="8"/>
  <c r="N92" i="8"/>
  <c r="I9" i="8" l="1"/>
  <c r="I10" i="8"/>
  <c r="I11" i="8"/>
  <c r="I12" i="8"/>
  <c r="I15" i="8"/>
  <c r="I17" i="8"/>
  <c r="I89" i="8"/>
  <c r="I90" i="8"/>
  <c r="I91" i="8"/>
  <c r="AB91" i="8"/>
  <c r="AB90" i="8"/>
  <c r="AB89" i="8"/>
  <c r="AB17" i="8"/>
  <c r="AB15" i="8"/>
  <c r="AB12" i="8"/>
  <c r="AB11" i="8"/>
  <c r="AB10" i="8"/>
  <c r="AB9" i="8"/>
  <c r="AB8" i="8"/>
  <c r="AB7" i="8"/>
  <c r="AB6" i="8"/>
  <c r="AB5" i="8"/>
  <c r="AB4" i="8"/>
  <c r="AB3" i="8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K4" i="6"/>
  <c r="K20" i="6"/>
  <c r="K21" i="6"/>
  <c r="K22" i="6"/>
  <c r="K23" i="6"/>
  <c r="K24" i="6"/>
  <c r="K25" i="6"/>
  <c r="K91" i="6"/>
  <c r="K92" i="6"/>
  <c r="H66" i="7"/>
  <c r="H67" i="7"/>
  <c r="H68" i="7"/>
  <c r="H69" i="7"/>
  <c r="H70" i="7"/>
  <c r="H71" i="7"/>
  <c r="H72" i="7"/>
  <c r="H73" i="7"/>
  <c r="H65" i="7"/>
  <c r="J66" i="7"/>
  <c r="J67" i="7"/>
  <c r="J68" i="7"/>
  <c r="J69" i="7"/>
  <c r="J70" i="7"/>
  <c r="J71" i="7"/>
  <c r="J72" i="7"/>
  <c r="J73" i="7"/>
  <c r="AB92" i="8" l="1"/>
  <c r="I92" i="8"/>
  <c r="K93" i="6"/>
  <c r="H92" i="7"/>
  <c r="J92" i="7"/>
  <c r="T3" i="6" l="1"/>
  <c r="AB3" i="6"/>
  <c r="AC3" i="6"/>
  <c r="V91" i="5"/>
  <c r="T91" i="5"/>
  <c r="Q91" i="5"/>
  <c r="P91" i="5"/>
  <c r="O91" i="5"/>
  <c r="V90" i="5"/>
  <c r="T90" i="5"/>
  <c r="Q90" i="5"/>
  <c r="P90" i="5"/>
  <c r="O90" i="5"/>
  <c r="V89" i="5"/>
  <c r="T89" i="5"/>
  <c r="Q89" i="5"/>
  <c r="P89" i="5"/>
  <c r="O89" i="5"/>
  <c r="V88" i="5"/>
  <c r="T88" i="5"/>
  <c r="Q88" i="5"/>
  <c r="P88" i="5"/>
  <c r="O88" i="5"/>
  <c r="V87" i="5"/>
  <c r="T87" i="5"/>
  <c r="Q87" i="5"/>
  <c r="P87" i="5"/>
  <c r="O87" i="5"/>
  <c r="V86" i="5"/>
  <c r="T86" i="5"/>
  <c r="Q86" i="5"/>
  <c r="P86" i="5"/>
  <c r="O86" i="5"/>
  <c r="V85" i="5"/>
  <c r="T85" i="5"/>
  <c r="Q85" i="5"/>
  <c r="P85" i="5"/>
  <c r="O85" i="5"/>
  <c r="V84" i="5"/>
  <c r="T84" i="5"/>
  <c r="Q84" i="5"/>
  <c r="P84" i="5"/>
  <c r="O84" i="5"/>
  <c r="V83" i="5"/>
  <c r="T83" i="5"/>
  <c r="Q83" i="5"/>
  <c r="P83" i="5"/>
  <c r="O83" i="5"/>
  <c r="V82" i="5"/>
  <c r="T82" i="5"/>
  <c r="Q82" i="5"/>
  <c r="P82" i="5"/>
  <c r="O82" i="5"/>
  <c r="V81" i="5"/>
  <c r="T81" i="5"/>
  <c r="Q81" i="5"/>
  <c r="P81" i="5"/>
  <c r="O81" i="5"/>
  <c r="V80" i="5"/>
  <c r="T80" i="5"/>
  <c r="Q80" i="5"/>
  <c r="P80" i="5"/>
  <c r="O80" i="5"/>
  <c r="V79" i="5"/>
  <c r="T79" i="5"/>
  <c r="Q79" i="5"/>
  <c r="P79" i="5"/>
  <c r="O79" i="5"/>
  <c r="V78" i="5"/>
  <c r="T78" i="5"/>
  <c r="Q78" i="5"/>
  <c r="P78" i="5"/>
  <c r="O78" i="5"/>
  <c r="V77" i="5"/>
  <c r="T77" i="5"/>
  <c r="Q77" i="5"/>
  <c r="P77" i="5"/>
  <c r="O77" i="5"/>
  <c r="V76" i="5"/>
  <c r="T76" i="5"/>
  <c r="Q76" i="5"/>
  <c r="P76" i="5"/>
  <c r="O76" i="5"/>
  <c r="V75" i="5"/>
  <c r="T75" i="5"/>
  <c r="Q75" i="5"/>
  <c r="P75" i="5"/>
  <c r="O75" i="5"/>
  <c r="V74" i="5"/>
  <c r="T74" i="5"/>
  <c r="Q74" i="5"/>
  <c r="P74" i="5"/>
  <c r="O74" i="5"/>
  <c r="V73" i="5"/>
  <c r="T73" i="5"/>
  <c r="Q73" i="5"/>
  <c r="P73" i="5"/>
  <c r="O73" i="5"/>
  <c r="V72" i="5"/>
  <c r="T72" i="5"/>
  <c r="Q72" i="5"/>
  <c r="P72" i="5"/>
  <c r="O72" i="5"/>
  <c r="V71" i="5"/>
  <c r="T71" i="5"/>
  <c r="Q71" i="5"/>
  <c r="P71" i="5"/>
  <c r="O71" i="5"/>
  <c r="V70" i="5"/>
  <c r="T70" i="5"/>
  <c r="Q70" i="5"/>
  <c r="P70" i="5"/>
  <c r="O70" i="5"/>
  <c r="V69" i="5"/>
  <c r="T69" i="5"/>
  <c r="Q69" i="5"/>
  <c r="P69" i="5"/>
  <c r="O69" i="5"/>
  <c r="V35" i="5"/>
  <c r="T35" i="5"/>
  <c r="Q35" i="5"/>
  <c r="P35" i="5"/>
  <c r="O35" i="5"/>
  <c r="V34" i="5"/>
  <c r="T34" i="5"/>
  <c r="Q34" i="5"/>
  <c r="P34" i="5"/>
  <c r="O34" i="5"/>
  <c r="V33" i="5"/>
  <c r="T33" i="5"/>
  <c r="Q33" i="5"/>
  <c r="P33" i="5"/>
  <c r="O33" i="5"/>
  <c r="V32" i="5"/>
  <c r="T32" i="5"/>
  <c r="Q32" i="5"/>
  <c r="P32" i="5"/>
  <c r="O32" i="5"/>
  <c r="V31" i="5"/>
  <c r="T31" i="5"/>
  <c r="Q31" i="5"/>
  <c r="P31" i="5"/>
  <c r="O31" i="5"/>
  <c r="V30" i="5"/>
  <c r="T30" i="5"/>
  <c r="Q30" i="5"/>
  <c r="P30" i="5"/>
  <c r="O30" i="5"/>
  <c r="V29" i="5"/>
  <c r="T29" i="5"/>
  <c r="Q29" i="5"/>
  <c r="P29" i="5"/>
  <c r="O29" i="5"/>
  <c r="V28" i="5"/>
  <c r="T28" i="5"/>
  <c r="Q28" i="5"/>
  <c r="P28" i="5"/>
  <c r="O28" i="5"/>
  <c r="V27" i="5"/>
  <c r="T27" i="5"/>
  <c r="Q27" i="5"/>
  <c r="P27" i="5"/>
  <c r="O27" i="5"/>
  <c r="V26" i="5"/>
  <c r="T26" i="5"/>
  <c r="Q26" i="5"/>
  <c r="P26" i="5"/>
  <c r="O26" i="5"/>
  <c r="V25" i="5"/>
  <c r="T25" i="5"/>
  <c r="Q25" i="5"/>
  <c r="P25" i="5"/>
  <c r="O25" i="5"/>
  <c r="V24" i="5"/>
  <c r="T24" i="5"/>
  <c r="Q24" i="5"/>
  <c r="P24" i="5"/>
  <c r="O24" i="5"/>
  <c r="V23" i="5"/>
  <c r="T23" i="5"/>
  <c r="Q23" i="5"/>
  <c r="P23" i="5"/>
  <c r="O23" i="5"/>
  <c r="V22" i="5"/>
  <c r="T22" i="5"/>
  <c r="Q22" i="5"/>
  <c r="P22" i="5"/>
  <c r="O22" i="5"/>
  <c r="V21" i="5"/>
  <c r="T21" i="5"/>
  <c r="Q21" i="5"/>
  <c r="P21" i="5"/>
  <c r="O21" i="5"/>
  <c r="V20" i="5"/>
  <c r="T20" i="5"/>
  <c r="Q20" i="5"/>
  <c r="P20" i="5"/>
  <c r="O20" i="5"/>
  <c r="V19" i="5"/>
  <c r="T19" i="5"/>
  <c r="Q19" i="5"/>
  <c r="P19" i="5"/>
  <c r="O19" i="5"/>
  <c r="V18" i="5"/>
  <c r="T18" i="5"/>
  <c r="Q18" i="5"/>
  <c r="P18" i="5"/>
  <c r="O18" i="5"/>
  <c r="V17" i="5"/>
  <c r="T17" i="5"/>
  <c r="Q17" i="5"/>
  <c r="P17" i="5"/>
  <c r="O17" i="5"/>
  <c r="V16" i="5"/>
  <c r="T16" i="5"/>
  <c r="Q16" i="5"/>
  <c r="P16" i="5"/>
  <c r="O16" i="5"/>
  <c r="V15" i="5"/>
  <c r="T15" i="5"/>
  <c r="Q15" i="5"/>
  <c r="P15" i="5"/>
  <c r="O15" i="5"/>
  <c r="V14" i="5"/>
  <c r="T14" i="5"/>
  <c r="Q14" i="5"/>
  <c r="P14" i="5"/>
  <c r="O14" i="5"/>
  <c r="V13" i="5"/>
  <c r="T13" i="5"/>
  <c r="Q13" i="5"/>
  <c r="P13" i="5"/>
  <c r="O13" i="5"/>
  <c r="V12" i="5"/>
  <c r="T12" i="5"/>
  <c r="Q12" i="5"/>
  <c r="P12" i="5"/>
  <c r="O12" i="5"/>
  <c r="V11" i="5"/>
  <c r="T11" i="5"/>
  <c r="Q11" i="5"/>
  <c r="P11" i="5"/>
  <c r="O11" i="5"/>
  <c r="V10" i="5"/>
  <c r="T10" i="5"/>
  <c r="Q10" i="5"/>
  <c r="P10" i="5"/>
  <c r="O10" i="5"/>
  <c r="V9" i="5"/>
  <c r="T9" i="5"/>
  <c r="Q9" i="5"/>
  <c r="P9" i="5"/>
  <c r="O9" i="5"/>
  <c r="V8" i="5"/>
  <c r="T8" i="5"/>
  <c r="Q8" i="5"/>
  <c r="P8" i="5"/>
  <c r="O8" i="5"/>
  <c r="V7" i="5"/>
  <c r="T7" i="5"/>
  <c r="Q7" i="5"/>
  <c r="P7" i="5"/>
  <c r="O7" i="5"/>
  <c r="V6" i="5"/>
  <c r="T6" i="5"/>
  <c r="Q6" i="5"/>
  <c r="P6" i="5"/>
  <c r="O6" i="5"/>
  <c r="V5" i="5"/>
  <c r="T5" i="5"/>
  <c r="Q5" i="5"/>
  <c r="P5" i="5"/>
  <c r="O5" i="5"/>
  <c r="V4" i="5"/>
  <c r="T4" i="5"/>
  <c r="Q4" i="5"/>
  <c r="P4" i="5"/>
  <c r="O4" i="5"/>
  <c r="V3" i="5"/>
  <c r="T3" i="5"/>
  <c r="Q3" i="5"/>
  <c r="P3" i="5"/>
  <c r="O3" i="5"/>
  <c r="T92" i="5" l="1"/>
  <c r="V92" i="5"/>
  <c r="T93" i="6"/>
  <c r="R93" i="6"/>
  <c r="AE3" i="6"/>
  <c r="AE93" i="6" s="1"/>
  <c r="AC93" i="6"/>
  <c r="AD3" i="6"/>
  <c r="AD93" i="6" s="1"/>
  <c r="AB93" i="6"/>
  <c r="U93" i="6"/>
  <c r="S93" i="6"/>
  <c r="Q93" i="6"/>
  <c r="V93" i="6"/>
  <c r="P92" i="5"/>
  <c r="O92" i="5"/>
  <c r="U92" i="5"/>
  <c r="I26" i="2" l="1"/>
  <c r="M21" i="2" l="1"/>
  <c r="N21" i="2"/>
  <c r="L23" i="1" l="1"/>
  <c r="M23" i="1" s="1"/>
  <c r="L24" i="1"/>
  <c r="M24" i="1" s="1"/>
  <c r="L25" i="1"/>
  <c r="M25" i="1" s="1"/>
  <c r="L26" i="1"/>
  <c r="W24" i="2" s="1"/>
  <c r="L27" i="1"/>
  <c r="M27" i="1" s="1"/>
  <c r="L28" i="1"/>
  <c r="W26" i="2" s="1"/>
  <c r="L29" i="1"/>
  <c r="M29" i="1" s="1"/>
  <c r="M26" i="1" l="1"/>
  <c r="W23" i="2"/>
  <c r="W27" i="2"/>
  <c r="W22" i="2"/>
  <c r="M28" i="1"/>
  <c r="W21" i="2"/>
  <c r="W25" i="2"/>
  <c r="F9" i="2" l="1"/>
  <c r="P13" i="2" l="1"/>
  <c r="O13" i="2"/>
  <c r="Q21" i="2" l="1"/>
  <c r="P21" i="2"/>
  <c r="O8" i="2"/>
  <c r="N8" i="2"/>
  <c r="N13" i="2" l="1"/>
  <c r="B13" i="2"/>
  <c r="N2" i="2"/>
  <c r="B8" i="2"/>
  <c r="M8" i="2"/>
  <c r="P8" i="2"/>
  <c r="Q8" i="2"/>
  <c r="R8" i="2"/>
  <c r="O2" i="2"/>
  <c r="Q2" i="2"/>
  <c r="P2" i="2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4" i="1"/>
  <c r="B2" i="2" l="1"/>
  <c r="F2" i="2" s="1"/>
  <c r="G13" i="2"/>
  <c r="I13" i="2"/>
  <c r="H13" i="2"/>
  <c r="G2" i="2"/>
  <c r="N4" i="1"/>
  <c r="W19" i="2"/>
  <c r="M21" i="1"/>
  <c r="M9" i="1"/>
  <c r="W7" i="2"/>
  <c r="W10" i="2"/>
  <c r="M12" i="1"/>
  <c r="W6" i="2"/>
  <c r="M8" i="1"/>
  <c r="M13" i="1"/>
  <c r="W11" i="2"/>
  <c r="M20" i="1"/>
  <c r="W18" i="2"/>
  <c r="M4" i="1"/>
  <c r="W2" i="2"/>
  <c r="W13" i="2"/>
  <c r="M15" i="1"/>
  <c r="W5" i="2"/>
  <c r="M7" i="1"/>
  <c r="W15" i="2"/>
  <c r="M17" i="1"/>
  <c r="W3" i="2"/>
  <c r="M5" i="1"/>
  <c r="M16" i="1"/>
  <c r="W14" i="2"/>
  <c r="M19" i="1"/>
  <c r="W17" i="2"/>
  <c r="M11" i="1"/>
  <c r="W9" i="2"/>
  <c r="W20" i="2"/>
  <c r="M22" i="1"/>
  <c r="M18" i="1"/>
  <c r="W16" i="2"/>
  <c r="M10" i="1"/>
  <c r="W8" i="2"/>
  <c r="M6" i="1"/>
  <c r="W4" i="2"/>
  <c r="A13" i="2"/>
  <c r="M13" i="2"/>
  <c r="M2" i="2"/>
  <c r="A8" i="2"/>
  <c r="G9" i="2" s="1"/>
  <c r="W12" i="2"/>
  <c r="M14" i="1"/>
  <c r="B26" i="2"/>
  <c r="I25" i="2"/>
  <c r="H25" i="2"/>
  <c r="G25" i="2"/>
  <c r="A2" i="2" l="1"/>
  <c r="G3" i="2" l="1"/>
  <c r="F3" i="2"/>
</calcChain>
</file>

<file path=xl/sharedStrings.xml><?xml version="1.0" encoding="utf-8"?>
<sst xmlns="http://schemas.openxmlformats.org/spreadsheetml/2006/main" count="344" uniqueCount="220">
  <si>
    <t>Total</t>
  </si>
  <si>
    <t>BOQ</t>
  </si>
  <si>
    <t>TEST</t>
  </si>
  <si>
    <t>Quantaty</t>
  </si>
  <si>
    <t>TP</t>
  </si>
  <si>
    <t>Total RC</t>
  </si>
  <si>
    <t>No. Boreholes</t>
  </si>
  <si>
    <t>Depth(m)</t>
  </si>
  <si>
    <t>Sample Interval</t>
  </si>
  <si>
    <t>SPT Interval</t>
  </si>
  <si>
    <t>No. Samples</t>
  </si>
  <si>
    <t>No. SPT's</t>
  </si>
  <si>
    <t>0 - 10 m</t>
  </si>
  <si>
    <t>10 - 20 m</t>
  </si>
  <si>
    <t>20 - 30 m</t>
  </si>
  <si>
    <t>30 - 40 m</t>
  </si>
  <si>
    <t>to</t>
  </si>
  <si>
    <t>No. Pistons</t>
  </si>
  <si>
    <t>No.     U100</t>
  </si>
  <si>
    <t>No. Rotary Coreholes</t>
  </si>
  <si>
    <t>No.         Trial Pits</t>
  </si>
  <si>
    <t>Small Sample Interval</t>
  </si>
  <si>
    <t>Bulk Sample Interval</t>
  </si>
  <si>
    <t>Large Bulk Sample Interval</t>
  </si>
  <si>
    <t>No. Small Samples</t>
  </si>
  <si>
    <t>No. Bulk Samples</t>
  </si>
  <si>
    <t>No. Large Bulk Samples</t>
  </si>
  <si>
    <t>No. Trial Pits</t>
  </si>
  <si>
    <t>0 - 3m</t>
  </si>
  <si>
    <t>3 - 4.5 m</t>
  </si>
  <si>
    <t>Test</t>
  </si>
  <si>
    <t>No. Rotary Open Holes</t>
  </si>
  <si>
    <t>No. Probes</t>
  </si>
  <si>
    <t>No.         Slit Trenches</t>
  </si>
  <si>
    <t>Length</t>
  </si>
  <si>
    <t>Width</t>
  </si>
  <si>
    <t>Total Length</t>
  </si>
  <si>
    <t>Total Width</t>
  </si>
  <si>
    <t>Total Depth</t>
  </si>
  <si>
    <t>Slit Trenches</t>
  </si>
  <si>
    <t>Total Volume</t>
  </si>
  <si>
    <r>
      <t>m</t>
    </r>
    <r>
      <rPr>
        <vertAlign val="superscript"/>
        <sz val="10"/>
        <color rgb="FFFF0000"/>
        <rFont val="Arial"/>
        <family val="2"/>
      </rPr>
      <t>3</t>
    </r>
  </si>
  <si>
    <t>Batch 1</t>
  </si>
  <si>
    <t>Batch 2</t>
  </si>
  <si>
    <t>Batch 3</t>
  </si>
  <si>
    <t>Batch 4</t>
  </si>
  <si>
    <t>Batch 5</t>
  </si>
  <si>
    <t>Batch 6</t>
  </si>
  <si>
    <t>% of</t>
  </si>
  <si>
    <t>BoQ</t>
  </si>
  <si>
    <t>Actual</t>
  </si>
  <si>
    <t>Scheduled</t>
  </si>
  <si>
    <t>Schedule Depth</t>
  </si>
  <si>
    <t>Completed</t>
  </si>
  <si>
    <t>CP Depth range</t>
  </si>
  <si>
    <t>0-10</t>
  </si>
  <si>
    <t>20-30</t>
  </si>
  <si>
    <t>10 to 20</t>
  </si>
  <si>
    <t>10-20m</t>
  </si>
  <si>
    <t>Cancelled Lab Tests</t>
  </si>
  <si>
    <t>RC-CP Depth</t>
  </si>
  <si>
    <t>Depth (m)</t>
  </si>
  <si>
    <t>Moisture content</t>
  </si>
  <si>
    <t>Liquid limit, plastic limit and plasticity index</t>
  </si>
  <si>
    <t>Particle size distribution by wet sieving</t>
  </si>
  <si>
    <t>Sedimentation by hydrometer</t>
  </si>
  <si>
    <t>Organic matter content</t>
  </si>
  <si>
    <t>Sulphate content of acid extract from soil</t>
  </si>
  <si>
    <t>Sulphate content of water extract from soil</t>
  </si>
  <si>
    <t>Sulphate content of groundwater</t>
  </si>
  <si>
    <t>Water soluble chloride content</t>
  </si>
  <si>
    <t>pH value</t>
  </si>
  <si>
    <t>Dry density/moisture content relationship using 2.5 kg rammer</t>
  </si>
  <si>
    <t>Dry density/moisture content relationship using vibrating hammer</t>
  </si>
  <si>
    <t>Moisture Condition Value at natural moisture content</t>
  </si>
  <si>
    <t>Moisture Condition Value/moisture content relationship (five points)</t>
  </si>
  <si>
    <t>One-dimensional consolidation properties, test period 5 days</t>
  </si>
  <si>
    <t>Undrained shear strength of a set of three 38mm diameter specimens in triaxial compression without the measurement of pore pressure</t>
  </si>
  <si>
    <t>Undrained shear strength of a single 100mm diameter specimen in triaxial compression with multi-stage loading and without measurement of pore pressure</t>
  </si>
  <si>
    <t>Consolidated undrained triaxial compression test with measurement of pore pressure (set of three 38mm specimens), test duration not exceeding 4 days per specimen</t>
  </si>
  <si>
    <t>Consolidated drained triaxial compression test with measurement of volume change (set of three 38mm specimens), test duration not exceeding 4 days per specimen</t>
  </si>
  <si>
    <t>Uniaxial compressive strength</t>
  </si>
  <si>
    <t>Point Load Strength Index on rock core (axial or diametral)</t>
  </si>
  <si>
    <t>Shear strength by the laboratory vane method (set of 3)</t>
  </si>
  <si>
    <t>Shear strength of a set of three 60mm × 60mm square specimens by direct shear, test duration not exceeding 1 day per specimen</t>
  </si>
  <si>
    <t>Shear strength of a single 300mm × 300mm square specimen by direct shear, test duration not exceeding 1 day</t>
  </si>
  <si>
    <t>Residual shear strength of a set of three 60mm × 60mm square specimens by direct shear, test duration not exceeding 4 days per specimen</t>
  </si>
  <si>
    <t>Residual shear strength of a 300mm square specimen by direct shear, test duration not exceeding 4 days</t>
  </si>
  <si>
    <t>Piston Interval</t>
  </si>
  <si>
    <t>U100 Interval</t>
  </si>
  <si>
    <t>CP Completed</t>
  </si>
  <si>
    <t>RC Completed</t>
  </si>
  <si>
    <t>Log Comments Sent CP/RC</t>
  </si>
  <si>
    <t>% of BH &amp; TPs Completed</t>
  </si>
  <si>
    <t>Hole Number</t>
  </si>
  <si>
    <t>Trial Pit Number</t>
  </si>
  <si>
    <t>Insitu Tests</t>
  </si>
  <si>
    <t>Draft Log Received CP/RC or N/A</t>
  </si>
  <si>
    <t>Lab Schedule Received CP/RC or N/A</t>
  </si>
  <si>
    <t>Lab Schedule Sent CP/RC or N/A</t>
  </si>
  <si>
    <t>% of samples tested</t>
  </si>
  <si>
    <t>BH</t>
  </si>
  <si>
    <t>Name</t>
  </si>
  <si>
    <t>Date</t>
  </si>
  <si>
    <t>Barrier</t>
  </si>
  <si>
    <t>Paved/
Non Paved</t>
  </si>
  <si>
    <t>Slope &gt; 20%</t>
  </si>
  <si>
    <t>0-1.2m</t>
  </si>
  <si>
    <t>1.2-3m</t>
  </si>
  <si>
    <t>Perimeter</t>
  </si>
  <si>
    <t>Area</t>
  </si>
  <si>
    <t>Depth Hard Material
(m)</t>
  </si>
  <si>
    <t>Vol of Hard Material
(m3)</t>
  </si>
  <si>
    <t>PAVED</t>
  </si>
  <si>
    <t>NON-PAVED</t>
  </si>
  <si>
    <t>Volume
3-4.5</t>
  </si>
  <si>
    <t>Volume
0-3</t>
  </si>
  <si>
    <t>3-4.5
(m)</t>
  </si>
  <si>
    <t>0-3
(m)</t>
  </si>
  <si>
    <t>Recorded
Depth
(m)</t>
  </si>
  <si>
    <t>Recorded
Width
(m)</t>
  </si>
  <si>
    <t>Recorded
Length
(m)</t>
  </si>
  <si>
    <t>Paved Perimeter</t>
  </si>
  <si>
    <t>Volume
1.2-3</t>
  </si>
  <si>
    <t>Volume
0.1-1.2</t>
  </si>
  <si>
    <t>1.2-3
(m)</t>
  </si>
  <si>
    <t>0-1.2
(m)</t>
  </si>
  <si>
    <t>Recorded
Total Depth
(m)</t>
  </si>
  <si>
    <t>Scheduled
Depth</t>
  </si>
  <si>
    <t>Scheduled
Width</t>
  </si>
  <si>
    <t>Trench</t>
  </si>
  <si>
    <t>Inspectoin Pit</t>
  </si>
  <si>
    <t>Scheduled
length</t>
  </si>
  <si>
    <t>Recorded Depth</t>
  </si>
  <si>
    <t>Recorded
length</t>
  </si>
  <si>
    <t>Recorded
Width</t>
  </si>
  <si>
    <t>Volume of hard Surface</t>
  </si>
  <si>
    <t>completed</t>
  </si>
  <si>
    <t>Type of drilling</t>
  </si>
  <si>
    <t>START</t>
  </si>
  <si>
    <t>END</t>
  </si>
  <si>
    <t>30-40</t>
  </si>
  <si>
    <t>Total Schedule Depth</t>
  </si>
  <si>
    <t>Totals</t>
  </si>
  <si>
    <t>Over Barrier/ Wall/ Fence</t>
  </si>
  <si>
    <r>
      <t xml:space="preserve">Rotary Drilling </t>
    </r>
    <r>
      <rPr>
        <b/>
        <u/>
        <sz val="11"/>
        <color theme="1"/>
        <rFont val="Calibri"/>
        <family val="2"/>
        <scheme val="minor"/>
      </rPr>
      <t>WITH CORE</t>
    </r>
    <r>
      <rPr>
        <b/>
        <sz val="11"/>
        <color theme="1"/>
        <rFont val="Calibri"/>
        <family val="2"/>
        <scheme val="minor"/>
      </rPr>
      <t xml:space="preserve"> in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rgb="FF0070C0"/>
        <rFont val="Calibri"/>
        <family val="2"/>
        <scheme val="minor"/>
      </rPr>
      <t>HARD</t>
    </r>
    <r>
      <rPr>
        <b/>
        <sz val="11"/>
        <color theme="1"/>
        <rFont val="Calibri"/>
        <family val="2"/>
        <scheme val="minor"/>
      </rPr>
      <t xml:space="preserve"> strata</t>
    </r>
  </si>
  <si>
    <r>
      <t xml:space="preserve">Rotary Drilling </t>
    </r>
    <r>
      <rPr>
        <b/>
        <u/>
        <sz val="11"/>
        <color theme="1"/>
        <rFont val="Calibri"/>
        <family val="2"/>
        <scheme val="minor"/>
      </rPr>
      <t>WITHOUT CORE</t>
    </r>
    <r>
      <rPr>
        <b/>
        <sz val="11"/>
        <color theme="1"/>
        <rFont val="Calibri"/>
        <family val="2"/>
        <scheme val="minor"/>
      </rPr>
      <t xml:space="preserve"> in </t>
    </r>
    <r>
      <rPr>
        <b/>
        <u/>
        <sz val="11"/>
        <color rgb="FF0070C0"/>
        <rFont val="Calibri"/>
        <family val="2"/>
        <scheme val="minor"/>
      </rPr>
      <t>HARD</t>
    </r>
    <r>
      <rPr>
        <b/>
        <sz val="11"/>
        <color theme="1"/>
        <rFont val="Calibri"/>
        <family val="2"/>
        <scheme val="minor"/>
      </rPr>
      <t xml:space="preserve"> strata</t>
    </r>
  </si>
  <si>
    <r>
      <t xml:space="preserve">Rotary Drilling </t>
    </r>
    <r>
      <rPr>
        <b/>
        <u/>
        <sz val="11"/>
        <color theme="1"/>
        <rFont val="Calibri"/>
        <family val="2"/>
        <scheme val="minor"/>
      </rPr>
      <t>WITH CORE</t>
    </r>
    <r>
      <rPr>
        <b/>
        <sz val="11"/>
        <color theme="1"/>
        <rFont val="Calibri"/>
        <family val="2"/>
        <scheme val="minor"/>
      </rPr>
      <t xml:space="preserve"> in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5"/>
        <rFont val="Calibri"/>
        <family val="2"/>
        <scheme val="minor"/>
      </rPr>
      <t>SOFT</t>
    </r>
    <r>
      <rPr>
        <b/>
        <sz val="11"/>
        <color theme="1"/>
        <rFont val="Calibri"/>
        <family val="2"/>
        <scheme val="minor"/>
      </rPr>
      <t xml:space="preserve"> strata</t>
    </r>
  </si>
  <si>
    <r>
      <t>Rotary Drilling</t>
    </r>
    <r>
      <rPr>
        <b/>
        <u/>
        <sz val="11"/>
        <color theme="1"/>
        <rFont val="Calibri"/>
        <family val="2"/>
        <scheme val="minor"/>
      </rPr>
      <t xml:space="preserve"> WITHOUT CORE</t>
    </r>
    <r>
      <rPr>
        <b/>
        <sz val="11"/>
        <color theme="1"/>
        <rFont val="Calibri"/>
        <family val="2"/>
        <scheme val="minor"/>
      </rPr>
      <t xml:space="preserve"> in </t>
    </r>
    <r>
      <rPr>
        <b/>
        <u/>
        <sz val="11"/>
        <color theme="5"/>
        <rFont val="Calibri"/>
        <family val="2"/>
        <scheme val="minor"/>
      </rPr>
      <t>SOFT</t>
    </r>
    <r>
      <rPr>
        <b/>
        <sz val="11"/>
        <color theme="1"/>
        <rFont val="Calibri"/>
        <family val="2"/>
        <scheme val="minor"/>
      </rPr>
      <t xml:space="preserve"> strata</t>
    </r>
  </si>
  <si>
    <t>Depth of hard Surface obstruction</t>
  </si>
  <si>
    <t>Traffic Management</t>
  </si>
  <si>
    <t>Witdh</t>
  </si>
  <si>
    <t>3-4.5m</t>
  </si>
  <si>
    <t>0-3m</t>
  </si>
  <si>
    <t>Road</t>
  </si>
  <si>
    <t>-</t>
  </si>
  <si>
    <t>ROAD</t>
  </si>
  <si>
    <t>VOL of 804 Rural
(m3)</t>
  </si>
  <si>
    <t>VOL of 804 National
(m3)</t>
  </si>
  <si>
    <t>Asphalt Area Rural</t>
  </si>
  <si>
    <t>Asphalft Area National</t>
  </si>
  <si>
    <t>DCP</t>
  </si>
  <si>
    <t>DCP/HV</t>
  </si>
  <si>
    <t>DCP/HV/BRE</t>
  </si>
  <si>
    <t>DCP/BRE</t>
  </si>
  <si>
    <t>Depth</t>
  </si>
  <si>
    <t>Depth of Hard Material
(m)</t>
  </si>
  <si>
    <t>OVERALL DIMENSIONS</t>
  </si>
  <si>
    <t>DCP/PT</t>
  </si>
  <si>
    <t>BRE/PT</t>
  </si>
  <si>
    <t>DCP/BRE/PT</t>
  </si>
  <si>
    <t>DCP/HV/BRE/PT</t>
  </si>
  <si>
    <t>DPH</t>
  </si>
  <si>
    <t>SLOPE &gt; 20%</t>
  </si>
  <si>
    <t>5-10m</t>
  </si>
  <si>
    <t>0-5m</t>
  </si>
  <si>
    <t>10-15m</t>
  </si>
  <si>
    <t>CPT</t>
  </si>
  <si>
    <t>SLOPE &gt;20%</t>
  </si>
  <si>
    <t>DEPTH</t>
  </si>
  <si>
    <t>Piezocone</t>
  </si>
  <si>
    <t>0-10m</t>
  </si>
  <si>
    <t>20-30m</t>
  </si>
  <si>
    <t>30-40m</t>
  </si>
  <si>
    <t>Standpipe
(mm)</t>
  </si>
  <si>
    <t>HV/BRE</t>
  </si>
  <si>
    <t>BRE</t>
  </si>
  <si>
    <t>PIE/SP
Complete</t>
  </si>
  <si>
    <t>Tests
P/S/EV</t>
  </si>
  <si>
    <t>TESTS</t>
  </si>
  <si>
    <t>HV</t>
  </si>
  <si>
    <t>PT</t>
  </si>
  <si>
    <t>EV</t>
  </si>
  <si>
    <t>DCP/EV</t>
  </si>
  <si>
    <t>HV/PT</t>
  </si>
  <si>
    <t>HV/EV</t>
  </si>
  <si>
    <t>BRE/EV</t>
  </si>
  <si>
    <t>PT/EV</t>
  </si>
  <si>
    <t>DCP/HV/PT</t>
  </si>
  <si>
    <t>DCP/HV/EV</t>
  </si>
  <si>
    <t>DCP/BRE/EV</t>
  </si>
  <si>
    <t>DCP/PT/EV</t>
  </si>
  <si>
    <t>HV/BRE/PT</t>
  </si>
  <si>
    <t>HV/BRE/EV</t>
  </si>
  <si>
    <t>HV/PT/EV</t>
  </si>
  <si>
    <t>BRE/PT/EV</t>
  </si>
  <si>
    <t>DCP/HV/BRE/EV</t>
  </si>
  <si>
    <t>DCP/HV/PT/EV</t>
  </si>
  <si>
    <t>DCP/BRE/PT/EV</t>
  </si>
  <si>
    <t>HV/BRE/PT/EV</t>
  </si>
  <si>
    <t>DCP/HV/BRE/PT/EV</t>
  </si>
  <si>
    <t>don’t delete</t>
  </si>
  <si>
    <t>Pizezometer</t>
  </si>
  <si>
    <t xml:space="preserve"> </t>
  </si>
  <si>
    <t>Plain Depth
(m)</t>
  </si>
  <si>
    <t>Slotted Depth
(m)</t>
  </si>
  <si>
    <t>CP Drilling Total Depth</t>
  </si>
  <si>
    <t>Sample</t>
  </si>
  <si>
    <t>10m +</t>
  </si>
  <si>
    <t>ID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</si>
</sst>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vertAlign val="superscript"/>
      <sz val="10"/>
      <color rgb="FFFF0000"/>
      <name val="Arial"/>
      <family val="2"/>
    </font>
    <font>
      <sz val="11"/>
      <color rgb="FFFA7D00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u/>
      <sz val="11"/>
      <color theme="5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EB9C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8">
    <xf numFmtId="0" fontId="0" fillId="0" borderId="0"/>
    <xf numFmtId="0" fontId="3" fillId="2" borderId="7" applyNumberFormat="0" applyAlignment="0" applyProtection="0"/>
    <xf numFmtId="0" fontId="4" fillId="3" borderId="7" applyNumberFormat="0" applyAlignment="0" applyProtection="0"/>
    <xf numFmtId="0" fontId="5" fillId="0" borderId="0"/>
    <xf numFmtId="0" fontId="11" fillId="0" borderId="22" applyNumberFormat="0" applyFill="0" applyAlignment="0" applyProtection="0"/>
    <xf numFmtId="9" fontId="16" fillId="0" borderId="0" applyFont="0" applyFill="0" applyBorder="0" applyAlignment="0" applyProtection="0"/>
    <xf numFmtId="0" fontId="16" fillId="7" borderId="30" applyNumberFormat="0" applyFont="0" applyAlignment="0" applyProtection="0"/>
    <xf numFmtId="0" fontId="17" fillId="8" borderId="0" applyNumberFormat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0" fontId="6" fillId="4" borderId="0" xfId="3" applyFont="1" applyFill="1" applyAlignment="1">
      <alignment wrapText="1"/>
    </xf>
    <xf numFmtId="0" fontId="6" fillId="0" borderId="0" xfId="3" applyFont="1" applyAlignment="1">
      <alignment wrapText="1"/>
    </xf>
    <xf numFmtId="0" fontId="3" fillId="2" borderId="7" xfId="1"/>
    <xf numFmtId="0" fontId="5" fillId="0" borderId="8" xfId="3" applyBorder="1"/>
    <xf numFmtId="1" fontId="5" fillId="4" borderId="9" xfId="3" applyNumberFormat="1" applyFill="1" applyBorder="1"/>
    <xf numFmtId="0" fontId="5" fillId="0" borderId="0" xfId="3"/>
    <xf numFmtId="0" fontId="6" fillId="4" borderId="1" xfId="3" applyFont="1" applyFill="1" applyBorder="1"/>
    <xf numFmtId="0" fontId="5" fillId="0" borderId="1" xfId="3" applyBorder="1"/>
    <xf numFmtId="0" fontId="5" fillId="0" borderId="4" xfId="3" applyBorder="1"/>
    <xf numFmtId="0" fontId="7" fillId="0" borderId="0" xfId="3" applyFont="1"/>
    <xf numFmtId="0" fontId="8" fillId="0" borderId="0" xfId="3" applyFont="1"/>
    <xf numFmtId="1" fontId="9" fillId="0" borderId="0" xfId="3" applyNumberFormat="1" applyFont="1"/>
    <xf numFmtId="0" fontId="6" fillId="4" borderId="1" xfId="3" applyFont="1" applyFill="1" applyBorder="1" applyAlignment="1">
      <alignment wrapText="1"/>
    </xf>
    <xf numFmtId="1" fontId="5" fillId="0" borderId="0" xfId="3" applyNumberFormat="1"/>
    <xf numFmtId="0" fontId="6" fillId="4" borderId="1" xfId="3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12" xfId="0" applyNumberFormat="1" applyFont="1" applyBorder="1" applyAlignment="1">
      <alignment horizontal="center" vertical="center"/>
    </xf>
    <xf numFmtId="0" fontId="3" fillId="2" borderId="7" xfId="1" applyAlignment="1">
      <alignment horizontal="center" vertical="center"/>
    </xf>
    <xf numFmtId="0" fontId="4" fillId="3" borderId="7" xfId="2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17" xfId="3" applyBorder="1"/>
    <xf numFmtId="0" fontId="5" fillId="0" borderId="2" xfId="3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0" borderId="20" xfId="3" applyBorder="1"/>
    <xf numFmtId="0" fontId="6" fillId="4" borderId="0" xfId="3" applyFont="1" applyFill="1" applyAlignment="1">
      <alignment horizontal="center" wrapText="1"/>
    </xf>
    <xf numFmtId="0" fontId="1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23" xfId="1" applyBorder="1" applyAlignment="1">
      <alignment horizontal="center" vertical="center"/>
    </xf>
    <xf numFmtId="0" fontId="3" fillId="2" borderId="24" xfId="1" applyBorder="1" applyAlignment="1">
      <alignment horizontal="center" vertical="center"/>
    </xf>
    <xf numFmtId="0" fontId="11" fillId="3" borderId="22" xfId="4" applyFill="1" applyAlignment="1">
      <alignment horizontal="center" vertical="center"/>
    </xf>
    <xf numFmtId="0" fontId="3" fillId="2" borderId="7" xfId="1" applyAlignment="1">
      <alignment horizontal="center"/>
    </xf>
    <xf numFmtId="0" fontId="4" fillId="3" borderId="7" xfId="2" applyAlignment="1">
      <alignment horizontal="center"/>
    </xf>
    <xf numFmtId="0" fontId="6" fillId="4" borderId="5" xfId="3" applyFont="1" applyFill="1" applyBorder="1" applyAlignment="1">
      <alignment horizontal="left" wrapText="1"/>
    </xf>
    <xf numFmtId="0" fontId="5" fillId="0" borderId="0" xfId="3" applyAlignment="1">
      <alignment horizontal="left"/>
    </xf>
    <xf numFmtId="1" fontId="4" fillId="3" borderId="7" xfId="2" applyNumberFormat="1"/>
    <xf numFmtId="0" fontId="5" fillId="0" borderId="0" xfId="3" applyAlignment="1">
      <alignment horizontal="center"/>
    </xf>
    <xf numFmtId="0" fontId="11" fillId="3" borderId="22" xfId="4" applyFill="1"/>
    <xf numFmtId="1" fontId="11" fillId="3" borderId="22" xfId="4" applyNumberFormat="1" applyFill="1" applyAlignment="1">
      <alignment horizontal="center"/>
    </xf>
    <xf numFmtId="0" fontId="3" fillId="0" borderId="0" xfId="1" applyFill="1" applyBorder="1"/>
    <xf numFmtId="0" fontId="5" fillId="0" borderId="8" xfId="3" applyBorder="1" applyAlignment="1">
      <alignment horizontal="center"/>
    </xf>
    <xf numFmtId="0" fontId="6" fillId="0" borderId="0" xfId="3" applyFont="1"/>
    <xf numFmtId="0" fontId="5" fillId="5" borderId="0" xfId="3" applyFill="1"/>
    <xf numFmtId="0" fontId="6" fillId="5" borderId="1" xfId="3" applyFont="1" applyFill="1" applyBorder="1"/>
    <xf numFmtId="0" fontId="3" fillId="5" borderId="7" xfId="1" applyFill="1"/>
    <xf numFmtId="0" fontId="6" fillId="5" borderId="0" xfId="3" applyFont="1" applyFill="1" applyAlignment="1">
      <alignment wrapText="1"/>
    </xf>
    <xf numFmtId="0" fontId="5" fillId="5" borderId="8" xfId="3" applyFill="1" applyBorder="1"/>
    <xf numFmtId="1" fontId="5" fillId="5" borderId="10" xfId="3" applyNumberFormat="1" applyFill="1" applyBorder="1"/>
    <xf numFmtId="164" fontId="5" fillId="5" borderId="11" xfId="3" applyNumberFormat="1" applyFill="1" applyBorder="1"/>
    <xf numFmtId="0" fontId="7" fillId="5" borderId="0" xfId="3" applyFont="1" applyFill="1"/>
    <xf numFmtId="0" fontId="8" fillId="5" borderId="0" xfId="3" applyFont="1" applyFill="1"/>
    <xf numFmtId="1" fontId="9" fillId="5" borderId="0" xfId="3" applyNumberFormat="1" applyFont="1" applyFill="1"/>
    <xf numFmtId="1" fontId="9" fillId="5" borderId="0" xfId="3" applyNumberFormat="1" applyFont="1" applyFill="1" applyAlignment="1">
      <alignment horizontal="right"/>
    </xf>
    <xf numFmtId="164" fontId="9" fillId="5" borderId="0" xfId="3" applyNumberFormat="1" applyFont="1" applyFill="1"/>
    <xf numFmtId="0" fontId="8" fillId="5" borderId="0" xfId="3" applyFont="1" applyFill="1" applyAlignment="1">
      <alignment horizontal="left" vertical="center"/>
    </xf>
    <xf numFmtId="1" fontId="11" fillId="3" borderId="1" xfId="4" applyNumberFormat="1" applyFill="1" applyBorder="1" applyAlignment="1">
      <alignment horizontal="center"/>
    </xf>
    <xf numFmtId="0" fontId="11" fillId="3" borderId="1" xfId="4" applyFill="1" applyBorder="1"/>
    <xf numFmtId="0" fontId="4" fillId="3" borderId="1" xfId="2" applyBorder="1"/>
    <xf numFmtId="1" fontId="11" fillId="3" borderId="22" xfId="4" applyNumberFormat="1" applyFill="1"/>
    <xf numFmtId="1" fontId="11" fillId="3" borderId="1" xfId="4" applyNumberFormat="1" applyFill="1" applyBorder="1"/>
    <xf numFmtId="1" fontId="4" fillId="3" borderId="1" xfId="2" applyNumberFormat="1" applyBorder="1"/>
    <xf numFmtId="0" fontId="1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4" fillId="3" borderId="7" xfId="2"/>
    <xf numFmtId="1" fontId="3" fillId="2" borderId="7" xfId="1" applyNumberFormat="1"/>
    <xf numFmtId="0" fontId="15" fillId="0" borderId="0" xfId="0" applyFont="1"/>
    <xf numFmtId="9" fontId="2" fillId="3" borderId="7" xfId="2" applyNumberFormat="1" applyFont="1" applyAlignment="1">
      <alignment horizontal="center"/>
    </xf>
    <xf numFmtId="9" fontId="2" fillId="3" borderId="23" xfId="2" applyNumberFormat="1" applyFont="1" applyBorder="1" applyAlignment="1">
      <alignment horizontal="center"/>
    </xf>
    <xf numFmtId="0" fontId="11" fillId="3" borderId="22" xfId="4" applyFill="1" applyAlignment="1" applyProtection="1">
      <alignment horizontal="center" vertical="center"/>
    </xf>
    <xf numFmtId="9" fontId="3" fillId="2" borderId="7" xfId="5" applyFont="1" applyFill="1" applyBorder="1" applyAlignment="1">
      <alignment horizontal="center"/>
    </xf>
    <xf numFmtId="0" fontId="1" fillId="0" borderId="2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3" borderId="7" xfId="2" quotePrefix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4" fillId="3" borderId="32" xfId="2" applyBorder="1" applyAlignment="1">
      <alignment horizontal="center" vertical="center"/>
    </xf>
    <xf numFmtId="0" fontId="3" fillId="2" borderId="32" xfId="1" applyBorder="1" applyAlignment="1">
      <alignment horizontal="center"/>
    </xf>
    <xf numFmtId="17" fontId="1" fillId="0" borderId="0" xfId="0" applyNumberFormat="1" applyFont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4" fillId="0" borderId="0" xfId="2" quotePrefix="1" applyFill="1" applyBorder="1" applyAlignment="1">
      <alignment horizontal="center" vertical="center"/>
    </xf>
    <xf numFmtId="0" fontId="4" fillId="0" borderId="0" xfId="2" applyFill="1" applyBorder="1" applyAlignment="1">
      <alignment horizontal="center" vertical="center"/>
    </xf>
    <xf numFmtId="0" fontId="11" fillId="0" borderId="0" xfId="4" applyFill="1" applyBorder="1" applyAlignment="1">
      <alignment horizontal="center" vertical="center"/>
    </xf>
    <xf numFmtId="0" fontId="11" fillId="0" borderId="22" xfId="4" applyAlignment="1">
      <alignment horizontal="center"/>
    </xf>
    <xf numFmtId="0" fontId="11" fillId="3" borderId="22" xfId="4" applyFill="1" applyAlignment="1">
      <alignment horizontal="center"/>
    </xf>
    <xf numFmtId="0" fontId="4" fillId="3" borderId="32" xfId="2" applyBorder="1" applyAlignment="1">
      <alignment horizontal="center"/>
    </xf>
    <xf numFmtId="0" fontId="0" fillId="7" borderId="30" xfId="6" applyFont="1" applyAlignment="1">
      <alignment horizontal="center"/>
    </xf>
    <xf numFmtId="0" fontId="0" fillId="7" borderId="33" xfId="6" applyFont="1" applyBorder="1" applyAlignment="1">
      <alignment horizontal="center"/>
    </xf>
    <xf numFmtId="0" fontId="3" fillId="2" borderId="32" xfId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1" fillId="7" borderId="22" xfId="4" applyFill="1" applyAlignment="1">
      <alignment horizontal="center"/>
    </xf>
    <xf numFmtId="0" fontId="17" fillId="7" borderId="30" xfId="6" applyFont="1" applyAlignment="1">
      <alignment horizontal="center" vertical="center"/>
    </xf>
    <xf numFmtId="0" fontId="4" fillId="3" borderId="34" xfId="2" applyBorder="1" applyAlignment="1">
      <alignment horizontal="center"/>
    </xf>
    <xf numFmtId="0" fontId="11" fillId="0" borderId="22" xfId="4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7" fillId="8" borderId="36" xfId="7" applyBorder="1" applyAlignment="1">
      <alignment horizontal="center" vertical="center" wrapText="1"/>
    </xf>
    <xf numFmtId="0" fontId="3" fillId="2" borderId="37" xfId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1" fillId="0" borderId="12" xfId="0" applyFont="1" applyBorder="1"/>
    <xf numFmtId="0" fontId="0" fillId="0" borderId="1" xfId="0" applyBorder="1" applyAlignment="1">
      <alignment horizontal="center"/>
    </xf>
    <xf numFmtId="0" fontId="3" fillId="2" borderId="1" xfId="1" applyBorder="1" applyAlignment="1">
      <alignment horizontal="center" vertical="center"/>
    </xf>
    <xf numFmtId="0" fontId="4" fillId="3" borderId="1" xfId="2" quotePrefix="1" applyBorder="1" applyAlignment="1">
      <alignment horizontal="center" vertical="center"/>
    </xf>
    <xf numFmtId="0" fontId="3" fillId="2" borderId="1" xfId="1" applyBorder="1" applyAlignment="1">
      <alignment horizontal="center"/>
    </xf>
    <xf numFmtId="0" fontId="3" fillId="2" borderId="38" xfId="1" applyBorder="1" applyAlignment="1">
      <alignment horizontal="center"/>
    </xf>
    <xf numFmtId="0" fontId="3" fillId="2" borderId="29" xfId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4" fillId="3" borderId="29" xfId="2" quotePrefix="1" applyBorder="1" applyAlignment="1">
      <alignment horizontal="center" vertical="center"/>
    </xf>
    <xf numFmtId="0" fontId="3" fillId="2" borderId="29" xfId="1" applyBorder="1" applyAlignment="1">
      <alignment horizontal="center"/>
    </xf>
    <xf numFmtId="0" fontId="3" fillId="2" borderId="39" xfId="1" applyBorder="1" applyAlignment="1">
      <alignment horizontal="center"/>
    </xf>
    <xf numFmtId="0" fontId="3" fillId="2" borderId="2" xfId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3" borderId="2" xfId="2" quotePrefix="1" applyBorder="1" applyAlignment="1">
      <alignment horizontal="center" vertical="center"/>
    </xf>
    <xf numFmtId="0" fontId="3" fillId="2" borderId="2" xfId="1" applyBorder="1" applyAlignment="1">
      <alignment horizontal="center"/>
    </xf>
    <xf numFmtId="0" fontId="3" fillId="2" borderId="40" xfId="1" applyBorder="1" applyAlignment="1">
      <alignment horizontal="center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4" fillId="3" borderId="44" xfId="2" applyBorder="1" applyAlignment="1">
      <alignment horizontal="center" vertical="center"/>
    </xf>
    <xf numFmtId="0" fontId="3" fillId="0" borderId="7" xfId="1" applyFill="1" applyAlignment="1">
      <alignment horizontal="center" vertical="center"/>
    </xf>
    <xf numFmtId="0" fontId="3" fillId="2" borderId="34" xfId="1" applyBorder="1" applyAlignment="1">
      <alignment horizontal="center" vertical="center"/>
    </xf>
    <xf numFmtId="0" fontId="3" fillId="2" borderId="45" xfId="1" applyBorder="1" applyAlignment="1">
      <alignment horizontal="center" vertical="center"/>
    </xf>
    <xf numFmtId="0" fontId="4" fillId="3" borderId="34" xfId="2" applyBorder="1" applyAlignment="1">
      <alignment horizontal="center" vertical="center"/>
    </xf>
    <xf numFmtId="0" fontId="4" fillId="3" borderId="45" xfId="2" applyBorder="1" applyAlignment="1">
      <alignment horizontal="center" vertical="center"/>
    </xf>
    <xf numFmtId="0" fontId="4" fillId="3" borderId="1" xfId="2" applyBorder="1" applyAlignment="1">
      <alignment horizontal="center" vertical="center"/>
    </xf>
    <xf numFmtId="0" fontId="0" fillId="0" borderId="1" xfId="0" applyBorder="1"/>
    <xf numFmtId="0" fontId="1" fillId="0" borderId="2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/>
    </xf>
    <xf numFmtId="9" fontId="2" fillId="3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5" borderId="0" xfId="3" applyFont="1" applyFill="1" applyAlignment="1">
      <alignment horizontal="center" wrapText="1"/>
    </xf>
  </cellXfs>
  <cellStyles count="8">
    <cellStyle name="Calculation" xfId="2" builtinId="22"/>
    <cellStyle name="Input" xfId="1" builtinId="20"/>
    <cellStyle name="Linked Cell" xfId="4" builtinId="24"/>
    <cellStyle name="Neutral" xfId="7" builtinId="28"/>
    <cellStyle name="Normal" xfId="0" builtinId="0"/>
    <cellStyle name="Normal 2" xfId="3" xr:uid="{00000000-0005-0000-0000-000004000000}"/>
    <cellStyle name="Note" xfId="6" builtinId="10"/>
    <cellStyle name="Percent" xfId="5" builtinId="5"/>
  </cellStyles>
  <dxfs count="2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92"/>
  <sheetViews>
    <sheetView tabSelected="1" zoomScale="90" zoomScaleNormal="90" workbookViewId="0">
      <pane xSplit="1" topLeftCell="BH1" activePane="topRight" state="frozen"/>
      <selection pane="topRight" activeCell="BN7" sqref="BH2:BN7"/>
    </sheetView>
  </sheetViews>
  <sheetFormatPr defaultRowHeight="14.5" x14ac:dyDescent="0.35"/>
  <cols>
    <col min="2" max="2" width="15" customWidth="1"/>
    <col min="3" max="3" width="13.7265625" customWidth="1"/>
    <col min="4" max="4" width="12.453125" customWidth="1"/>
    <col min="5" max="6" width="10.26953125" customWidth="1"/>
    <col min="7" max="7" width="13" customWidth="1"/>
    <col min="8" max="8" width="10.7265625" customWidth="1"/>
    <col min="9" max="9" width="10.453125" customWidth="1"/>
    <col min="10" max="10" width="8.54296875" customWidth="1"/>
    <col min="11" max="11" width="10.453125" customWidth="1"/>
    <col min="14" max="17" width="9.1796875" customWidth="1"/>
    <col min="18" max="18" width="10" customWidth="1"/>
    <col min="19" max="19" width="3.81640625" customWidth="1"/>
    <col min="20" max="20" width="23.54296875" customWidth="1"/>
    <col min="21" max="21" width="9.453125" customWidth="1"/>
    <col min="22" max="22" width="10.26953125" customWidth="1"/>
    <col min="23" max="27" width="9.1796875" customWidth="1"/>
    <col min="28" max="28" width="11.7265625" customWidth="1"/>
    <col min="29" max="29" width="3.1796875" customWidth="1"/>
    <col min="30" max="30" width="20.81640625" customWidth="1"/>
    <col min="33" max="37" width="9.1796875" customWidth="1"/>
    <col min="38" max="38" width="11.7265625" customWidth="1"/>
    <col min="39" max="39" width="3.54296875" customWidth="1"/>
    <col min="40" max="40" width="25.54296875" customWidth="1"/>
    <col min="43" max="47" width="9.1796875" customWidth="1"/>
    <col min="48" max="48" width="11.7265625" customWidth="1"/>
    <col min="49" max="49" width="3.7265625" customWidth="1"/>
    <col min="50" max="50" width="20.7265625" customWidth="1"/>
    <col min="53" max="57" width="9.1796875" customWidth="1"/>
    <col min="58" max="58" width="12.7265625" customWidth="1"/>
    <col min="59" max="59" width="5.1796875" customWidth="1"/>
    <col min="61" max="61" width="13.7265625" customWidth="1"/>
    <col min="63" max="63" width="3.453125" customWidth="1"/>
    <col min="64" max="64" width="11" customWidth="1"/>
    <col min="68" max="68" width="9.1796875" customWidth="1"/>
    <col min="69" max="69" width="11.81640625" customWidth="1"/>
    <col min="72" max="72" width="16.26953125" customWidth="1"/>
  </cols>
  <sheetData>
    <row r="1" spans="1:76" ht="44" thickBot="1" x14ac:dyDescent="0.4">
      <c r="A1" s="46" t="s">
        <v>94</v>
      </c>
      <c r="B1" s="24" t="s">
        <v>138</v>
      </c>
      <c r="C1" s="46" t="s">
        <v>144</v>
      </c>
      <c r="D1" s="24" t="s">
        <v>106</v>
      </c>
      <c r="E1" s="24" t="s">
        <v>51</v>
      </c>
      <c r="F1" s="46" t="s">
        <v>142</v>
      </c>
      <c r="G1" s="46" t="s">
        <v>188</v>
      </c>
      <c r="H1" s="46" t="s">
        <v>38</v>
      </c>
      <c r="I1" s="46" t="s">
        <v>90</v>
      </c>
      <c r="J1" s="37"/>
      <c r="K1" s="46" t="s">
        <v>216</v>
      </c>
      <c r="L1" s="46" t="s">
        <v>139</v>
      </c>
      <c r="M1" s="46" t="s">
        <v>140</v>
      </c>
      <c r="N1" s="24" t="s">
        <v>55</v>
      </c>
      <c r="O1" s="31" t="s">
        <v>57</v>
      </c>
      <c r="P1" s="24" t="s">
        <v>56</v>
      </c>
      <c r="Q1" s="24" t="s">
        <v>141</v>
      </c>
      <c r="R1" s="41"/>
      <c r="S1" s="42"/>
      <c r="T1" s="48" t="s">
        <v>145</v>
      </c>
      <c r="U1" s="46" t="s">
        <v>139</v>
      </c>
      <c r="V1" s="46" t="s">
        <v>140</v>
      </c>
      <c r="W1" s="24" t="s">
        <v>55</v>
      </c>
      <c r="X1" s="31" t="s">
        <v>57</v>
      </c>
      <c r="Y1" s="24" t="s">
        <v>56</v>
      </c>
      <c r="Z1" s="24" t="s">
        <v>141</v>
      </c>
      <c r="AA1" s="24"/>
      <c r="AB1" s="46" t="s">
        <v>91</v>
      </c>
      <c r="AC1" s="24"/>
      <c r="AD1" s="48" t="s">
        <v>146</v>
      </c>
      <c r="AE1" s="46" t="s">
        <v>139</v>
      </c>
      <c r="AF1" s="46" t="s">
        <v>140</v>
      </c>
      <c r="AG1" s="24" t="s">
        <v>55</v>
      </c>
      <c r="AH1" s="31" t="s">
        <v>57</v>
      </c>
      <c r="AI1" s="24" t="s">
        <v>56</v>
      </c>
      <c r="AJ1" s="24" t="s">
        <v>141</v>
      </c>
      <c r="AK1" s="24"/>
      <c r="AL1" s="46" t="s">
        <v>91</v>
      </c>
      <c r="AM1" s="45"/>
      <c r="AN1" s="48" t="s">
        <v>147</v>
      </c>
      <c r="AO1" s="46" t="s">
        <v>139</v>
      </c>
      <c r="AP1" s="46" t="s">
        <v>140</v>
      </c>
      <c r="AQ1" s="24" t="s">
        <v>55</v>
      </c>
      <c r="AR1" s="31" t="s">
        <v>57</v>
      </c>
      <c r="AS1" s="24" t="s">
        <v>56</v>
      </c>
      <c r="AT1" s="24" t="s">
        <v>141</v>
      </c>
      <c r="AU1" s="24"/>
      <c r="AV1" s="46" t="s">
        <v>91</v>
      </c>
      <c r="AW1" s="45"/>
      <c r="AX1" s="48" t="s">
        <v>148</v>
      </c>
      <c r="AY1" s="46" t="s">
        <v>139</v>
      </c>
      <c r="AZ1" s="46" t="s">
        <v>140</v>
      </c>
      <c r="BA1" s="24" t="s">
        <v>55</v>
      </c>
      <c r="BB1" s="31" t="s">
        <v>57</v>
      </c>
      <c r="BC1" s="24" t="s">
        <v>56</v>
      </c>
      <c r="BD1" s="24" t="s">
        <v>141</v>
      </c>
      <c r="BE1" s="24"/>
      <c r="BF1" s="46" t="s">
        <v>91</v>
      </c>
      <c r="BG1" s="24"/>
      <c r="BH1" s="24" t="s">
        <v>156</v>
      </c>
      <c r="BI1" s="46" t="s">
        <v>212</v>
      </c>
      <c r="BJ1" s="46" t="s">
        <v>214</v>
      </c>
      <c r="BK1" s="37"/>
      <c r="BL1" s="46" t="s">
        <v>184</v>
      </c>
      <c r="BM1" s="46" t="s">
        <v>214</v>
      </c>
      <c r="BN1" s="46" t="s">
        <v>215</v>
      </c>
      <c r="BO1" s="123"/>
      <c r="BP1" s="124" t="s">
        <v>187</v>
      </c>
      <c r="BQ1" s="100"/>
      <c r="BR1" s="156" t="s">
        <v>97</v>
      </c>
      <c r="BS1" s="157"/>
      <c r="BT1" s="47" t="s">
        <v>92</v>
      </c>
      <c r="BU1" s="158" t="s">
        <v>98</v>
      </c>
      <c r="BV1" s="157"/>
      <c r="BW1" s="156" t="s">
        <v>99</v>
      </c>
      <c r="BX1" s="157"/>
    </row>
    <row r="2" spans="1:76" ht="15" thickTop="1" x14ac:dyDescent="0.35">
      <c r="A2" s="32"/>
      <c r="B2" s="32"/>
      <c r="C2" s="32"/>
      <c r="D2" s="32"/>
      <c r="E2" s="54" t="str">
        <f>IF(A2= "","",1)</f>
        <v/>
      </c>
      <c r="F2" s="119"/>
      <c r="G2" s="32"/>
      <c r="H2" s="119"/>
      <c r="I2" s="98">
        <f>IF(K2&gt;0, 1, 0)</f>
        <v>0</v>
      </c>
      <c r="J2" s="38"/>
      <c r="K2" s="32"/>
      <c r="L2" s="32"/>
      <c r="M2" s="32"/>
      <c r="N2" s="33">
        <f>IF(AND(L2&lt;=10,M2&lt;=10),M2-L2,MAX(0,10-L2))</f>
        <v>0</v>
      </c>
      <c r="O2" s="33">
        <f>IF(AND(L2&lt;=10,M2&gt;=20),10,IF(AND(L2&gt;=10,M2&lt;=20),M2-L2,IF(AND(L2&lt;=10,M2&lt;=20,M2&gt;=10),M2-10,IF(AND(L2&gt;=10,M2&gt;=20),MAX(0,20-L2),0))))</f>
        <v>0</v>
      </c>
      <c r="P2" s="33">
        <f>IF(AND(L2&lt;=20,M2&gt;=30),10,IF(AND(L2&gt;=20,M2&lt;=30),M2-L2,IF(AND(L2&lt;=20,M2&lt;=30,M2&gt;=20),M2-20,IF(AND(L2&gt;=20,M2&gt;=30),30-L2,0))))</f>
        <v>0</v>
      </c>
      <c r="Q2" s="33">
        <f>IF(AND(L2&lt;=30,M2&gt;=40),10,IF(AND(L2&gt;=30,M2&lt;=40),M2-L2,IF(AND(L2&lt;=30,M2&lt;=40,M2&gt;=30),M2-30,IF(AND(L2&gt;=30,M2&gt;=40),40-L2,0))))</f>
        <v>0</v>
      </c>
      <c r="R2" s="39"/>
      <c r="S2" s="43"/>
      <c r="T2" s="32"/>
      <c r="U2" s="32"/>
      <c r="V2" s="32"/>
      <c r="W2" s="33">
        <f>IF(AND(U2&lt;=10,V2&lt;=10),V2-U2,MAX(0,10-U2))</f>
        <v>0</v>
      </c>
      <c r="X2" s="33">
        <f>IF(AND(U2&lt;=10,V2&gt;=20),10,IF(AND(U2&gt;=10,V2&lt;=20),V2-U2,IF(AND(U2&lt;=10,V2&lt;=20,V2&gt;=10),V2-10,IF(AND(U2&gt;=10,V2&gt;=20),MAX(0,20-U2),0))))</f>
        <v>0</v>
      </c>
      <c r="Y2" s="33">
        <f>IF(AND(U2&lt;=20,V2&gt;=30),10,IF(AND(U2&gt;=20,V2&lt;=30),V2-U2,IF(AND(U2&lt;=20,V2&lt;=30,V2&gt;=20),V2-20,IF(AND(U2&gt;=20,V2&gt;=30),MAX(0,30-U2),0))))</f>
        <v>0</v>
      </c>
      <c r="Z2" s="33">
        <f>IF(AND(U2&lt;=30,V2&gt;=40),10,IF(AND(U2&gt;=30,V2&lt;=40),V2-U2,IF(AND(U2&lt;=30,V2&lt;=40,V2&gt;=30),V2-30,IF(AND(U2&gt;=30,V2&gt;=40),40-U2,0))))</f>
        <v>0</v>
      </c>
      <c r="AA2" s="33"/>
      <c r="AB2" s="33">
        <f>IF(T2&gt;0, 1, 0)</f>
        <v>0</v>
      </c>
      <c r="AC2" s="25"/>
      <c r="AD2" s="32"/>
      <c r="AE2" s="32"/>
      <c r="AF2" s="32"/>
      <c r="AG2" s="33">
        <f>IF(AND(AE2&lt;=10,AF2&lt;=10),AF2-AE2,MAX(0,10-AE2))</f>
        <v>0</v>
      </c>
      <c r="AH2" s="33">
        <f>IF(AND(AE2&lt;=10,AF2&gt;=20),10,IF(AND(AE2&gt;=10,AF2&lt;=20),AF2-AE2,IF(AND(AE2&lt;=10,AF2&lt;=20,AF2&gt;=10),AF2-10,IF(AND(AE2&gt;=10,AF2&gt;=20),MAX(0,20-AE2),0))))</f>
        <v>0</v>
      </c>
      <c r="AI2" s="33">
        <f>IF(AND(AE2&lt;=20,AF2&gt;=30),10,IF(AND(AE2&gt;=20,AF2&lt;=30),AF2-AE2,IF(AND(AE2&lt;=20,AF2&lt;=30,AF2&gt;=20),AF2-20,IF(AND(AE2&gt;=20,AF2&gt;=30),MAX(0,30-AE2),0))))</f>
        <v>0</v>
      </c>
      <c r="AJ2" s="33">
        <f>IF(AND(AE2&lt;=30,AF2&gt;=40),10,IF(AND(AE2&gt;=30,AF2&lt;=40),AF2-AE2,IF(AND(AE2&lt;=30,AF2&lt;=40,AF2&gt;=30),AF2-30,IF(AND(AE2&gt;=30,AF2&gt;=40),40-AE2,0))))</f>
        <v>0</v>
      </c>
      <c r="AK2" s="33"/>
      <c r="AL2" s="33">
        <f t="shared" ref="AL2:AL91" si="0">IF(AD2&gt;0, 1, 0)</f>
        <v>0</v>
      </c>
      <c r="AM2" s="28"/>
      <c r="AN2" s="32"/>
      <c r="AO2" s="32"/>
      <c r="AP2" s="32"/>
      <c r="AQ2" s="33">
        <f>IF(AND(AO2&lt;=10,AP2&lt;=10),AP2-AO2,MAX(0,10-AO2))</f>
        <v>0</v>
      </c>
      <c r="AR2" s="33">
        <f>IF(AND(AO2&lt;=10,AP2&gt;=20),10,IF(AND(AO2&gt;=10,AP2&lt;=20),AP2-AO2,IF(AND(AO2&lt;=10,AP2&lt;=20,AP2&gt;=10),AP2-10,IF(AND(AO2&gt;=10,AP2&gt;=20),MAX(0,20-AO2),0))))</f>
        <v>0</v>
      </c>
      <c r="AS2" s="33">
        <f>IF(AND(AO2&lt;=20,AP2&gt;=30),10,IF(AND(AO2&gt;=20,AP2&lt;=30),AP2-AO2,IF(AND(AO2&lt;=20,AP2&lt;=30,AP2&gt;=20),AP2-20,IF(AND(AO2&gt;=20,AP2&gt;=30),MAX(0,30-AO2),0))))</f>
        <v>0</v>
      </c>
      <c r="AT2" s="33">
        <f>IF(AND(AO2&lt;=30,AP2&gt;=40),10,IF(AND(AO2&gt;=30,AP2&lt;=40),AP2-AO2,IF(AND(AO2&lt;=30,AP2&lt;=40,AP2&gt;=30),AP2-30,IF(AND(AO2&gt;=30,AP2&gt;=40),40-AO2,0))))</f>
        <v>0</v>
      </c>
      <c r="AU2" s="33"/>
      <c r="AV2" s="33">
        <f t="shared" ref="AV2:AV91" si="1">IF(AN2&gt;0, 1, 0)</f>
        <v>0</v>
      </c>
      <c r="AW2" s="28"/>
      <c r="AX2" s="32"/>
      <c r="AY2" s="32"/>
      <c r="AZ2" s="32"/>
      <c r="BA2" s="33">
        <f>IF(AND(AY2&lt;=10,AZ2&lt;=10),AZ2-AY2,MAX(0,10-AY2))</f>
        <v>0</v>
      </c>
      <c r="BB2" s="33">
        <f>IF(AND(AY2&lt;=10,AZ2&gt;=20),10,IF(AND(AY2&gt;=10,AZ2&lt;=20),AZ2-AY2,IF(AND(AY2&lt;=10,AZ2&lt;=20,AZ2&gt;=10),AZ2-10,IF(AND(AY2&gt;=10,AZ2&gt;=20),MAX(0,20-AY2),0))))</f>
        <v>0</v>
      </c>
      <c r="BC2" s="33">
        <f>IF(AND(AY2&lt;=20,AZ2&gt;=30),10,IF(AND(AY2&gt;=20,AZ2&lt;=30),AZ2-AY2,IF(AND(AY2&lt;=20,AZ2&lt;=30,AZ2&gt;=20),AZ2-20,IF(AND(AY2&gt;=20,AZ2&gt;=30),MAX(0,30-AY2),0))))</f>
        <v>0</v>
      </c>
      <c r="BD2" s="33">
        <f>IF(AND(AY2&lt;=30,AZ2&gt;=40),10,IF(AND(AY2&gt;=30,AZ2&lt;=40),AZ2-AY2,IF(AND(AY2&lt;=30,AZ2&lt;=40,AZ2&gt;=30),AZ2-30,IF(AND(AY2&gt;=30,AZ2&gt;=40),40-AY2,0))))</f>
        <v>0</v>
      </c>
      <c r="BE2" s="33"/>
      <c r="BF2" s="33">
        <f t="shared" ref="BF2:BF91" si="2">IF(AX2&gt;0, 1, 0)</f>
        <v>0</v>
      </c>
      <c r="BG2" s="28"/>
      <c r="BH2" s="32"/>
      <c r="BI2" s="32"/>
      <c r="BJ2" s="32"/>
      <c r="BK2" s="28"/>
      <c r="BL2" s="32"/>
      <c r="BM2" s="32"/>
      <c r="BN2" s="32"/>
      <c r="BO2" s="28"/>
      <c r="BP2" s="28">
        <f>IF(OR(BI2="YES",BL2="YES"), 1, 0)</f>
        <v>0</v>
      </c>
      <c r="BQ2" s="28"/>
      <c r="BR2" s="32"/>
      <c r="BS2" s="32"/>
      <c r="BT2" s="32"/>
      <c r="BU2" s="32"/>
      <c r="BV2" s="32"/>
      <c r="BW2" s="32"/>
      <c r="BX2" s="32"/>
    </row>
    <row r="3" spans="1:76" x14ac:dyDescent="0.35">
      <c r="A3" s="32"/>
      <c r="B3" s="32"/>
      <c r="C3" s="32"/>
      <c r="D3" s="32"/>
      <c r="E3" s="54" t="str">
        <f t="shared" ref="E3:E91" si="3">IF(A3= "","",1)</f>
        <v/>
      </c>
      <c r="F3" s="119"/>
      <c r="G3" s="32"/>
      <c r="H3" s="119"/>
      <c r="I3" s="98">
        <f t="shared" ref="I3:I91" si="4">IF(K3&gt;0, 1, 0)</f>
        <v>0</v>
      </c>
      <c r="J3" s="35"/>
      <c r="K3" s="32"/>
      <c r="L3" s="32"/>
      <c r="M3" s="32"/>
      <c r="N3" s="33">
        <f t="shared" ref="N3:N91" si="5">IF(AND(L3&lt;=10,M3&lt;=10),M3-L3,MAX(0,10-L3))</f>
        <v>0</v>
      </c>
      <c r="O3" s="33">
        <f t="shared" ref="O3:O91" si="6">IF(AND(L3&lt;=10,M3&gt;=20),10,IF(AND(L3&gt;=10,M3&lt;=20),M3-L3,IF(AND(L3&lt;=10,M3&lt;=20,M3&gt;=10),M3-10,IF(AND(L3&gt;=10,M3&gt;=20),MAX(0,20-L3),0))))</f>
        <v>0</v>
      </c>
      <c r="P3" s="33">
        <f t="shared" ref="P3:P91" si="7">IF(AND(L3&lt;=20,M3&gt;=30),10,IF(AND(L3&gt;=20,M3&lt;=30),M3-L3,IF(AND(L3&lt;=20,M3&lt;=30,M3&gt;=20),M3-20,IF(AND(L3&gt;=20,M3&gt;=30),30-L3,0))))</f>
        <v>0</v>
      </c>
      <c r="Q3" s="33">
        <f t="shared" ref="Q3:Q91" si="8">IF(AND(L3&lt;=30,M3&gt;=40),10,IF(AND(L3&gt;=30,M3&lt;=40),M3-L3,IF(AND(L3&lt;=30,M3&lt;=40,M3&gt;=30),M3-30,IF(AND(L3&gt;=30,M3&gt;=40),40-L3,0))))</f>
        <v>0</v>
      </c>
      <c r="R3" s="16"/>
      <c r="S3" s="16"/>
      <c r="T3" s="32"/>
      <c r="U3" s="32"/>
      <c r="V3" s="32"/>
      <c r="W3" s="33">
        <f t="shared" ref="W3:W91" si="9">IF(AND(U3&lt;=10,V3&lt;=10),V3-U3,MAX(0,10-U3))</f>
        <v>0</v>
      </c>
      <c r="X3" s="33">
        <f t="shared" ref="X3:X91" si="10">IF(AND(U3&lt;=10,V3&gt;=20),10,IF(AND(U3&gt;=10,V3&lt;=20),V3-U3,IF(AND(U3&lt;=10,V3&lt;=20,V3&gt;=10),V3-10,IF(AND(U3&gt;=10,V3&gt;=20),MAX(0,20-U3),0))))</f>
        <v>0</v>
      </c>
      <c r="Y3" s="33">
        <f t="shared" ref="Y3:Y91" si="11">IF(AND(U3&lt;=20,V3&gt;=30),10,IF(AND(U3&gt;=20,V3&lt;=30),V3-U3,IF(AND(U3&lt;=20,V3&lt;=30,V3&gt;=20),V3-20,IF(AND(U3&gt;=20,V3&gt;=30),30-U3,0))))</f>
        <v>0</v>
      </c>
      <c r="Z3" s="33">
        <f t="shared" ref="Z3:Z91" si="12">IF(AND(U3&lt;=30,V3&gt;=40),10,IF(AND(U3&gt;=30,V3&lt;=40),V3-U3,IF(AND(U3&lt;=30,V3&lt;=40,V3&gt;=30),V3-30,IF(AND(U3&gt;=30,V3&gt;=40),40-U3,0))))</f>
        <v>0</v>
      </c>
      <c r="AA3" s="33"/>
      <c r="AB3" s="33">
        <f t="shared" ref="AB3:AB91" si="13">IF(T3&gt;0, 1, 0)</f>
        <v>0</v>
      </c>
      <c r="AC3" s="26"/>
      <c r="AD3" s="32"/>
      <c r="AE3" s="32"/>
      <c r="AF3" s="32"/>
      <c r="AG3" s="33">
        <f t="shared" ref="AG3:AG91" si="14">IF(AND(AE3&lt;=10,AF3&lt;=10),AF3-AE3,MAX(0,10-AE3))</f>
        <v>0</v>
      </c>
      <c r="AH3" s="33">
        <f t="shared" ref="AH3:AH91" si="15">IF(AND(AE3&lt;=10,AF3&gt;=20),10,IF(AND(AE3&gt;=10,AF3&lt;=20),AF3-AE3,IF(AND(AE3&lt;=10,AF3&lt;=20,AF3&gt;=10),AF3-10,IF(AND(AE3&gt;=10,AF3&gt;=20),MAX(0,20-AE3),0))))</f>
        <v>0</v>
      </c>
      <c r="AI3" s="33">
        <f t="shared" ref="AI3:AI91" si="16">IF(AND(AE3&lt;=20,AF3&gt;=30),10,IF(AND(AE3&gt;=20,AF3&lt;=30),AF3-AE3,IF(AND(AE3&lt;=20,AF3&lt;=30,AF3&gt;=20),AF3-20,IF(AND(AE3&gt;=20,AF3&gt;=30),30-AE3,0))))</f>
        <v>0</v>
      </c>
      <c r="AJ3" s="33">
        <f t="shared" ref="AJ3:AJ91" si="17">IF(AND(AE3&lt;=30,AF3&gt;=40),10,IF(AND(AE3&gt;=30,AF3&lt;=40),AF3-AE3,IF(AND(AE3&lt;=30,AF3&lt;=40,AF3&gt;=30),AF3-30,IF(AND(AE3&gt;=30,AF3&gt;=40),40-AE3,0))))</f>
        <v>0</v>
      </c>
      <c r="AK3" s="33"/>
      <c r="AL3" s="33">
        <f t="shared" si="0"/>
        <v>0</v>
      </c>
      <c r="AM3" s="28"/>
      <c r="AN3" s="32"/>
      <c r="AO3" s="32"/>
      <c r="AP3" s="32"/>
      <c r="AQ3" s="33">
        <f t="shared" ref="AQ3:AQ91" si="18">IF(AND(AO3&lt;=10,AP3&lt;=10),AP3-AO3,MAX(0,10-AO3))</f>
        <v>0</v>
      </c>
      <c r="AR3" s="33">
        <f t="shared" ref="AR3:AR91" si="19">IF(AND(AO3&lt;=10,AP3&gt;=20),10,IF(AND(AO3&gt;=10,AP3&lt;=20),AP3-AO3,IF(AND(AO3&lt;=10,AP3&lt;=20,AP3&gt;=10),AP3-10,IF(AND(AO3&gt;=10,AP3&gt;=20),MAX(0,20-AO3),0))))</f>
        <v>0</v>
      </c>
      <c r="AS3" s="33">
        <f t="shared" ref="AS3:AS91" si="20">IF(AND(AO3&lt;=20,AP3&gt;=30),10,IF(AND(AO3&gt;=20,AP3&lt;=30),AP3-AO3,IF(AND(AO3&lt;=20,AP3&lt;=30,AP3&gt;=20),AP3-20,IF(AND(AO3&gt;=20,AP3&gt;=30),30-AO3,0))))</f>
        <v>0</v>
      </c>
      <c r="AT3" s="33">
        <f t="shared" ref="AT3:AT91" si="21">IF(AND(AO3&lt;=30,AP3&gt;=40),10,IF(AND(AO3&gt;=30,AP3&lt;=40),AP3-AO3,IF(AND(AO3&lt;=30,AP3&lt;=40,AP3&gt;=30),AP3-30,IF(AND(AO3&gt;=30,AP3&gt;=40),40-AO3,0))))</f>
        <v>0</v>
      </c>
      <c r="AU3" s="33"/>
      <c r="AV3" s="33">
        <f t="shared" si="1"/>
        <v>0</v>
      </c>
      <c r="AW3" s="28"/>
      <c r="AX3" s="32"/>
      <c r="AY3" s="32"/>
      <c r="AZ3" s="32"/>
      <c r="BA3" s="33">
        <f t="shared" ref="BA3:BA91" si="22">IF(AND(AY3&lt;=10,AZ3&lt;=10),AZ3-AY3,MAX(0,10-AY3))</f>
        <v>0</v>
      </c>
      <c r="BB3" s="33">
        <f t="shared" ref="BB3:BB91" si="23">IF(AND(AY3&lt;=10,AZ3&gt;=20),10,IF(AND(AY3&gt;=10,AZ3&lt;=20),AZ3-AY3,IF(AND(AY3&lt;=10,AZ3&lt;=20,AZ3&gt;=10),AZ3-10,IF(AND(AY3&gt;=10,AZ3&gt;=20),MAX(0,20-AY3),0))))</f>
        <v>0</v>
      </c>
      <c r="BC3" s="33">
        <f t="shared" ref="BC3:BC91" si="24">IF(AND(AY3&lt;=20,AZ3&gt;=30),10,IF(AND(AY3&gt;=20,AZ3&lt;=30),AZ3-AY3,IF(AND(AY3&lt;=20,AZ3&lt;=30,AZ3&gt;=20),AZ3-20,IF(AND(AY3&gt;=20,AZ3&gt;=30),30-AY3,0))))</f>
        <v>0</v>
      </c>
      <c r="BD3" s="33">
        <f t="shared" ref="BD3:BD91" si="25">IF(AND(AY3&lt;=30,AZ3&gt;=40),10,IF(AND(AY3&gt;=30,AZ3&lt;=40),AZ3-AY3,IF(AND(AY3&lt;=30,AZ3&lt;=40,AZ3&gt;=30),AZ3-30,IF(AND(AY3&gt;=30,AZ3&gt;=40),40-AY3,0))))</f>
        <v>0</v>
      </c>
      <c r="BE3" s="33"/>
      <c r="BF3" s="33">
        <f t="shared" si="2"/>
        <v>0</v>
      </c>
      <c r="BG3" s="28"/>
      <c r="BH3" s="32"/>
      <c r="BI3" s="32"/>
      <c r="BJ3" s="32"/>
      <c r="BK3" s="28"/>
      <c r="BL3" s="32"/>
      <c r="BM3" s="32"/>
      <c r="BN3" s="32"/>
      <c r="BO3" s="28"/>
      <c r="BP3" s="28">
        <f t="shared" ref="BP3:BP91" si="26">IF(OR(BI3="YES",BL3="YES"), 1, 0)</f>
        <v>0</v>
      </c>
      <c r="BQ3" s="28"/>
      <c r="BR3" s="32"/>
      <c r="BS3" s="32"/>
      <c r="BT3" s="32"/>
      <c r="BU3" s="32"/>
      <c r="BV3" s="32"/>
      <c r="BW3" s="32"/>
      <c r="BX3" s="32"/>
    </row>
    <row r="4" spans="1:76" x14ac:dyDescent="0.35">
      <c r="A4" s="32"/>
      <c r="B4" s="32"/>
      <c r="C4" s="32"/>
      <c r="D4" s="32"/>
      <c r="E4" s="54" t="str">
        <f t="shared" si="3"/>
        <v/>
      </c>
      <c r="F4" s="119"/>
      <c r="G4" s="32"/>
      <c r="H4" s="32"/>
      <c r="I4" s="98">
        <f t="shared" si="4"/>
        <v>0</v>
      </c>
      <c r="J4" s="35"/>
      <c r="K4" s="32"/>
      <c r="L4" s="32"/>
      <c r="M4" s="32"/>
      <c r="N4" s="33">
        <f t="shared" si="5"/>
        <v>0</v>
      </c>
      <c r="O4" s="33">
        <f t="shared" si="6"/>
        <v>0</v>
      </c>
      <c r="P4" s="33">
        <f t="shared" si="7"/>
        <v>0</v>
      </c>
      <c r="Q4" s="33">
        <f t="shared" si="8"/>
        <v>0</v>
      </c>
      <c r="R4" s="40"/>
      <c r="S4" s="16"/>
      <c r="T4" s="32"/>
      <c r="U4" s="32"/>
      <c r="V4" s="32"/>
      <c r="W4" s="33">
        <f t="shared" si="9"/>
        <v>0</v>
      </c>
      <c r="X4" s="33">
        <f t="shared" si="10"/>
        <v>0</v>
      </c>
      <c r="Y4" s="33">
        <f t="shared" si="11"/>
        <v>0</v>
      </c>
      <c r="Z4" s="33">
        <f t="shared" si="12"/>
        <v>0</v>
      </c>
      <c r="AA4" s="33"/>
      <c r="AB4" s="33">
        <f t="shared" si="13"/>
        <v>0</v>
      </c>
      <c r="AC4" s="26"/>
      <c r="AD4" s="32"/>
      <c r="AE4" s="32"/>
      <c r="AF4" s="32"/>
      <c r="AG4" s="33">
        <f t="shared" si="14"/>
        <v>0</v>
      </c>
      <c r="AH4" s="33">
        <f t="shared" si="15"/>
        <v>0</v>
      </c>
      <c r="AI4" s="33">
        <f t="shared" si="16"/>
        <v>0</v>
      </c>
      <c r="AJ4" s="33">
        <f t="shared" si="17"/>
        <v>0</v>
      </c>
      <c r="AK4" s="33"/>
      <c r="AL4" s="33">
        <f t="shared" si="0"/>
        <v>0</v>
      </c>
      <c r="AM4" s="28"/>
      <c r="AN4" s="32"/>
      <c r="AO4" s="32"/>
      <c r="AP4" s="32"/>
      <c r="AQ4" s="33">
        <f t="shared" si="18"/>
        <v>0</v>
      </c>
      <c r="AR4" s="33">
        <f t="shared" si="19"/>
        <v>0</v>
      </c>
      <c r="AS4" s="33">
        <f t="shared" si="20"/>
        <v>0</v>
      </c>
      <c r="AT4" s="33">
        <f t="shared" si="21"/>
        <v>0</v>
      </c>
      <c r="AU4" s="33"/>
      <c r="AV4" s="33">
        <f t="shared" si="1"/>
        <v>0</v>
      </c>
      <c r="AW4" s="28"/>
      <c r="AX4" s="32"/>
      <c r="AY4" s="32"/>
      <c r="AZ4" s="32"/>
      <c r="BA4" s="33">
        <f t="shared" si="22"/>
        <v>0</v>
      </c>
      <c r="BB4" s="33">
        <f t="shared" si="23"/>
        <v>0</v>
      </c>
      <c r="BC4" s="33">
        <f t="shared" si="24"/>
        <v>0</v>
      </c>
      <c r="BD4" s="33">
        <f t="shared" si="25"/>
        <v>0</v>
      </c>
      <c r="BE4" s="33"/>
      <c r="BF4" s="33">
        <f t="shared" si="2"/>
        <v>0</v>
      </c>
      <c r="BG4" s="28"/>
      <c r="BH4" s="32"/>
      <c r="BI4" s="32"/>
      <c r="BJ4" s="32"/>
      <c r="BK4" s="28"/>
      <c r="BL4" s="32"/>
      <c r="BM4" s="32"/>
      <c r="BN4" s="32"/>
      <c r="BO4" s="28"/>
      <c r="BP4" s="28">
        <f t="shared" si="26"/>
        <v>0</v>
      </c>
      <c r="BQ4" s="28"/>
      <c r="BR4" s="32"/>
      <c r="BS4" s="32"/>
      <c r="BT4" s="32"/>
      <c r="BU4" s="32"/>
      <c r="BV4" s="32"/>
      <c r="BW4" s="32"/>
      <c r="BX4" s="32"/>
    </row>
    <row r="5" spans="1:76" x14ac:dyDescent="0.35">
      <c r="A5" s="32"/>
      <c r="B5" s="32"/>
      <c r="C5" s="32"/>
      <c r="D5" s="32"/>
      <c r="E5" s="54" t="str">
        <f t="shared" si="3"/>
        <v/>
      </c>
      <c r="F5" s="119"/>
      <c r="G5" s="32"/>
      <c r="H5" s="32"/>
      <c r="I5" s="98">
        <f>IF(K5&gt;0, 1, 0)</f>
        <v>0</v>
      </c>
      <c r="J5" s="35"/>
      <c r="K5" s="32"/>
      <c r="L5" s="32"/>
      <c r="M5" s="32"/>
      <c r="N5" s="33">
        <f t="shared" si="5"/>
        <v>0</v>
      </c>
      <c r="O5" s="33">
        <f t="shared" si="6"/>
        <v>0</v>
      </c>
      <c r="P5" s="33">
        <f t="shared" si="7"/>
        <v>0</v>
      </c>
      <c r="Q5" s="33">
        <f t="shared" si="8"/>
        <v>0</v>
      </c>
      <c r="R5" s="40"/>
      <c r="S5" s="16"/>
      <c r="T5" s="32"/>
      <c r="U5" s="32"/>
      <c r="V5" s="32"/>
      <c r="W5" s="33">
        <f t="shared" si="9"/>
        <v>0</v>
      </c>
      <c r="X5" s="33">
        <f t="shared" si="10"/>
        <v>0</v>
      </c>
      <c r="Y5" s="33">
        <f t="shared" si="11"/>
        <v>0</v>
      </c>
      <c r="Z5" s="33">
        <f t="shared" si="12"/>
        <v>0</v>
      </c>
      <c r="AA5" s="33"/>
      <c r="AB5" s="33">
        <f t="shared" si="13"/>
        <v>0</v>
      </c>
      <c r="AC5" s="26"/>
      <c r="AD5" s="32"/>
      <c r="AE5" s="32"/>
      <c r="AF5" s="32"/>
      <c r="AG5" s="33">
        <f t="shared" si="14"/>
        <v>0</v>
      </c>
      <c r="AH5" s="33">
        <f t="shared" si="15"/>
        <v>0</v>
      </c>
      <c r="AI5" s="33">
        <f t="shared" si="16"/>
        <v>0</v>
      </c>
      <c r="AJ5" s="33">
        <f t="shared" si="17"/>
        <v>0</v>
      </c>
      <c r="AK5" s="33"/>
      <c r="AL5" s="33">
        <f t="shared" si="0"/>
        <v>0</v>
      </c>
      <c r="AM5" s="28"/>
      <c r="AN5" s="32"/>
      <c r="AO5" s="32"/>
      <c r="AP5" s="32"/>
      <c r="AQ5" s="33">
        <f t="shared" si="18"/>
        <v>0</v>
      </c>
      <c r="AR5" s="33">
        <f t="shared" si="19"/>
        <v>0</v>
      </c>
      <c r="AS5" s="33">
        <f t="shared" si="20"/>
        <v>0</v>
      </c>
      <c r="AT5" s="33">
        <f t="shared" si="21"/>
        <v>0</v>
      </c>
      <c r="AU5" s="33"/>
      <c r="AV5" s="33">
        <f t="shared" si="1"/>
        <v>0</v>
      </c>
      <c r="AW5" s="28"/>
      <c r="AX5" s="32"/>
      <c r="AY5" s="32"/>
      <c r="AZ5" s="32"/>
      <c r="BA5" s="33">
        <f t="shared" si="22"/>
        <v>0</v>
      </c>
      <c r="BB5" s="33">
        <f t="shared" si="23"/>
        <v>0</v>
      </c>
      <c r="BC5" s="33">
        <f t="shared" si="24"/>
        <v>0</v>
      </c>
      <c r="BD5" s="33">
        <f t="shared" si="25"/>
        <v>0</v>
      </c>
      <c r="BE5" s="33"/>
      <c r="BF5" s="33">
        <f t="shared" si="2"/>
        <v>0</v>
      </c>
      <c r="BG5" s="28"/>
      <c r="BH5" s="32"/>
      <c r="BI5" s="32"/>
      <c r="BJ5" s="32"/>
      <c r="BK5" s="28"/>
      <c r="BL5" s="32"/>
      <c r="BM5" s="32"/>
      <c r="BN5" s="32"/>
      <c r="BO5" s="28"/>
      <c r="BP5" s="28">
        <f t="shared" si="26"/>
        <v>0</v>
      </c>
      <c r="BQ5" s="28"/>
      <c r="BR5" s="32"/>
      <c r="BS5" s="32"/>
      <c r="BT5" s="32"/>
      <c r="BU5" s="32"/>
      <c r="BV5" s="32"/>
      <c r="BW5" s="32"/>
      <c r="BX5" s="32"/>
    </row>
    <row r="6" spans="1:76" x14ac:dyDescent="0.35">
      <c r="A6" s="32"/>
      <c r="B6" s="32"/>
      <c r="C6" s="32"/>
      <c r="D6" s="32"/>
      <c r="E6" s="54" t="str">
        <f t="shared" si="3"/>
        <v/>
      </c>
      <c r="F6" s="119"/>
      <c r="G6" s="32"/>
      <c r="H6" s="32"/>
      <c r="I6" s="98">
        <f t="shared" si="4"/>
        <v>0</v>
      </c>
      <c r="J6" s="35"/>
      <c r="K6" s="32"/>
      <c r="L6" s="32"/>
      <c r="M6" s="32"/>
      <c r="N6" s="33">
        <f t="shared" si="5"/>
        <v>0</v>
      </c>
      <c r="O6" s="33">
        <f t="shared" si="6"/>
        <v>0</v>
      </c>
      <c r="P6" s="33">
        <f t="shared" si="7"/>
        <v>0</v>
      </c>
      <c r="Q6" s="33">
        <f t="shared" si="8"/>
        <v>0</v>
      </c>
      <c r="R6" s="40"/>
      <c r="S6" s="16"/>
      <c r="T6" s="32"/>
      <c r="U6" s="32"/>
      <c r="V6" s="32"/>
      <c r="W6" s="33">
        <f t="shared" si="9"/>
        <v>0</v>
      </c>
      <c r="X6" s="33">
        <f t="shared" si="10"/>
        <v>0</v>
      </c>
      <c r="Y6" s="33">
        <f t="shared" si="11"/>
        <v>0</v>
      </c>
      <c r="Z6" s="33">
        <f t="shared" si="12"/>
        <v>0</v>
      </c>
      <c r="AA6" s="33"/>
      <c r="AB6" s="33">
        <f t="shared" si="13"/>
        <v>0</v>
      </c>
      <c r="AC6" s="26"/>
      <c r="AD6" s="32"/>
      <c r="AE6" s="32"/>
      <c r="AF6" s="32"/>
      <c r="AG6" s="33">
        <f t="shared" si="14"/>
        <v>0</v>
      </c>
      <c r="AH6" s="33">
        <f t="shared" si="15"/>
        <v>0</v>
      </c>
      <c r="AI6" s="33">
        <f t="shared" si="16"/>
        <v>0</v>
      </c>
      <c r="AJ6" s="33">
        <f t="shared" si="17"/>
        <v>0</v>
      </c>
      <c r="AK6" s="33"/>
      <c r="AL6" s="33">
        <f t="shared" si="0"/>
        <v>0</v>
      </c>
      <c r="AM6" s="28"/>
      <c r="AN6" s="32"/>
      <c r="AO6" s="32"/>
      <c r="AP6" s="32"/>
      <c r="AQ6" s="33">
        <f t="shared" si="18"/>
        <v>0</v>
      </c>
      <c r="AR6" s="33">
        <f t="shared" si="19"/>
        <v>0</v>
      </c>
      <c r="AS6" s="33">
        <f t="shared" si="20"/>
        <v>0</v>
      </c>
      <c r="AT6" s="33">
        <f t="shared" si="21"/>
        <v>0</v>
      </c>
      <c r="AU6" s="33"/>
      <c r="AV6" s="33">
        <f t="shared" si="1"/>
        <v>0</v>
      </c>
      <c r="AW6" s="28"/>
      <c r="AX6" s="32"/>
      <c r="AY6" s="32"/>
      <c r="AZ6" s="32"/>
      <c r="BA6" s="33">
        <f t="shared" si="22"/>
        <v>0</v>
      </c>
      <c r="BB6" s="33">
        <f t="shared" si="23"/>
        <v>0</v>
      </c>
      <c r="BC6" s="33">
        <f t="shared" si="24"/>
        <v>0</v>
      </c>
      <c r="BD6" s="33">
        <f t="shared" si="25"/>
        <v>0</v>
      </c>
      <c r="BE6" s="33"/>
      <c r="BF6" s="33">
        <f t="shared" si="2"/>
        <v>0</v>
      </c>
      <c r="BG6" s="28"/>
      <c r="BH6" s="32"/>
      <c r="BI6" s="32"/>
      <c r="BJ6" s="32"/>
      <c r="BK6" s="28"/>
      <c r="BL6" s="32"/>
      <c r="BM6" s="32"/>
      <c r="BN6" s="32"/>
      <c r="BO6" s="28"/>
      <c r="BP6" s="28">
        <f t="shared" si="26"/>
        <v>0</v>
      </c>
      <c r="BQ6" s="28"/>
      <c r="BR6" s="149"/>
      <c r="BS6" s="149"/>
      <c r="BT6" s="149"/>
      <c r="BU6" s="149"/>
      <c r="BV6" s="149"/>
      <c r="BW6" s="149"/>
      <c r="BX6" s="149"/>
    </row>
    <row r="7" spans="1:76" x14ac:dyDescent="0.35">
      <c r="A7" s="32"/>
      <c r="B7" s="32"/>
      <c r="C7" s="32"/>
      <c r="D7" s="32"/>
      <c r="E7" s="54" t="str">
        <f t="shared" si="3"/>
        <v/>
      </c>
      <c r="F7" s="119"/>
      <c r="G7" s="32"/>
      <c r="H7" s="32"/>
      <c r="I7" s="98">
        <f t="shared" si="4"/>
        <v>0</v>
      </c>
      <c r="J7" s="35"/>
      <c r="K7" s="32"/>
      <c r="L7" s="32"/>
      <c r="M7" s="32"/>
      <c r="N7" s="33">
        <f t="shared" si="5"/>
        <v>0</v>
      </c>
      <c r="O7" s="33">
        <f t="shared" si="6"/>
        <v>0</v>
      </c>
      <c r="P7" s="33">
        <f t="shared" si="7"/>
        <v>0</v>
      </c>
      <c r="Q7" s="33">
        <f t="shared" si="8"/>
        <v>0</v>
      </c>
      <c r="R7" s="40"/>
      <c r="S7" s="16"/>
      <c r="T7" s="32"/>
      <c r="U7" s="32"/>
      <c r="V7" s="32"/>
      <c r="W7" s="33">
        <f t="shared" si="9"/>
        <v>0</v>
      </c>
      <c r="X7" s="33">
        <f t="shared" si="10"/>
        <v>0</v>
      </c>
      <c r="Y7" s="33">
        <f t="shared" si="11"/>
        <v>0</v>
      </c>
      <c r="Z7" s="33">
        <f t="shared" si="12"/>
        <v>0</v>
      </c>
      <c r="AA7" s="33"/>
      <c r="AB7" s="33">
        <f t="shared" si="13"/>
        <v>0</v>
      </c>
      <c r="AC7" s="26"/>
      <c r="AD7" s="32"/>
      <c r="AE7" s="32"/>
      <c r="AF7" s="32"/>
      <c r="AG7" s="33">
        <f t="shared" si="14"/>
        <v>0</v>
      </c>
      <c r="AH7" s="33">
        <f t="shared" si="15"/>
        <v>0</v>
      </c>
      <c r="AI7" s="33">
        <f t="shared" si="16"/>
        <v>0</v>
      </c>
      <c r="AJ7" s="33">
        <f t="shared" si="17"/>
        <v>0</v>
      </c>
      <c r="AK7" s="33"/>
      <c r="AL7" s="33">
        <f t="shared" si="0"/>
        <v>0</v>
      </c>
      <c r="AM7" s="28"/>
      <c r="AN7" s="32"/>
      <c r="AO7" s="32"/>
      <c r="AP7" s="32"/>
      <c r="AQ7" s="33">
        <f t="shared" si="18"/>
        <v>0</v>
      </c>
      <c r="AR7" s="33">
        <f t="shared" si="19"/>
        <v>0</v>
      </c>
      <c r="AS7" s="33">
        <f t="shared" si="20"/>
        <v>0</v>
      </c>
      <c r="AT7" s="33">
        <f t="shared" si="21"/>
        <v>0</v>
      </c>
      <c r="AU7" s="33"/>
      <c r="AV7" s="33">
        <f t="shared" si="1"/>
        <v>0</v>
      </c>
      <c r="AW7" s="28"/>
      <c r="AX7" s="32"/>
      <c r="AY7" s="32"/>
      <c r="AZ7" s="32"/>
      <c r="BA7" s="33">
        <f t="shared" si="22"/>
        <v>0</v>
      </c>
      <c r="BB7" s="33">
        <f t="shared" si="23"/>
        <v>0</v>
      </c>
      <c r="BC7" s="33">
        <f t="shared" si="24"/>
        <v>0</v>
      </c>
      <c r="BD7" s="33">
        <f t="shared" si="25"/>
        <v>0</v>
      </c>
      <c r="BE7" s="33"/>
      <c r="BF7" s="33">
        <f t="shared" si="2"/>
        <v>0</v>
      </c>
      <c r="BG7" s="28"/>
      <c r="BH7" s="32"/>
      <c r="BI7" s="32"/>
      <c r="BJ7" s="32"/>
      <c r="BK7" s="28"/>
      <c r="BL7" s="32"/>
      <c r="BM7" s="32"/>
      <c r="BN7" s="32"/>
      <c r="BO7" s="28"/>
      <c r="BP7" s="28">
        <f t="shared" si="26"/>
        <v>0</v>
      </c>
      <c r="BQ7" s="28"/>
      <c r="BR7" s="32"/>
      <c r="BS7" s="32"/>
      <c r="BT7" s="32"/>
      <c r="BU7" s="32"/>
      <c r="BV7" s="32"/>
      <c r="BW7" s="32"/>
      <c r="BX7" s="32"/>
    </row>
    <row r="8" spans="1:76" x14ac:dyDescent="0.35">
      <c r="A8" s="32"/>
      <c r="B8" s="32"/>
      <c r="C8" s="32"/>
      <c r="D8" s="32"/>
      <c r="E8" s="54" t="str">
        <f t="shared" si="3"/>
        <v/>
      </c>
      <c r="F8" s="119"/>
      <c r="G8" s="32"/>
      <c r="H8" s="32"/>
      <c r="I8" s="98">
        <f t="shared" si="4"/>
        <v>0</v>
      </c>
      <c r="J8" s="35"/>
      <c r="K8" s="32"/>
      <c r="L8" s="32"/>
      <c r="M8" s="32"/>
      <c r="N8" s="33">
        <f t="shared" si="5"/>
        <v>0</v>
      </c>
      <c r="O8" s="33">
        <f t="shared" si="6"/>
        <v>0</v>
      </c>
      <c r="P8" s="33">
        <f t="shared" si="7"/>
        <v>0</v>
      </c>
      <c r="Q8" s="33">
        <f t="shared" si="8"/>
        <v>0</v>
      </c>
      <c r="R8" s="40"/>
      <c r="S8" s="16"/>
      <c r="T8" s="32"/>
      <c r="U8" s="32"/>
      <c r="V8" s="32"/>
      <c r="W8" s="33">
        <f t="shared" si="9"/>
        <v>0</v>
      </c>
      <c r="X8" s="33">
        <f t="shared" si="10"/>
        <v>0</v>
      </c>
      <c r="Y8" s="33">
        <f t="shared" si="11"/>
        <v>0</v>
      </c>
      <c r="Z8" s="33">
        <f t="shared" si="12"/>
        <v>0</v>
      </c>
      <c r="AA8" s="33"/>
      <c r="AB8" s="33">
        <f t="shared" si="13"/>
        <v>0</v>
      </c>
      <c r="AC8" s="26"/>
      <c r="AD8" s="32"/>
      <c r="AE8" s="32"/>
      <c r="AF8" s="32"/>
      <c r="AG8" s="33">
        <f t="shared" si="14"/>
        <v>0</v>
      </c>
      <c r="AH8" s="33">
        <f t="shared" si="15"/>
        <v>0</v>
      </c>
      <c r="AI8" s="33">
        <f t="shared" si="16"/>
        <v>0</v>
      </c>
      <c r="AJ8" s="33">
        <f t="shared" si="17"/>
        <v>0</v>
      </c>
      <c r="AK8" s="33"/>
      <c r="AL8" s="33">
        <f t="shared" si="0"/>
        <v>0</v>
      </c>
      <c r="AM8" s="28"/>
      <c r="AN8" s="32"/>
      <c r="AO8" s="32"/>
      <c r="AP8" s="32"/>
      <c r="AQ8" s="33">
        <f t="shared" si="18"/>
        <v>0</v>
      </c>
      <c r="AR8" s="33">
        <f t="shared" si="19"/>
        <v>0</v>
      </c>
      <c r="AS8" s="33">
        <f t="shared" si="20"/>
        <v>0</v>
      </c>
      <c r="AT8" s="33">
        <f t="shared" si="21"/>
        <v>0</v>
      </c>
      <c r="AU8" s="33"/>
      <c r="AV8" s="33">
        <f t="shared" si="1"/>
        <v>0</v>
      </c>
      <c r="AW8" s="28"/>
      <c r="AX8" s="32"/>
      <c r="AY8" s="32"/>
      <c r="AZ8" s="32"/>
      <c r="BA8" s="33">
        <f t="shared" si="22"/>
        <v>0</v>
      </c>
      <c r="BB8" s="33">
        <f t="shared" si="23"/>
        <v>0</v>
      </c>
      <c r="BC8" s="33">
        <f t="shared" si="24"/>
        <v>0</v>
      </c>
      <c r="BD8" s="33">
        <f t="shared" si="25"/>
        <v>0</v>
      </c>
      <c r="BE8" s="33"/>
      <c r="BF8" s="33">
        <f t="shared" si="2"/>
        <v>0</v>
      </c>
      <c r="BG8" s="28"/>
      <c r="BH8" s="32"/>
      <c r="BI8" s="32"/>
      <c r="BJ8" s="32"/>
      <c r="BK8" s="28"/>
      <c r="BL8" s="32"/>
      <c r="BM8" s="32"/>
      <c r="BN8" s="32"/>
      <c r="BO8" s="28"/>
      <c r="BP8" s="28">
        <f t="shared" si="26"/>
        <v>0</v>
      </c>
      <c r="BQ8" s="28"/>
      <c r="BR8" s="32"/>
      <c r="BS8" s="32"/>
      <c r="BT8" s="32"/>
      <c r="BU8" s="32"/>
      <c r="BV8" s="32"/>
      <c r="BW8" s="32"/>
      <c r="BX8" s="32"/>
    </row>
    <row r="9" spans="1:76" x14ac:dyDescent="0.35">
      <c r="A9" s="32"/>
      <c r="B9" s="32"/>
      <c r="C9" s="32"/>
      <c r="D9" s="32"/>
      <c r="E9" s="54" t="str">
        <f t="shared" si="3"/>
        <v/>
      </c>
      <c r="F9" s="119"/>
      <c r="G9" s="32"/>
      <c r="H9" s="32"/>
      <c r="I9" s="98">
        <f t="shared" si="4"/>
        <v>0</v>
      </c>
      <c r="J9" s="35"/>
      <c r="K9" s="32"/>
      <c r="L9" s="32"/>
      <c r="M9" s="32"/>
      <c r="N9" s="33">
        <f t="shared" si="5"/>
        <v>0</v>
      </c>
      <c r="O9" s="33">
        <f t="shared" si="6"/>
        <v>0</v>
      </c>
      <c r="P9" s="33">
        <f t="shared" si="7"/>
        <v>0</v>
      </c>
      <c r="Q9" s="33">
        <f t="shared" si="8"/>
        <v>0</v>
      </c>
      <c r="R9" s="40"/>
      <c r="S9" s="16"/>
      <c r="T9" s="32"/>
      <c r="U9" s="32"/>
      <c r="V9" s="32"/>
      <c r="W9" s="33">
        <f t="shared" si="9"/>
        <v>0</v>
      </c>
      <c r="X9" s="33">
        <f t="shared" si="10"/>
        <v>0</v>
      </c>
      <c r="Y9" s="33">
        <f t="shared" si="11"/>
        <v>0</v>
      </c>
      <c r="Z9" s="33">
        <f t="shared" si="12"/>
        <v>0</v>
      </c>
      <c r="AA9" s="33"/>
      <c r="AB9" s="33">
        <f t="shared" si="13"/>
        <v>0</v>
      </c>
      <c r="AC9" s="26"/>
      <c r="AD9" s="32"/>
      <c r="AE9" s="32"/>
      <c r="AF9" s="32"/>
      <c r="AG9" s="33">
        <f t="shared" si="14"/>
        <v>0</v>
      </c>
      <c r="AH9" s="33">
        <f t="shared" si="15"/>
        <v>0</v>
      </c>
      <c r="AI9" s="33">
        <f t="shared" si="16"/>
        <v>0</v>
      </c>
      <c r="AJ9" s="33">
        <f t="shared" si="17"/>
        <v>0</v>
      </c>
      <c r="AK9" s="33"/>
      <c r="AL9" s="33">
        <f t="shared" si="0"/>
        <v>0</v>
      </c>
      <c r="AM9" s="28"/>
      <c r="AN9" s="32"/>
      <c r="AO9" s="32"/>
      <c r="AP9" s="32"/>
      <c r="AQ9" s="33">
        <f t="shared" si="18"/>
        <v>0</v>
      </c>
      <c r="AR9" s="33">
        <f t="shared" si="19"/>
        <v>0</v>
      </c>
      <c r="AS9" s="33">
        <f t="shared" si="20"/>
        <v>0</v>
      </c>
      <c r="AT9" s="33">
        <f t="shared" si="21"/>
        <v>0</v>
      </c>
      <c r="AU9" s="33"/>
      <c r="AV9" s="33">
        <f t="shared" si="1"/>
        <v>0</v>
      </c>
      <c r="AW9" s="28"/>
      <c r="AX9" s="32"/>
      <c r="AY9" s="32"/>
      <c r="AZ9" s="32"/>
      <c r="BA9" s="33">
        <f>IF(AND(AY9&lt;=10,AZ9&lt;=10),AZ9-AY9,MAX(0,10-AY9))</f>
        <v>0</v>
      </c>
      <c r="BB9" s="33">
        <f>IF(AND(AY9&lt;=10,AZ9&gt;=20),10,IF(AND(AY9&gt;=10,AZ9&lt;=20),AZ9-AY9,IF(AND(AY9&lt;=10,AZ9&lt;=20,AZ9&gt;=10),AZ9-10,IF(AND(AY9&gt;=10,AZ9&gt;=20),MAX(0,20-AY9),0))))</f>
        <v>0</v>
      </c>
      <c r="BC9" s="33">
        <f>IF(AND(AY9&lt;=20,AZ9&gt;=30),10,IF(AND(AY9&gt;=20,AZ9&lt;=30),AZ9-AY9,IF(AND(AY9&lt;=20,AZ9&lt;=30,AZ9&gt;=20),AZ9-20,IF(AND(AY9&gt;=20,AZ9&gt;=30),30-AY9,0))))</f>
        <v>0</v>
      </c>
      <c r="BD9" s="33">
        <f>IF(AND(AY9&lt;=30,AZ9&gt;=40),10,IF(AND(AY9&gt;=30,AZ9&lt;=40),AZ9-AY9,IF(AND(AY9&lt;=30,AZ9&lt;=40,AZ9&gt;=30),AZ9-30,IF(AND(AY9&gt;=30,AZ9&gt;=40),40-AY9,0))))</f>
        <v>0</v>
      </c>
      <c r="BE9" s="33"/>
      <c r="BF9" s="33">
        <f>IF(AX9&gt;0, 1, 0)</f>
        <v>0</v>
      </c>
      <c r="BG9" s="28"/>
      <c r="BH9" s="32"/>
      <c r="BI9" s="32"/>
      <c r="BJ9" s="32"/>
      <c r="BK9" s="28"/>
      <c r="BL9" s="32"/>
      <c r="BM9" s="32"/>
      <c r="BN9" s="32"/>
      <c r="BO9" s="28"/>
      <c r="BP9" s="28">
        <f t="shared" si="26"/>
        <v>0</v>
      </c>
      <c r="BQ9" s="28"/>
      <c r="BR9" s="32"/>
      <c r="BS9" s="32"/>
      <c r="BT9" s="32"/>
      <c r="BU9" s="32"/>
      <c r="BV9" s="32"/>
      <c r="BW9" s="32"/>
      <c r="BX9" s="32"/>
    </row>
    <row r="10" spans="1:76" x14ac:dyDescent="0.35">
      <c r="A10" s="32"/>
      <c r="B10" s="32"/>
      <c r="C10" s="32"/>
      <c r="D10" s="32"/>
      <c r="E10" s="54" t="str">
        <f t="shared" si="3"/>
        <v/>
      </c>
      <c r="F10" s="119"/>
      <c r="G10" s="32"/>
      <c r="H10" s="32"/>
      <c r="I10" s="98">
        <f t="shared" si="4"/>
        <v>0</v>
      </c>
      <c r="J10" s="35"/>
      <c r="K10" s="32"/>
      <c r="L10" s="32"/>
      <c r="M10" s="32"/>
      <c r="N10" s="33">
        <f t="shared" si="5"/>
        <v>0</v>
      </c>
      <c r="O10" s="33">
        <f t="shared" si="6"/>
        <v>0</v>
      </c>
      <c r="P10" s="33">
        <f t="shared" si="7"/>
        <v>0</v>
      </c>
      <c r="Q10" s="33">
        <f t="shared" si="8"/>
        <v>0</v>
      </c>
      <c r="R10" s="40"/>
      <c r="S10" s="16"/>
      <c r="T10" s="32"/>
      <c r="U10" s="32"/>
      <c r="V10" s="32"/>
      <c r="W10" s="33">
        <f t="shared" si="9"/>
        <v>0</v>
      </c>
      <c r="X10" s="33">
        <f t="shared" si="10"/>
        <v>0</v>
      </c>
      <c r="Y10" s="33">
        <f t="shared" si="11"/>
        <v>0</v>
      </c>
      <c r="Z10" s="33">
        <f t="shared" si="12"/>
        <v>0</v>
      </c>
      <c r="AA10" s="33"/>
      <c r="AB10" s="33">
        <f t="shared" si="13"/>
        <v>0</v>
      </c>
      <c r="AC10" s="26"/>
      <c r="AD10" s="32"/>
      <c r="AE10" s="32"/>
      <c r="AF10" s="32"/>
      <c r="AG10" s="33">
        <f t="shared" si="14"/>
        <v>0</v>
      </c>
      <c r="AH10" s="33">
        <f t="shared" si="15"/>
        <v>0</v>
      </c>
      <c r="AI10" s="33">
        <f t="shared" si="16"/>
        <v>0</v>
      </c>
      <c r="AJ10" s="33">
        <f t="shared" si="17"/>
        <v>0</v>
      </c>
      <c r="AK10" s="33"/>
      <c r="AL10" s="33">
        <f t="shared" si="0"/>
        <v>0</v>
      </c>
      <c r="AM10" s="28"/>
      <c r="AN10" s="32"/>
      <c r="AO10" s="32"/>
      <c r="AP10" s="32"/>
      <c r="AQ10" s="33">
        <f t="shared" si="18"/>
        <v>0</v>
      </c>
      <c r="AR10" s="33">
        <f t="shared" si="19"/>
        <v>0</v>
      </c>
      <c r="AS10" s="33">
        <f t="shared" si="20"/>
        <v>0</v>
      </c>
      <c r="AT10" s="33">
        <f t="shared" si="21"/>
        <v>0</v>
      </c>
      <c r="AU10" s="33"/>
      <c r="AV10" s="33">
        <f t="shared" si="1"/>
        <v>0</v>
      </c>
      <c r="AW10" s="28"/>
      <c r="AX10" s="32"/>
      <c r="AY10" s="32"/>
      <c r="AZ10" s="32"/>
      <c r="BA10" s="33">
        <f t="shared" si="22"/>
        <v>0</v>
      </c>
      <c r="BB10" s="33">
        <f t="shared" si="23"/>
        <v>0</v>
      </c>
      <c r="BC10" s="33">
        <f t="shared" si="24"/>
        <v>0</v>
      </c>
      <c r="BD10" s="33">
        <f t="shared" si="25"/>
        <v>0</v>
      </c>
      <c r="BE10" s="33"/>
      <c r="BF10" s="33">
        <f t="shared" si="2"/>
        <v>0</v>
      </c>
      <c r="BG10" s="28"/>
      <c r="BH10" s="32"/>
      <c r="BI10" s="32"/>
      <c r="BJ10" s="32"/>
      <c r="BK10" s="28"/>
      <c r="BL10" s="32"/>
      <c r="BM10" s="32"/>
      <c r="BN10" s="32"/>
      <c r="BO10" s="28"/>
      <c r="BP10" s="28">
        <f t="shared" si="26"/>
        <v>0</v>
      </c>
      <c r="BQ10" s="28"/>
      <c r="BR10" s="149"/>
      <c r="BS10" s="149"/>
      <c r="BT10" s="149"/>
      <c r="BU10" s="149"/>
      <c r="BV10" s="149"/>
      <c r="BW10" s="149"/>
      <c r="BX10" s="149"/>
    </row>
    <row r="11" spans="1:76" x14ac:dyDescent="0.35">
      <c r="A11" s="32"/>
      <c r="B11" s="32"/>
      <c r="C11" s="32"/>
      <c r="D11" s="32"/>
      <c r="E11" s="54" t="str">
        <f t="shared" si="3"/>
        <v/>
      </c>
      <c r="F11" s="119"/>
      <c r="G11" s="32"/>
      <c r="H11" s="32"/>
      <c r="I11" s="98">
        <f t="shared" si="4"/>
        <v>0</v>
      </c>
      <c r="J11" s="35"/>
      <c r="K11" s="32"/>
      <c r="L11" s="32"/>
      <c r="M11" s="32"/>
      <c r="N11" s="33">
        <f t="shared" si="5"/>
        <v>0</v>
      </c>
      <c r="O11" s="33">
        <f t="shared" si="6"/>
        <v>0</v>
      </c>
      <c r="P11" s="33">
        <f t="shared" si="7"/>
        <v>0</v>
      </c>
      <c r="Q11" s="33">
        <f t="shared" si="8"/>
        <v>0</v>
      </c>
      <c r="R11" s="40"/>
      <c r="S11" s="16"/>
      <c r="T11" s="32"/>
      <c r="U11" s="32"/>
      <c r="V11" s="32"/>
      <c r="W11" s="33">
        <f t="shared" si="9"/>
        <v>0</v>
      </c>
      <c r="X11" s="33">
        <f t="shared" si="10"/>
        <v>0</v>
      </c>
      <c r="Y11" s="33">
        <f t="shared" si="11"/>
        <v>0</v>
      </c>
      <c r="Z11" s="33">
        <f t="shared" si="12"/>
        <v>0</v>
      </c>
      <c r="AA11" s="33"/>
      <c r="AB11" s="33">
        <f t="shared" si="13"/>
        <v>0</v>
      </c>
      <c r="AC11" s="26"/>
      <c r="AD11" s="32"/>
      <c r="AE11" s="32"/>
      <c r="AF11" s="32"/>
      <c r="AG11" s="33">
        <f t="shared" si="14"/>
        <v>0</v>
      </c>
      <c r="AH11" s="33">
        <f t="shared" si="15"/>
        <v>0</v>
      </c>
      <c r="AI11" s="33">
        <f t="shared" si="16"/>
        <v>0</v>
      </c>
      <c r="AJ11" s="33">
        <f t="shared" si="17"/>
        <v>0</v>
      </c>
      <c r="AK11" s="33"/>
      <c r="AL11" s="33">
        <f t="shared" si="0"/>
        <v>0</v>
      </c>
      <c r="AM11" s="28"/>
      <c r="AN11" s="32"/>
      <c r="AO11" s="32"/>
      <c r="AP11" s="32"/>
      <c r="AQ11" s="33">
        <f t="shared" si="18"/>
        <v>0</v>
      </c>
      <c r="AR11" s="33">
        <f t="shared" si="19"/>
        <v>0</v>
      </c>
      <c r="AS11" s="33">
        <f t="shared" si="20"/>
        <v>0</v>
      </c>
      <c r="AT11" s="33">
        <f t="shared" si="21"/>
        <v>0</v>
      </c>
      <c r="AU11" s="33"/>
      <c r="AV11" s="33">
        <f t="shared" si="1"/>
        <v>0</v>
      </c>
      <c r="AW11" s="28"/>
      <c r="AX11" s="32"/>
      <c r="AY11" s="32"/>
      <c r="AZ11" s="32"/>
      <c r="BA11" s="33">
        <f>IF(AND(AY11&lt;=10,AZ11&lt;=10),AZ11-AY11,MAX(0,10-AY11))</f>
        <v>0</v>
      </c>
      <c r="BB11" s="33">
        <f>IF(AND(AY11&lt;=10,AZ11&gt;=20),10,IF(AND(AY11&gt;=10,AZ11&lt;=20),AZ11-AY11,IF(AND(AY11&lt;=10,AZ11&lt;=20,AZ11&gt;=10),AZ11-10,IF(AND(AY11&gt;=10,AZ11&gt;=20),MAX(0,20-AY11),0))))</f>
        <v>0</v>
      </c>
      <c r="BC11" s="33">
        <f>IF(AND(AY11&lt;=20,AZ11&gt;=30),10,IF(AND(AY11&gt;=20,AZ11&lt;=30),AZ11-AY11,IF(AND(AY11&lt;=20,AZ11&lt;=30,AZ11&gt;=20),AZ11-20,IF(AND(AY11&gt;=20,AZ11&gt;=30),30-AY11,0))))</f>
        <v>0</v>
      </c>
      <c r="BD11" s="33">
        <f>IF(AND(AY11&lt;=30,AZ11&gt;=40),10,IF(AND(AY11&gt;=30,AZ11&lt;=40),AZ11-AY11,IF(AND(AY11&lt;=30,AZ11&lt;=40,AZ11&gt;=30),AZ11-30,IF(AND(AY11&gt;=30,AZ11&gt;=40),40-AY11,0))))</f>
        <v>0</v>
      </c>
      <c r="BE11" s="33"/>
      <c r="BF11" s="33">
        <f>IF(AX11&gt;0, 1, 0)</f>
        <v>0</v>
      </c>
      <c r="BG11" s="28"/>
      <c r="BH11" s="32"/>
      <c r="BI11" s="32"/>
      <c r="BJ11" s="32"/>
      <c r="BK11" s="28"/>
      <c r="BL11" s="32"/>
      <c r="BM11" s="32"/>
      <c r="BN11" s="32"/>
      <c r="BO11" s="28"/>
      <c r="BP11" s="28">
        <f t="shared" si="26"/>
        <v>0</v>
      </c>
      <c r="BQ11" s="28"/>
      <c r="BR11" s="32"/>
      <c r="BS11" s="32"/>
      <c r="BT11" s="32"/>
      <c r="BU11" s="32"/>
      <c r="BV11" s="32"/>
      <c r="BW11" s="32"/>
      <c r="BX11" s="32"/>
    </row>
    <row r="12" spans="1:76" x14ac:dyDescent="0.35">
      <c r="A12" s="32"/>
      <c r="B12" s="32"/>
      <c r="C12" s="32"/>
      <c r="D12" s="32"/>
      <c r="E12" s="54" t="str">
        <f t="shared" si="3"/>
        <v/>
      </c>
      <c r="F12" s="119"/>
      <c r="G12" s="32"/>
      <c r="H12" s="32"/>
      <c r="I12" s="98">
        <f t="shared" si="4"/>
        <v>0</v>
      </c>
      <c r="J12" s="35"/>
      <c r="K12" s="32"/>
      <c r="L12" s="32"/>
      <c r="M12" s="32"/>
      <c r="N12" s="33">
        <f t="shared" si="5"/>
        <v>0</v>
      </c>
      <c r="O12" s="33">
        <f t="shared" si="6"/>
        <v>0</v>
      </c>
      <c r="P12" s="33">
        <f t="shared" si="7"/>
        <v>0</v>
      </c>
      <c r="Q12" s="33">
        <f t="shared" si="8"/>
        <v>0</v>
      </c>
      <c r="R12" s="40"/>
      <c r="S12" s="16"/>
      <c r="T12" s="32"/>
      <c r="U12" s="32"/>
      <c r="V12" s="32"/>
      <c r="W12" s="33">
        <f t="shared" si="9"/>
        <v>0</v>
      </c>
      <c r="X12" s="33">
        <f t="shared" si="10"/>
        <v>0</v>
      </c>
      <c r="Y12" s="33">
        <f t="shared" si="11"/>
        <v>0</v>
      </c>
      <c r="Z12" s="33">
        <f t="shared" si="12"/>
        <v>0</v>
      </c>
      <c r="AA12" s="33"/>
      <c r="AB12" s="33">
        <f t="shared" si="13"/>
        <v>0</v>
      </c>
      <c r="AC12" s="26"/>
      <c r="AD12" s="32"/>
      <c r="AE12" s="32"/>
      <c r="AF12" s="32"/>
      <c r="AG12" s="33">
        <f t="shared" si="14"/>
        <v>0</v>
      </c>
      <c r="AH12" s="33">
        <f t="shared" si="15"/>
        <v>0</v>
      </c>
      <c r="AI12" s="33">
        <f t="shared" si="16"/>
        <v>0</v>
      </c>
      <c r="AJ12" s="33">
        <f t="shared" si="17"/>
        <v>0</v>
      </c>
      <c r="AK12" s="33"/>
      <c r="AL12" s="33">
        <f t="shared" si="0"/>
        <v>0</v>
      </c>
      <c r="AM12" s="28"/>
      <c r="AN12" s="32"/>
      <c r="AO12" s="32"/>
      <c r="AP12" s="32"/>
      <c r="AQ12" s="33">
        <f t="shared" si="18"/>
        <v>0</v>
      </c>
      <c r="AR12" s="33">
        <f t="shared" si="19"/>
        <v>0</v>
      </c>
      <c r="AS12" s="33">
        <f t="shared" si="20"/>
        <v>0</v>
      </c>
      <c r="AT12" s="33">
        <f t="shared" si="21"/>
        <v>0</v>
      </c>
      <c r="AU12" s="33"/>
      <c r="AV12" s="33">
        <f t="shared" si="1"/>
        <v>0</v>
      </c>
      <c r="AW12" s="28"/>
      <c r="AX12" s="32"/>
      <c r="AY12" s="32"/>
      <c r="AZ12" s="32"/>
      <c r="BA12" s="33">
        <f t="shared" si="22"/>
        <v>0</v>
      </c>
      <c r="BB12" s="33">
        <f t="shared" si="23"/>
        <v>0</v>
      </c>
      <c r="BC12" s="33">
        <f t="shared" si="24"/>
        <v>0</v>
      </c>
      <c r="BD12" s="33">
        <f t="shared" si="25"/>
        <v>0</v>
      </c>
      <c r="BE12" s="33"/>
      <c r="BF12" s="33">
        <f t="shared" si="2"/>
        <v>0</v>
      </c>
      <c r="BG12" s="28"/>
      <c r="BH12" s="32"/>
      <c r="BI12" s="32"/>
      <c r="BJ12" s="32"/>
      <c r="BK12" s="28"/>
      <c r="BL12" s="32"/>
      <c r="BM12" s="32"/>
      <c r="BN12" s="32"/>
      <c r="BO12" s="28"/>
      <c r="BP12" s="28">
        <f t="shared" si="26"/>
        <v>0</v>
      </c>
      <c r="BQ12" s="28"/>
      <c r="BR12" s="149"/>
      <c r="BS12" s="149"/>
      <c r="BT12" s="149"/>
      <c r="BU12" s="149"/>
      <c r="BV12" s="149"/>
      <c r="BW12" s="149"/>
      <c r="BX12" s="149"/>
    </row>
    <row r="13" spans="1:76" x14ac:dyDescent="0.35">
      <c r="A13" s="32"/>
      <c r="B13" s="32"/>
      <c r="C13" s="32"/>
      <c r="D13" s="32"/>
      <c r="E13" s="54" t="str">
        <f t="shared" ref="E13" si="27">IF(A13= "","",1)</f>
        <v/>
      </c>
      <c r="F13" s="119"/>
      <c r="G13" s="32"/>
      <c r="H13" s="32"/>
      <c r="I13" s="98">
        <f t="shared" ref="I13" si="28">IF(K13&gt;0, 1, 0)</f>
        <v>0</v>
      </c>
      <c r="J13" s="35"/>
      <c r="K13" s="32"/>
      <c r="L13" s="32"/>
      <c r="M13" s="32"/>
      <c r="N13" s="33">
        <f>IF(AND(L13&lt;=10,M13&lt;=10),M13-L13,MAX(0,10-L13))</f>
        <v>0</v>
      </c>
      <c r="O13" s="33">
        <f>IF(AND(L13&lt;=10,M13&gt;=20),10,IF(AND(L13&gt;=10,M13&lt;=20),M13-L13,IF(AND(L13&lt;=10,M13&lt;=20,M13&gt;=10),M13-10,IF(AND(L13&gt;=10,M13&gt;=20),MAX(0,20-L13),0))))</f>
        <v>0</v>
      </c>
      <c r="P13" s="33">
        <f>IF(AND(L13&lt;=20,M13&gt;=30),10,IF(AND(L13&gt;=20,M13&lt;=30),M13-L13,IF(AND(L13&lt;=20,M13&lt;=30,M13&gt;=20),M13-20,IF(AND(L13&gt;=20,M13&gt;=30),30-L13,0))))</f>
        <v>0</v>
      </c>
      <c r="Q13" s="33">
        <f>IF(AND(L13&lt;=30,M13&gt;=40),10,IF(AND(L13&gt;=30,M13&lt;=40),M13-L13,IF(AND(L13&lt;=30,M13&lt;=40,M13&gt;=30),M13-30,IF(AND(L13&gt;=30,M13&gt;=40),40-L13,0))))</f>
        <v>0</v>
      </c>
      <c r="R13" s="40"/>
      <c r="S13" s="16"/>
      <c r="T13" s="32"/>
      <c r="U13" s="32"/>
      <c r="V13" s="32"/>
      <c r="W13" s="33">
        <f t="shared" ref="W13" si="29">IF(AND(U13&lt;=10,V13&lt;=10),V13-U13,MAX(0,10-U13))</f>
        <v>0</v>
      </c>
      <c r="X13" s="33">
        <f t="shared" ref="X13" si="30">IF(AND(U13&lt;=10,V13&gt;=20),10,IF(AND(U13&gt;=10,V13&lt;=20),V13-U13,IF(AND(U13&lt;=10,V13&lt;=20,V13&gt;=10),V13-10,IF(AND(U13&gt;=10,V13&gt;=20),MAX(0,20-U13),0))))</f>
        <v>0</v>
      </c>
      <c r="Y13" s="33">
        <f t="shared" ref="Y13" si="31">IF(AND(U13&lt;=20,V13&gt;=30),10,IF(AND(U13&gt;=20,V13&lt;=30),V13-U13,IF(AND(U13&lt;=20,V13&lt;=30,V13&gt;=20),V13-20,IF(AND(U13&gt;=20,V13&gt;=30),30-U13,0))))</f>
        <v>0</v>
      </c>
      <c r="Z13" s="33">
        <f t="shared" ref="Z13" si="32">IF(AND(U13&lt;=30,V13&gt;=40),10,IF(AND(U13&gt;=30,V13&lt;=40),V13-U13,IF(AND(U13&lt;=30,V13&lt;=40,V13&gt;=30),V13-30,IF(AND(U13&gt;=30,V13&gt;=40),40-U13,0))))</f>
        <v>0</v>
      </c>
      <c r="AA13" s="33"/>
      <c r="AB13" s="33">
        <f t="shared" ref="AB13" si="33">IF(T13&gt;0, 1, 0)</f>
        <v>0</v>
      </c>
      <c r="AC13" s="26"/>
      <c r="AD13" s="32"/>
      <c r="AE13" s="32"/>
      <c r="AF13" s="32"/>
      <c r="AG13" s="33">
        <f t="shared" ref="AG13" si="34">IF(AND(AE13&lt;=10,AF13&lt;=10),AF13-AE13,MAX(0,10-AE13))</f>
        <v>0</v>
      </c>
      <c r="AH13" s="33">
        <f t="shared" ref="AH13" si="35">IF(AND(AE13&lt;=10,AF13&gt;=20),10,IF(AND(AE13&gt;=10,AF13&lt;=20),AF13-AE13,IF(AND(AE13&lt;=10,AF13&lt;=20,AF13&gt;=10),AF13-10,IF(AND(AE13&gt;=10,AF13&gt;=20),MAX(0,20-AE13),0))))</f>
        <v>0</v>
      </c>
      <c r="AI13" s="33">
        <f t="shared" ref="AI13" si="36">IF(AND(AE13&lt;=20,AF13&gt;=30),10,IF(AND(AE13&gt;=20,AF13&lt;=30),AF13-AE13,IF(AND(AE13&lt;=20,AF13&lt;=30,AF13&gt;=20),AF13-20,IF(AND(AE13&gt;=20,AF13&gt;=30),30-AE13,0))))</f>
        <v>0</v>
      </c>
      <c r="AJ13" s="33">
        <f t="shared" ref="AJ13" si="37">IF(AND(AE13&lt;=30,AF13&gt;=40),10,IF(AND(AE13&gt;=30,AF13&lt;=40),AF13-AE13,IF(AND(AE13&lt;=30,AF13&lt;=40,AF13&gt;=30),AF13-30,IF(AND(AE13&gt;=30,AF13&gt;=40),40-AE13,0))))</f>
        <v>0</v>
      </c>
      <c r="AK13" s="33"/>
      <c r="AL13" s="33">
        <f t="shared" ref="AL13" si="38">IF(AD13&gt;0, 1, 0)</f>
        <v>0</v>
      </c>
      <c r="AM13" s="28"/>
      <c r="AN13" s="32"/>
      <c r="AO13" s="32"/>
      <c r="AP13" s="32"/>
      <c r="AQ13" s="33">
        <f t="shared" ref="AQ13" si="39">IF(AND(AO13&lt;=10,AP13&lt;=10),AP13-AO13,MAX(0,10-AO13))</f>
        <v>0</v>
      </c>
      <c r="AR13" s="33">
        <f t="shared" ref="AR13" si="40">IF(AND(AO13&lt;=10,AP13&gt;=20),10,IF(AND(AO13&gt;=10,AP13&lt;=20),AP13-AO13,IF(AND(AO13&lt;=10,AP13&lt;=20,AP13&gt;=10),AP13-10,IF(AND(AO13&gt;=10,AP13&gt;=20),MAX(0,20-AO13),0))))</f>
        <v>0</v>
      </c>
      <c r="AS13" s="33">
        <f t="shared" ref="AS13" si="41">IF(AND(AO13&lt;=20,AP13&gt;=30),10,IF(AND(AO13&gt;=20,AP13&lt;=30),AP13-AO13,IF(AND(AO13&lt;=20,AP13&lt;=30,AP13&gt;=20),AP13-20,IF(AND(AO13&gt;=20,AP13&gt;=30),30-AO13,0))))</f>
        <v>0</v>
      </c>
      <c r="AT13" s="33">
        <f t="shared" ref="AT13" si="42">IF(AND(AO13&lt;=30,AP13&gt;=40),10,IF(AND(AO13&gt;=30,AP13&lt;=40),AP13-AO13,IF(AND(AO13&lt;=30,AP13&lt;=40,AP13&gt;=30),AP13-30,IF(AND(AO13&gt;=30,AP13&gt;=40),40-AO13,0))))</f>
        <v>0</v>
      </c>
      <c r="AU13" s="33"/>
      <c r="AV13" s="33">
        <f t="shared" ref="AV13" si="43">IF(AN13&gt;0, 1, 0)</f>
        <v>0</v>
      </c>
      <c r="AW13" s="28"/>
      <c r="AX13" s="32"/>
      <c r="AY13" s="32"/>
      <c r="AZ13" s="32"/>
      <c r="BA13" s="33">
        <f t="shared" ref="BA13" si="44">IF(AND(AY13&lt;=10,AZ13&lt;=10),AZ13-AY13,MAX(0,10-AY13))</f>
        <v>0</v>
      </c>
      <c r="BB13" s="33">
        <f t="shared" ref="BB13" si="45">IF(AND(AY13&lt;=10,AZ13&gt;=20),10,IF(AND(AY13&gt;=10,AZ13&lt;=20),AZ13-AY13,IF(AND(AY13&lt;=10,AZ13&lt;=20,AZ13&gt;=10),AZ13-10,IF(AND(AY13&gt;=10,AZ13&gt;=20),MAX(0,20-AY13),0))))</f>
        <v>0</v>
      </c>
      <c r="BC13" s="33">
        <f t="shared" ref="BC13" si="46">IF(AND(AY13&lt;=20,AZ13&gt;=30),10,IF(AND(AY13&gt;=20,AZ13&lt;=30),AZ13-AY13,IF(AND(AY13&lt;=20,AZ13&lt;=30,AZ13&gt;=20),AZ13-20,IF(AND(AY13&gt;=20,AZ13&gt;=30),30-AY13,0))))</f>
        <v>0</v>
      </c>
      <c r="BD13" s="33">
        <f t="shared" ref="BD13" si="47">IF(AND(AY13&lt;=30,AZ13&gt;=40),10,IF(AND(AY13&gt;=30,AZ13&lt;=40),AZ13-AY13,IF(AND(AY13&lt;=30,AZ13&lt;=40,AZ13&gt;=30),AZ13-30,IF(AND(AY13&gt;=30,AZ13&gt;=40),40-AY13,0))))</f>
        <v>0</v>
      </c>
      <c r="BE13" s="33"/>
      <c r="BF13" s="33">
        <f t="shared" ref="BF13" si="48">IF(AX13&gt;0, 1, 0)</f>
        <v>0</v>
      </c>
      <c r="BG13" s="28"/>
      <c r="BH13" s="32"/>
      <c r="BI13" s="32"/>
      <c r="BJ13" s="32"/>
      <c r="BK13" s="28"/>
      <c r="BL13" s="32"/>
      <c r="BM13" s="32"/>
      <c r="BN13" s="32"/>
      <c r="BO13" s="28"/>
      <c r="BP13" s="28">
        <f t="shared" ref="BP13" si="49">IF(OR(BI13="YES",BL13="YES"), 1, 0)</f>
        <v>0</v>
      </c>
      <c r="BQ13" s="28"/>
      <c r="BR13" s="32"/>
      <c r="BS13" s="32"/>
      <c r="BT13" s="32"/>
      <c r="BU13" s="32"/>
      <c r="BV13" s="32"/>
      <c r="BW13" s="32"/>
      <c r="BX13" s="32"/>
    </row>
    <row r="14" spans="1:76" x14ac:dyDescent="0.35">
      <c r="A14" s="32"/>
      <c r="B14" s="32"/>
      <c r="C14" s="32"/>
      <c r="D14" s="32"/>
      <c r="E14" s="54" t="str">
        <f t="shared" ref="E14" si="50">IF(A14= "","",1)</f>
        <v/>
      </c>
      <c r="F14" s="119"/>
      <c r="G14" s="32"/>
      <c r="H14" s="32"/>
      <c r="I14" s="98">
        <f t="shared" ref="I14" si="51">IF(K14&gt;0, 1, 0)</f>
        <v>0</v>
      </c>
      <c r="J14" s="35"/>
      <c r="K14" s="32"/>
      <c r="L14" s="32"/>
      <c r="M14" s="32"/>
      <c r="N14" s="33">
        <f>IF(AND(L14&lt;=10,M14&lt;=10),M14-L14,MAX(0,10-L14))</f>
        <v>0</v>
      </c>
      <c r="O14" s="33">
        <f>IF(AND(L14&lt;=10,M14&gt;=20),10,IF(AND(L14&gt;=10,M14&lt;=20),M14-L14,IF(AND(L14&lt;=10,M14&lt;=20,M14&gt;=10),M14-10,IF(AND(L14&gt;=10,M14&gt;=20),MAX(0,20-L14),0))))</f>
        <v>0</v>
      </c>
      <c r="P14" s="33">
        <f>IF(AND(L14&lt;=20,M14&gt;=30),10,IF(AND(L14&gt;=20,M14&lt;=30),M14-L14,IF(AND(L14&lt;=20,M14&lt;=30,M14&gt;=20),M14-20,IF(AND(L14&gt;=20,M14&gt;=30),30-L14,0))))</f>
        <v>0</v>
      </c>
      <c r="Q14" s="33">
        <f>IF(AND(L14&lt;=30,M14&gt;=40),10,IF(AND(L14&gt;=30,M14&lt;=40),M14-L14,IF(AND(L14&lt;=30,M14&lt;=40,M14&gt;=30),M14-30,IF(AND(L14&gt;=30,M14&gt;=40),40-L14,0))))</f>
        <v>0</v>
      </c>
      <c r="R14" s="40"/>
      <c r="S14" s="16"/>
      <c r="T14" s="32"/>
      <c r="U14" s="32"/>
      <c r="V14" s="32"/>
      <c r="W14" s="33">
        <f t="shared" ref="W14" si="52">IF(AND(U14&lt;=10,V14&lt;=10),V14-U14,MAX(0,10-U14))</f>
        <v>0</v>
      </c>
      <c r="X14" s="33">
        <f t="shared" ref="X14" si="53">IF(AND(U14&lt;=10,V14&gt;=20),10,IF(AND(U14&gt;=10,V14&lt;=20),V14-U14,IF(AND(U14&lt;=10,V14&lt;=20,V14&gt;=10),V14-10,IF(AND(U14&gt;=10,V14&gt;=20),MAX(0,20-U14),0))))</f>
        <v>0</v>
      </c>
      <c r="Y14" s="33">
        <f t="shared" ref="Y14" si="54">IF(AND(U14&lt;=20,V14&gt;=30),10,IF(AND(U14&gt;=20,V14&lt;=30),V14-U14,IF(AND(U14&lt;=20,V14&lt;=30,V14&gt;=20),V14-20,IF(AND(U14&gt;=20,V14&gt;=30),30-U14,0))))</f>
        <v>0</v>
      </c>
      <c r="Z14" s="33">
        <f t="shared" ref="Z14" si="55">IF(AND(U14&lt;=30,V14&gt;=40),10,IF(AND(U14&gt;=30,V14&lt;=40),V14-U14,IF(AND(U14&lt;=30,V14&lt;=40,V14&gt;=30),V14-30,IF(AND(U14&gt;=30,V14&gt;=40),40-U14,0))))</f>
        <v>0</v>
      </c>
      <c r="AA14" s="33"/>
      <c r="AB14" s="33">
        <f t="shared" ref="AB14" si="56">IF(T14&gt;0, 1, 0)</f>
        <v>0</v>
      </c>
      <c r="AC14" s="26"/>
      <c r="AD14" s="32"/>
      <c r="AE14" s="32"/>
      <c r="AF14" s="32"/>
      <c r="AG14" s="33">
        <f t="shared" ref="AG14" si="57">IF(AND(AE14&lt;=10,AF14&lt;=10),AF14-AE14,MAX(0,10-AE14))</f>
        <v>0</v>
      </c>
      <c r="AH14" s="33">
        <f t="shared" ref="AH14" si="58">IF(AND(AE14&lt;=10,AF14&gt;=20),10,IF(AND(AE14&gt;=10,AF14&lt;=20),AF14-AE14,IF(AND(AE14&lt;=10,AF14&lt;=20,AF14&gt;=10),AF14-10,IF(AND(AE14&gt;=10,AF14&gt;=20),MAX(0,20-AE14),0))))</f>
        <v>0</v>
      </c>
      <c r="AI14" s="33">
        <f t="shared" ref="AI14" si="59">IF(AND(AE14&lt;=20,AF14&gt;=30),10,IF(AND(AE14&gt;=20,AF14&lt;=30),AF14-AE14,IF(AND(AE14&lt;=20,AF14&lt;=30,AF14&gt;=20),AF14-20,IF(AND(AE14&gt;=20,AF14&gt;=30),30-AE14,0))))</f>
        <v>0</v>
      </c>
      <c r="AJ14" s="33">
        <f t="shared" ref="AJ14" si="60">IF(AND(AE14&lt;=30,AF14&gt;=40),10,IF(AND(AE14&gt;=30,AF14&lt;=40),AF14-AE14,IF(AND(AE14&lt;=30,AF14&lt;=40,AF14&gt;=30),AF14-30,IF(AND(AE14&gt;=30,AF14&gt;=40),40-AE14,0))))</f>
        <v>0</v>
      </c>
      <c r="AK14" s="33"/>
      <c r="AL14" s="33">
        <f t="shared" ref="AL14" si="61">IF(AD14&gt;0, 1, 0)</f>
        <v>0</v>
      </c>
      <c r="AM14" s="28"/>
      <c r="AN14" s="32"/>
      <c r="AO14" s="32"/>
      <c r="AP14" s="32"/>
      <c r="AQ14" s="33">
        <f t="shared" ref="AQ14" si="62">IF(AND(AO14&lt;=10,AP14&lt;=10),AP14-AO14,MAX(0,10-AO14))</f>
        <v>0</v>
      </c>
      <c r="AR14" s="33">
        <f t="shared" ref="AR14" si="63">IF(AND(AO14&lt;=10,AP14&gt;=20),10,IF(AND(AO14&gt;=10,AP14&lt;=20),AP14-AO14,IF(AND(AO14&lt;=10,AP14&lt;=20,AP14&gt;=10),AP14-10,IF(AND(AO14&gt;=10,AP14&gt;=20),MAX(0,20-AO14),0))))</f>
        <v>0</v>
      </c>
      <c r="AS14" s="33">
        <f t="shared" ref="AS14" si="64">IF(AND(AO14&lt;=20,AP14&gt;=30),10,IF(AND(AO14&gt;=20,AP14&lt;=30),AP14-AO14,IF(AND(AO14&lt;=20,AP14&lt;=30,AP14&gt;=20),AP14-20,IF(AND(AO14&gt;=20,AP14&gt;=30),30-AO14,0))))</f>
        <v>0</v>
      </c>
      <c r="AT14" s="33">
        <f t="shared" ref="AT14" si="65">IF(AND(AO14&lt;=30,AP14&gt;=40),10,IF(AND(AO14&gt;=30,AP14&lt;=40),AP14-AO14,IF(AND(AO14&lt;=30,AP14&lt;=40,AP14&gt;=30),AP14-30,IF(AND(AO14&gt;=30,AP14&gt;=40),40-AO14,0))))</f>
        <v>0</v>
      </c>
      <c r="AU14" s="33"/>
      <c r="AV14" s="33">
        <f t="shared" ref="AV14" si="66">IF(AN14&gt;0, 1, 0)</f>
        <v>0</v>
      </c>
      <c r="AW14" s="28"/>
      <c r="AX14" s="32"/>
      <c r="AY14" s="32"/>
      <c r="AZ14" s="32"/>
      <c r="BA14" s="33">
        <f t="shared" ref="BA14" si="67">IF(AND(AY14&lt;=10,AZ14&lt;=10),AZ14-AY14,MAX(0,10-AY14))</f>
        <v>0</v>
      </c>
      <c r="BB14" s="33">
        <f t="shared" ref="BB14" si="68">IF(AND(AY14&lt;=10,AZ14&gt;=20),10,IF(AND(AY14&gt;=10,AZ14&lt;=20),AZ14-AY14,IF(AND(AY14&lt;=10,AZ14&lt;=20,AZ14&gt;=10),AZ14-10,IF(AND(AY14&gt;=10,AZ14&gt;=20),MAX(0,20-AY14),0))))</f>
        <v>0</v>
      </c>
      <c r="BC14" s="33">
        <f t="shared" ref="BC14" si="69">IF(AND(AY14&lt;=20,AZ14&gt;=30),10,IF(AND(AY14&gt;=20,AZ14&lt;=30),AZ14-AY14,IF(AND(AY14&lt;=20,AZ14&lt;=30,AZ14&gt;=20),AZ14-20,IF(AND(AY14&gt;=20,AZ14&gt;=30),30-AY14,0))))</f>
        <v>0</v>
      </c>
      <c r="BD14" s="33">
        <f t="shared" ref="BD14" si="70">IF(AND(AY14&lt;=30,AZ14&gt;=40),10,IF(AND(AY14&gt;=30,AZ14&lt;=40),AZ14-AY14,IF(AND(AY14&lt;=30,AZ14&lt;=40,AZ14&gt;=30),AZ14-30,IF(AND(AY14&gt;=30,AZ14&gt;=40),40-AY14,0))))</f>
        <v>0</v>
      </c>
      <c r="BE14" s="33"/>
      <c r="BF14" s="33">
        <f t="shared" ref="BF14" si="71">IF(AX14&gt;0, 1, 0)</f>
        <v>0</v>
      </c>
      <c r="BG14" s="28"/>
      <c r="BH14" s="32"/>
      <c r="BI14" s="32"/>
      <c r="BJ14" s="32"/>
      <c r="BK14" s="28"/>
      <c r="BL14" s="32"/>
      <c r="BM14" s="32"/>
      <c r="BN14" s="32"/>
      <c r="BO14" s="28"/>
      <c r="BP14" s="28">
        <f t="shared" ref="BP14" si="72">IF(OR(BI14="YES",BL14="YES"), 1, 0)</f>
        <v>0</v>
      </c>
      <c r="BQ14" s="28"/>
      <c r="BR14" s="32"/>
      <c r="BS14" s="32"/>
      <c r="BT14" s="32"/>
      <c r="BU14" s="32"/>
      <c r="BV14" s="32"/>
      <c r="BW14" s="32"/>
      <c r="BX14" s="32"/>
    </row>
    <row r="15" spans="1:76" x14ac:dyDescent="0.35">
      <c r="A15" s="32"/>
      <c r="B15" s="32"/>
      <c r="C15" s="32"/>
      <c r="D15" s="32"/>
      <c r="E15" s="54" t="str">
        <f t="shared" si="3"/>
        <v/>
      </c>
      <c r="F15" s="119"/>
      <c r="G15" s="32"/>
      <c r="H15" s="32"/>
      <c r="I15" s="98">
        <f t="shared" si="4"/>
        <v>0</v>
      </c>
      <c r="J15" s="35"/>
      <c r="K15" s="32"/>
      <c r="L15" s="32"/>
      <c r="M15" s="32"/>
      <c r="N15" s="33">
        <f t="shared" si="5"/>
        <v>0</v>
      </c>
      <c r="O15" s="33">
        <f t="shared" si="6"/>
        <v>0</v>
      </c>
      <c r="P15" s="33">
        <f t="shared" si="7"/>
        <v>0</v>
      </c>
      <c r="Q15" s="33">
        <f t="shared" si="8"/>
        <v>0</v>
      </c>
      <c r="R15" s="40"/>
      <c r="S15" s="16"/>
      <c r="T15" s="32"/>
      <c r="U15" s="32"/>
      <c r="V15" s="32"/>
      <c r="W15" s="33">
        <f t="shared" si="9"/>
        <v>0</v>
      </c>
      <c r="X15" s="33">
        <f t="shared" si="10"/>
        <v>0</v>
      </c>
      <c r="Y15" s="33">
        <f t="shared" si="11"/>
        <v>0</v>
      </c>
      <c r="Z15" s="33">
        <f t="shared" si="12"/>
        <v>0</v>
      </c>
      <c r="AA15" s="33"/>
      <c r="AB15" s="33">
        <f t="shared" si="13"/>
        <v>0</v>
      </c>
      <c r="AC15" s="26"/>
      <c r="AD15" s="32"/>
      <c r="AE15" s="32"/>
      <c r="AF15" s="32"/>
      <c r="AG15" s="33">
        <f t="shared" si="14"/>
        <v>0</v>
      </c>
      <c r="AH15" s="33">
        <f t="shared" si="15"/>
        <v>0</v>
      </c>
      <c r="AI15" s="33">
        <f t="shared" si="16"/>
        <v>0</v>
      </c>
      <c r="AJ15" s="33">
        <f t="shared" si="17"/>
        <v>0</v>
      </c>
      <c r="AK15" s="33"/>
      <c r="AL15" s="33">
        <f t="shared" si="0"/>
        <v>0</v>
      </c>
      <c r="AM15" s="28"/>
      <c r="AN15" s="32"/>
      <c r="AO15" s="32"/>
      <c r="AP15" s="32"/>
      <c r="AQ15" s="33">
        <f t="shared" si="18"/>
        <v>0</v>
      </c>
      <c r="AR15" s="33">
        <f t="shared" si="19"/>
        <v>0</v>
      </c>
      <c r="AS15" s="33">
        <f t="shared" si="20"/>
        <v>0</v>
      </c>
      <c r="AT15" s="33">
        <f t="shared" si="21"/>
        <v>0</v>
      </c>
      <c r="AU15" s="33"/>
      <c r="AV15" s="33">
        <f t="shared" si="1"/>
        <v>0</v>
      </c>
      <c r="AW15" s="28"/>
      <c r="AX15" s="32"/>
      <c r="AY15" s="32"/>
      <c r="AZ15" s="32"/>
      <c r="BA15" s="33">
        <f t="shared" si="22"/>
        <v>0</v>
      </c>
      <c r="BB15" s="33">
        <f t="shared" si="23"/>
        <v>0</v>
      </c>
      <c r="BC15" s="33">
        <f t="shared" si="24"/>
        <v>0</v>
      </c>
      <c r="BD15" s="33">
        <f t="shared" si="25"/>
        <v>0</v>
      </c>
      <c r="BE15" s="33"/>
      <c r="BF15" s="33">
        <f t="shared" si="2"/>
        <v>0</v>
      </c>
      <c r="BG15" s="28"/>
      <c r="BH15" s="32"/>
      <c r="BI15" s="32"/>
      <c r="BJ15" s="32"/>
      <c r="BK15" s="28"/>
      <c r="BL15" s="32"/>
      <c r="BM15" s="32"/>
      <c r="BN15" s="32"/>
      <c r="BO15" s="28"/>
      <c r="BP15" s="28">
        <f t="shared" si="26"/>
        <v>0</v>
      </c>
      <c r="BQ15" s="28"/>
      <c r="BR15" s="32"/>
      <c r="BS15" s="32"/>
      <c r="BT15" s="32"/>
      <c r="BU15" s="32"/>
      <c r="BV15" s="32"/>
      <c r="BW15" s="32"/>
      <c r="BX15" s="32"/>
    </row>
    <row r="16" spans="1:76" x14ac:dyDescent="0.35">
      <c r="A16" s="32"/>
      <c r="B16" s="32"/>
      <c r="C16" s="32"/>
      <c r="D16" s="32"/>
      <c r="E16" s="54" t="str">
        <f t="shared" ref="E16" si="73">IF(A16= "","",1)</f>
        <v/>
      </c>
      <c r="F16" s="119"/>
      <c r="G16" s="32"/>
      <c r="H16" s="32"/>
      <c r="I16" s="98">
        <f t="shared" ref="I16" si="74">IF(K16&gt;0, 1, 0)</f>
        <v>0</v>
      </c>
      <c r="J16" s="35"/>
      <c r="K16" s="32"/>
      <c r="L16" s="32"/>
      <c r="M16" s="32"/>
      <c r="N16" s="33">
        <f t="shared" ref="N16" si="75">IF(AND(L16&lt;=10,M16&lt;=10),M16-L16,MAX(0,10-L16))</f>
        <v>0</v>
      </c>
      <c r="O16" s="33">
        <f t="shared" ref="O16" si="76">IF(AND(L16&lt;=10,M16&gt;=20),10,IF(AND(L16&gt;=10,M16&lt;=20),M16-L16,IF(AND(L16&lt;=10,M16&lt;=20,M16&gt;=10),M16-10,IF(AND(L16&gt;=10,M16&gt;=20),MAX(0,20-L16),0))))</f>
        <v>0</v>
      </c>
      <c r="P16" s="33">
        <f t="shared" ref="P16" si="77">IF(AND(L16&lt;=20,M16&gt;=30),10,IF(AND(L16&gt;=20,M16&lt;=30),M16-L16,IF(AND(L16&lt;=20,M16&lt;=30,M16&gt;=20),M16-20,IF(AND(L16&gt;=20,M16&gt;=30),30-L16,0))))</f>
        <v>0</v>
      </c>
      <c r="Q16" s="33">
        <f t="shared" ref="Q16" si="78">IF(AND(L16&lt;=30,M16&gt;=40),10,IF(AND(L16&gt;=30,M16&lt;=40),M16-L16,IF(AND(L16&lt;=30,M16&lt;=40,M16&gt;=30),M16-30,IF(AND(L16&gt;=30,M16&gt;=40),40-L16,0))))</f>
        <v>0</v>
      </c>
      <c r="R16" s="40"/>
      <c r="S16" s="16"/>
      <c r="T16" s="32"/>
      <c r="U16" s="32"/>
      <c r="V16" s="32"/>
      <c r="W16" s="33">
        <f t="shared" ref="W16" si="79">IF(AND(U16&lt;=10,V16&lt;=10),V16-U16,MAX(0,10-U16))</f>
        <v>0</v>
      </c>
      <c r="X16" s="33">
        <f t="shared" ref="X16" si="80">IF(AND(U16&lt;=10,V16&gt;=20),10,IF(AND(U16&gt;=10,V16&lt;=20),V16-U16,IF(AND(U16&lt;=10,V16&lt;=20,V16&gt;=10),V16-10,IF(AND(U16&gt;=10,V16&gt;=20),MAX(0,20-U16),0))))</f>
        <v>0</v>
      </c>
      <c r="Y16" s="33">
        <f t="shared" ref="Y16" si="81">IF(AND(U16&lt;=20,V16&gt;=30),10,IF(AND(U16&gt;=20,V16&lt;=30),V16-U16,IF(AND(U16&lt;=20,V16&lt;=30,V16&gt;=20),V16-20,IF(AND(U16&gt;=20,V16&gt;=30),30-U16,0))))</f>
        <v>0</v>
      </c>
      <c r="Z16" s="33">
        <f t="shared" ref="Z16" si="82">IF(AND(U16&lt;=30,V16&gt;=40),10,IF(AND(U16&gt;=30,V16&lt;=40),V16-U16,IF(AND(U16&lt;=30,V16&lt;=40,V16&gt;=30),V16-30,IF(AND(U16&gt;=30,V16&gt;=40),40-U16,0))))</f>
        <v>0</v>
      </c>
      <c r="AA16" s="33"/>
      <c r="AB16" s="33">
        <f t="shared" ref="AB16" si="83">IF(T16&gt;0, 1, 0)</f>
        <v>0</v>
      </c>
      <c r="AC16" s="26"/>
      <c r="AD16" s="32"/>
      <c r="AE16" s="32"/>
      <c r="AF16" s="32"/>
      <c r="AG16" s="33">
        <f t="shared" ref="AG16" si="84">IF(AND(AE16&lt;=10,AF16&lt;=10),AF16-AE16,MAX(0,10-AE16))</f>
        <v>0</v>
      </c>
      <c r="AH16" s="33">
        <f t="shared" ref="AH16" si="85">IF(AND(AE16&lt;=10,AF16&gt;=20),10,IF(AND(AE16&gt;=10,AF16&lt;=20),AF16-AE16,IF(AND(AE16&lt;=10,AF16&lt;=20,AF16&gt;=10),AF16-10,IF(AND(AE16&gt;=10,AF16&gt;=20),MAX(0,20-AE16),0))))</f>
        <v>0</v>
      </c>
      <c r="AI16" s="33">
        <f t="shared" ref="AI16" si="86">IF(AND(AE16&lt;=20,AF16&gt;=30),10,IF(AND(AE16&gt;=20,AF16&lt;=30),AF16-AE16,IF(AND(AE16&lt;=20,AF16&lt;=30,AF16&gt;=20),AF16-20,IF(AND(AE16&gt;=20,AF16&gt;=30),30-AE16,0))))</f>
        <v>0</v>
      </c>
      <c r="AJ16" s="33">
        <f t="shared" ref="AJ16" si="87">IF(AND(AE16&lt;=30,AF16&gt;=40),10,IF(AND(AE16&gt;=30,AF16&lt;=40),AF16-AE16,IF(AND(AE16&lt;=30,AF16&lt;=40,AF16&gt;=30),AF16-30,IF(AND(AE16&gt;=30,AF16&gt;=40),40-AE16,0))))</f>
        <v>0</v>
      </c>
      <c r="AK16" s="33"/>
      <c r="AL16" s="33">
        <f t="shared" ref="AL16" si="88">IF(AD16&gt;0, 1, 0)</f>
        <v>0</v>
      </c>
      <c r="AM16" s="28"/>
      <c r="AN16" s="32"/>
      <c r="AO16" s="32"/>
      <c r="AP16" s="32"/>
      <c r="AQ16" s="33">
        <f t="shared" ref="AQ16" si="89">IF(AND(AO16&lt;=10,AP16&lt;=10),AP16-AO16,MAX(0,10-AO16))</f>
        <v>0</v>
      </c>
      <c r="AR16" s="33">
        <f t="shared" ref="AR16" si="90">IF(AND(AO16&lt;=10,AP16&gt;=20),10,IF(AND(AO16&gt;=10,AP16&lt;=20),AP16-AO16,IF(AND(AO16&lt;=10,AP16&lt;=20,AP16&gt;=10),AP16-10,IF(AND(AO16&gt;=10,AP16&gt;=20),MAX(0,20-AO16),0))))</f>
        <v>0</v>
      </c>
      <c r="AS16" s="33">
        <f t="shared" ref="AS16" si="91">IF(AND(AO16&lt;=20,AP16&gt;=30),10,IF(AND(AO16&gt;=20,AP16&lt;=30),AP16-AO16,IF(AND(AO16&lt;=20,AP16&lt;=30,AP16&gt;=20),AP16-20,IF(AND(AO16&gt;=20,AP16&gt;=30),30-AO16,0))))</f>
        <v>0</v>
      </c>
      <c r="AT16" s="33">
        <f t="shared" ref="AT16" si="92">IF(AND(AO16&lt;=30,AP16&gt;=40),10,IF(AND(AO16&gt;=30,AP16&lt;=40),AP16-AO16,IF(AND(AO16&lt;=30,AP16&lt;=40,AP16&gt;=30),AP16-30,IF(AND(AO16&gt;=30,AP16&gt;=40),40-AO16,0))))</f>
        <v>0</v>
      </c>
      <c r="AU16" s="33"/>
      <c r="AV16" s="33">
        <f t="shared" ref="AV16" si="93">IF(AN16&gt;0, 1, 0)</f>
        <v>0</v>
      </c>
      <c r="AW16" s="28"/>
      <c r="AX16" s="32"/>
      <c r="AY16" s="32"/>
      <c r="AZ16" s="32"/>
      <c r="BA16" s="33">
        <f t="shared" ref="BA16" si="94">IF(AND(AY16&lt;=10,AZ16&lt;=10),AZ16-AY16,MAX(0,10-AY16))</f>
        <v>0</v>
      </c>
      <c r="BB16" s="33">
        <f t="shared" ref="BB16" si="95">IF(AND(AY16&lt;=10,AZ16&gt;=20),10,IF(AND(AY16&gt;=10,AZ16&lt;=20),AZ16-AY16,IF(AND(AY16&lt;=10,AZ16&lt;=20,AZ16&gt;=10),AZ16-10,IF(AND(AY16&gt;=10,AZ16&gt;=20),MAX(0,20-AY16),0))))</f>
        <v>0</v>
      </c>
      <c r="BC16" s="33">
        <f t="shared" ref="BC16" si="96">IF(AND(AY16&lt;=20,AZ16&gt;=30),10,IF(AND(AY16&gt;=20,AZ16&lt;=30),AZ16-AY16,IF(AND(AY16&lt;=20,AZ16&lt;=30,AZ16&gt;=20),AZ16-20,IF(AND(AY16&gt;=20,AZ16&gt;=30),30-AY16,0))))</f>
        <v>0</v>
      </c>
      <c r="BD16" s="33">
        <f t="shared" ref="BD16" si="97">IF(AND(AY16&lt;=30,AZ16&gt;=40),10,IF(AND(AY16&gt;=30,AZ16&lt;=40),AZ16-AY16,IF(AND(AY16&lt;=30,AZ16&lt;=40,AZ16&gt;=30),AZ16-30,IF(AND(AY16&gt;=30,AZ16&gt;=40),40-AY16,0))))</f>
        <v>0</v>
      </c>
      <c r="BE16" s="33"/>
      <c r="BF16" s="33">
        <f t="shared" ref="BF16" si="98">IF(AX16&gt;0, 1, 0)</f>
        <v>0</v>
      </c>
      <c r="BG16" s="28"/>
      <c r="BH16" s="32"/>
      <c r="BI16" s="32"/>
      <c r="BJ16" s="32"/>
      <c r="BK16" s="28"/>
      <c r="BL16" s="32"/>
      <c r="BM16" s="32"/>
      <c r="BN16" s="32"/>
      <c r="BO16" s="28"/>
      <c r="BP16" s="28">
        <f t="shared" ref="BP16" si="99">IF(OR(BI16="YES",BL16="YES"), 1, 0)</f>
        <v>0</v>
      </c>
      <c r="BQ16" s="28"/>
      <c r="BR16" s="149"/>
      <c r="BS16" s="149"/>
      <c r="BT16" s="149"/>
      <c r="BU16" s="149"/>
      <c r="BV16" s="149"/>
      <c r="BW16" s="149"/>
      <c r="BX16" s="149"/>
    </row>
    <row r="17" spans="1:76" x14ac:dyDescent="0.35">
      <c r="A17" s="32"/>
      <c r="B17" s="32"/>
      <c r="C17" s="32"/>
      <c r="D17" s="32"/>
      <c r="E17" s="54" t="str">
        <f t="shared" si="3"/>
        <v/>
      </c>
      <c r="F17" s="119"/>
      <c r="G17" s="32"/>
      <c r="H17" s="32"/>
      <c r="I17" s="98">
        <f t="shared" si="4"/>
        <v>0</v>
      </c>
      <c r="J17" s="35"/>
      <c r="K17" s="32"/>
      <c r="L17" s="32"/>
      <c r="M17" s="32"/>
      <c r="N17" s="33">
        <f t="shared" si="5"/>
        <v>0</v>
      </c>
      <c r="O17" s="33">
        <f t="shared" si="6"/>
        <v>0</v>
      </c>
      <c r="P17" s="33">
        <f t="shared" si="7"/>
        <v>0</v>
      </c>
      <c r="Q17" s="33">
        <f t="shared" si="8"/>
        <v>0</v>
      </c>
      <c r="R17" s="40"/>
      <c r="S17" s="16"/>
      <c r="T17" s="32"/>
      <c r="U17" s="32"/>
      <c r="V17" s="32"/>
      <c r="W17" s="33">
        <f t="shared" si="9"/>
        <v>0</v>
      </c>
      <c r="X17" s="33">
        <f t="shared" si="10"/>
        <v>0</v>
      </c>
      <c r="Y17" s="33">
        <f t="shared" si="11"/>
        <v>0</v>
      </c>
      <c r="Z17" s="33">
        <f t="shared" si="12"/>
        <v>0</v>
      </c>
      <c r="AA17" s="33"/>
      <c r="AB17" s="33">
        <f t="shared" si="13"/>
        <v>0</v>
      </c>
      <c r="AC17" s="26"/>
      <c r="AD17" s="32"/>
      <c r="AE17" s="32"/>
      <c r="AF17" s="32"/>
      <c r="AG17" s="33">
        <f t="shared" si="14"/>
        <v>0</v>
      </c>
      <c r="AH17" s="33">
        <f t="shared" si="15"/>
        <v>0</v>
      </c>
      <c r="AI17" s="33">
        <f t="shared" si="16"/>
        <v>0</v>
      </c>
      <c r="AJ17" s="33">
        <f t="shared" si="17"/>
        <v>0</v>
      </c>
      <c r="AK17" s="33"/>
      <c r="AL17" s="33">
        <f t="shared" si="0"/>
        <v>0</v>
      </c>
      <c r="AM17" s="28"/>
      <c r="AN17" s="32"/>
      <c r="AO17" s="32"/>
      <c r="AP17" s="32"/>
      <c r="AQ17" s="33">
        <f t="shared" si="18"/>
        <v>0</v>
      </c>
      <c r="AR17" s="33">
        <f t="shared" si="19"/>
        <v>0</v>
      </c>
      <c r="AS17" s="33">
        <f t="shared" si="20"/>
        <v>0</v>
      </c>
      <c r="AT17" s="33">
        <f t="shared" si="21"/>
        <v>0</v>
      </c>
      <c r="AU17" s="33"/>
      <c r="AV17" s="33">
        <f t="shared" si="1"/>
        <v>0</v>
      </c>
      <c r="AW17" s="28"/>
      <c r="AX17" s="32"/>
      <c r="AY17" s="32"/>
      <c r="AZ17" s="32"/>
      <c r="BA17" s="33">
        <f t="shared" si="22"/>
        <v>0</v>
      </c>
      <c r="BB17" s="33">
        <f t="shared" si="23"/>
        <v>0</v>
      </c>
      <c r="BC17" s="33">
        <f t="shared" si="24"/>
        <v>0</v>
      </c>
      <c r="BD17" s="33">
        <f t="shared" si="25"/>
        <v>0</v>
      </c>
      <c r="BE17" s="33"/>
      <c r="BF17" s="33">
        <f t="shared" si="2"/>
        <v>0</v>
      </c>
      <c r="BG17" s="28"/>
      <c r="BH17" s="32"/>
      <c r="BI17" s="32"/>
      <c r="BJ17" s="32"/>
      <c r="BK17" s="28"/>
      <c r="BL17" s="32"/>
      <c r="BM17" s="32"/>
      <c r="BN17" s="32"/>
      <c r="BO17" s="28"/>
      <c r="BP17" s="28">
        <f t="shared" si="26"/>
        <v>0</v>
      </c>
      <c r="BQ17" s="28"/>
      <c r="BR17" s="32"/>
      <c r="BS17" s="32"/>
      <c r="BT17" s="32"/>
      <c r="BU17" s="32"/>
      <c r="BV17" s="32"/>
      <c r="BW17" s="32"/>
      <c r="BX17" s="32"/>
    </row>
    <row r="18" spans="1:76" x14ac:dyDescent="0.35">
      <c r="A18" s="32"/>
      <c r="B18" s="32"/>
      <c r="C18" s="32"/>
      <c r="D18" s="32"/>
      <c r="E18" s="54" t="str">
        <f t="shared" si="3"/>
        <v/>
      </c>
      <c r="F18" s="119"/>
      <c r="G18" s="32"/>
      <c r="H18" s="32"/>
      <c r="I18" s="98">
        <f t="shared" si="4"/>
        <v>0</v>
      </c>
      <c r="J18" s="35"/>
      <c r="K18" s="32"/>
      <c r="L18" s="32"/>
      <c r="M18" s="32"/>
      <c r="N18" s="33">
        <f t="shared" ref="N18:N26" si="100">IF(AND(L18&lt;=10,M18&lt;=10),M18-L18,MAX(0,10-L18))</f>
        <v>0</v>
      </c>
      <c r="O18" s="33">
        <f t="shared" ref="O18:O26" si="101">IF(AND(L18&lt;=10,M18&gt;=20),10,IF(AND(L18&gt;=10,M18&lt;=20),M18-L18,IF(AND(L18&lt;=10,M18&lt;=20,M18&gt;=10),M18-10,IF(AND(L18&gt;=10,M18&gt;=20),MAX(0,20-L18),0))))</f>
        <v>0</v>
      </c>
      <c r="P18" s="33">
        <f t="shared" ref="P18:P26" si="102">IF(AND(L18&lt;=20,M18&gt;=30),10,IF(AND(L18&gt;=20,M18&lt;=30),M18-L18,IF(AND(L18&lt;=20,M18&lt;=30,M18&gt;=20),M18-20,IF(AND(L18&gt;=20,M18&gt;=30),30-L18,0))))</f>
        <v>0</v>
      </c>
      <c r="Q18" s="33">
        <f t="shared" ref="Q18:Q26" si="103">IF(AND(L18&lt;=30,M18&gt;=40),10,IF(AND(L18&gt;=30,M18&lt;=40),M18-L18,IF(AND(L18&lt;=30,M18&lt;=40,M18&gt;=30),M18-30,IF(AND(L18&gt;=30,M18&gt;=40),40-L18,0))))</f>
        <v>0</v>
      </c>
      <c r="R18" s="40"/>
      <c r="S18" s="16"/>
      <c r="T18" s="32"/>
      <c r="U18" s="32"/>
      <c r="V18" s="32"/>
      <c r="W18" s="33">
        <f t="shared" ref="W18:W26" si="104">IF(AND(U18&lt;=10,V18&lt;=10),V18-U18,MAX(0,10-U18))</f>
        <v>0</v>
      </c>
      <c r="X18" s="33">
        <f t="shared" ref="X18:X26" si="105">IF(AND(U18&lt;=10,V18&gt;=20),10,IF(AND(U18&gt;=10,V18&lt;=20),V18-U18,IF(AND(U18&lt;=10,V18&lt;=20,V18&gt;=10),V18-10,IF(AND(U18&gt;=10,V18&gt;=20),MAX(0,20-U18),0))))</f>
        <v>0</v>
      </c>
      <c r="Y18" s="33">
        <f t="shared" ref="Y18:Y26" si="106">IF(AND(U18&lt;=20,V18&gt;=30),10,IF(AND(U18&gt;=20,V18&lt;=30),V18-U18,IF(AND(U18&lt;=20,V18&lt;=30,V18&gt;=20),V18-20,IF(AND(U18&gt;=20,V18&gt;=30),30-U18,0))))</f>
        <v>0</v>
      </c>
      <c r="Z18" s="33">
        <f t="shared" ref="Z18:Z26" si="107">IF(AND(U18&lt;=30,V18&gt;=40),10,IF(AND(U18&gt;=30,V18&lt;=40),V18-U18,IF(AND(U18&lt;=30,V18&lt;=40,V18&gt;=30),V18-30,IF(AND(U18&gt;=30,V18&gt;=40),40-U18,0))))</f>
        <v>0</v>
      </c>
      <c r="AA18" s="33"/>
      <c r="AB18" s="33">
        <f t="shared" si="13"/>
        <v>0</v>
      </c>
      <c r="AC18" s="26"/>
      <c r="AD18" s="32"/>
      <c r="AE18" s="32"/>
      <c r="AF18" s="32"/>
      <c r="AG18" s="33">
        <f t="shared" ref="AG18:AG26" si="108">IF(AND(AE18&lt;=10,AF18&lt;=10),AF18-AE18,MAX(0,10-AE18))</f>
        <v>0</v>
      </c>
      <c r="AH18" s="33">
        <f t="shared" ref="AH18:AH26" si="109">IF(AND(AE18&lt;=10,AF18&gt;=20),10,IF(AND(AE18&gt;=10,AF18&lt;=20),AF18-AE18,IF(AND(AE18&lt;=10,AF18&lt;=20,AF18&gt;=10),AF18-10,IF(AND(AE18&gt;=10,AF18&gt;=20),MAX(0,20-AE18),0))))</f>
        <v>0</v>
      </c>
      <c r="AI18" s="33">
        <f t="shared" ref="AI18:AI26" si="110">IF(AND(AE18&lt;=20,AF18&gt;=30),10,IF(AND(AE18&gt;=20,AF18&lt;=30),AF18-AE18,IF(AND(AE18&lt;=20,AF18&lt;=30,AF18&gt;=20),AF18-20,IF(AND(AE18&gt;=20,AF18&gt;=30),30-AE18,0))))</f>
        <v>0</v>
      </c>
      <c r="AJ18" s="33">
        <f t="shared" ref="AJ18:AJ26" si="111">IF(AND(AE18&lt;=30,AF18&gt;=40),10,IF(AND(AE18&gt;=30,AF18&lt;=40),AF18-AE18,IF(AND(AE18&lt;=30,AF18&lt;=40,AF18&gt;=30),AF18-30,IF(AND(AE18&gt;=30,AF18&gt;=40),40-AE18,0))))</f>
        <v>0</v>
      </c>
      <c r="AK18" s="33"/>
      <c r="AL18" s="33">
        <f t="shared" si="0"/>
        <v>0</v>
      </c>
      <c r="AM18" s="28"/>
      <c r="AN18" s="32"/>
      <c r="AO18" s="32"/>
      <c r="AP18" s="32"/>
      <c r="AQ18" s="33">
        <f t="shared" si="18"/>
        <v>0</v>
      </c>
      <c r="AR18" s="33">
        <f t="shared" si="19"/>
        <v>0</v>
      </c>
      <c r="AS18" s="33">
        <f t="shared" si="20"/>
        <v>0</v>
      </c>
      <c r="AT18" s="33">
        <f t="shared" si="21"/>
        <v>0</v>
      </c>
      <c r="AU18" s="33"/>
      <c r="AV18" s="33">
        <f t="shared" si="1"/>
        <v>0</v>
      </c>
      <c r="AW18" s="28"/>
      <c r="AX18" s="32"/>
      <c r="AY18" s="32"/>
      <c r="AZ18" s="32"/>
      <c r="BA18" s="33">
        <f t="shared" si="22"/>
        <v>0</v>
      </c>
      <c r="BB18" s="33">
        <f t="shared" si="23"/>
        <v>0</v>
      </c>
      <c r="BC18" s="33">
        <f t="shared" si="24"/>
        <v>0</v>
      </c>
      <c r="BD18" s="33">
        <f t="shared" si="25"/>
        <v>0</v>
      </c>
      <c r="BE18" s="33"/>
      <c r="BF18" s="33">
        <f t="shared" si="2"/>
        <v>0</v>
      </c>
      <c r="BG18" s="28"/>
      <c r="BH18" s="32"/>
      <c r="BI18" s="32"/>
      <c r="BJ18" s="32"/>
      <c r="BK18" s="28"/>
      <c r="BL18" s="32"/>
      <c r="BM18" s="32"/>
      <c r="BN18" s="32"/>
      <c r="BO18" s="28"/>
      <c r="BP18" s="28">
        <f t="shared" si="26"/>
        <v>0</v>
      </c>
      <c r="BQ18" s="28"/>
      <c r="BR18" s="32"/>
      <c r="BS18" s="32"/>
      <c r="BT18" s="32"/>
      <c r="BU18" s="32"/>
      <c r="BV18" s="32"/>
      <c r="BW18" s="32"/>
      <c r="BX18" s="32"/>
    </row>
    <row r="19" spans="1:76" x14ac:dyDescent="0.35">
      <c r="A19" s="32"/>
      <c r="B19" s="32"/>
      <c r="C19" s="32"/>
      <c r="D19" s="32"/>
      <c r="E19" s="54" t="str">
        <f t="shared" si="3"/>
        <v/>
      </c>
      <c r="F19" s="119"/>
      <c r="G19" s="32"/>
      <c r="H19" s="32"/>
      <c r="I19" s="98">
        <f t="shared" si="4"/>
        <v>0</v>
      </c>
      <c r="J19" s="35"/>
      <c r="K19" s="32"/>
      <c r="L19" s="32"/>
      <c r="M19" s="32"/>
      <c r="N19" s="33">
        <f t="shared" si="100"/>
        <v>0</v>
      </c>
      <c r="O19" s="33">
        <f t="shared" si="101"/>
        <v>0</v>
      </c>
      <c r="P19" s="33">
        <f t="shared" si="102"/>
        <v>0</v>
      </c>
      <c r="Q19" s="33">
        <f t="shared" si="103"/>
        <v>0</v>
      </c>
      <c r="R19" s="40"/>
      <c r="S19" s="16"/>
      <c r="T19" s="32"/>
      <c r="U19" s="32"/>
      <c r="V19" s="32"/>
      <c r="W19" s="33">
        <f t="shared" si="104"/>
        <v>0</v>
      </c>
      <c r="X19" s="33">
        <f t="shared" si="105"/>
        <v>0</v>
      </c>
      <c r="Y19" s="33">
        <f t="shared" si="106"/>
        <v>0</v>
      </c>
      <c r="Z19" s="33">
        <f t="shared" si="107"/>
        <v>0</v>
      </c>
      <c r="AA19" s="33"/>
      <c r="AB19" s="33">
        <f t="shared" si="13"/>
        <v>0</v>
      </c>
      <c r="AC19" s="26"/>
      <c r="AD19" s="32"/>
      <c r="AE19" s="32"/>
      <c r="AF19" s="32"/>
      <c r="AG19" s="33">
        <f t="shared" si="108"/>
        <v>0</v>
      </c>
      <c r="AH19" s="33">
        <f t="shared" si="109"/>
        <v>0</v>
      </c>
      <c r="AI19" s="33">
        <f t="shared" si="110"/>
        <v>0</v>
      </c>
      <c r="AJ19" s="33">
        <f t="shared" si="111"/>
        <v>0</v>
      </c>
      <c r="AK19" s="33"/>
      <c r="AL19" s="33">
        <f t="shared" si="0"/>
        <v>0</v>
      </c>
      <c r="AM19" s="28"/>
      <c r="AN19" s="32"/>
      <c r="AO19" s="32"/>
      <c r="AP19" s="32"/>
      <c r="AQ19" s="33">
        <f t="shared" ref="AQ19:AQ26" si="112">IF(AND(AO19&lt;=10,AP19&lt;=10),AP19-AO19,MAX(0,10-AO19))</f>
        <v>0</v>
      </c>
      <c r="AR19" s="33">
        <f t="shared" ref="AR19:AR26" si="113">IF(AND(AO19&lt;=10,AP19&gt;=20),10,IF(AND(AO19&gt;=10,AP19&lt;=20),AP19-AO19,IF(AND(AO19&lt;=10,AP19&lt;=20,AP19&gt;=10),AP19-10,IF(AND(AO19&gt;=10,AP19&gt;=20),MAX(0,20-AO19),0))))</f>
        <v>0</v>
      </c>
      <c r="AS19" s="33">
        <f t="shared" ref="AS19:AS26" si="114">IF(AND(AO19&lt;=20,AP19&gt;=30),10,IF(AND(AO19&gt;=20,AP19&lt;=30),AP19-AO19,IF(AND(AO19&lt;=20,AP19&lt;=30,AP19&gt;=20),AP19-20,IF(AND(AO19&gt;=20,AP19&gt;=30),30-AO19,0))))</f>
        <v>0</v>
      </c>
      <c r="AT19" s="33">
        <f t="shared" ref="AT19:AT26" si="115">IF(AND(AO19&lt;=30,AP19&gt;=40),10,IF(AND(AO19&gt;=30,AP19&lt;=40),AP19-AO19,IF(AND(AO19&lt;=30,AP19&lt;=40,AP19&gt;=30),AP19-30,IF(AND(AO19&gt;=30,AP19&gt;=40),40-AO19,0))))</f>
        <v>0</v>
      </c>
      <c r="AU19" s="33"/>
      <c r="AV19" s="33">
        <f t="shared" si="1"/>
        <v>0</v>
      </c>
      <c r="AW19" s="28"/>
      <c r="AX19" s="32"/>
      <c r="AY19" s="32"/>
      <c r="AZ19" s="32"/>
      <c r="BA19" s="33">
        <f t="shared" ref="BA19:BA26" si="116">IF(AND(AY19&lt;=10,AZ19&lt;=10),AZ19-AY19,MAX(0,10-AY19))</f>
        <v>0</v>
      </c>
      <c r="BB19" s="33">
        <f t="shared" ref="BB19:BB26" si="117">IF(AND(AY19&lt;=10,AZ19&gt;=20),10,IF(AND(AY19&gt;=10,AZ19&lt;=20),AZ19-AY19,IF(AND(AY19&lt;=10,AZ19&lt;=20,AZ19&gt;=10),AZ19-10,IF(AND(AY19&gt;=10,AZ19&gt;=20),MAX(0,20-AY19),0))))</f>
        <v>0</v>
      </c>
      <c r="BC19" s="33">
        <f t="shared" ref="BC19:BC26" si="118">IF(AND(AY19&lt;=20,AZ19&gt;=30),10,IF(AND(AY19&gt;=20,AZ19&lt;=30),AZ19-AY19,IF(AND(AY19&lt;=20,AZ19&lt;=30,AZ19&gt;=20),AZ19-20,IF(AND(AY19&gt;=20,AZ19&gt;=30),30-AY19,0))))</f>
        <v>0</v>
      </c>
      <c r="BD19" s="33">
        <f t="shared" ref="BD19:BD26" si="119">IF(AND(AY19&lt;=30,AZ19&gt;=40),10,IF(AND(AY19&gt;=30,AZ19&lt;=40),AZ19-AY19,IF(AND(AY19&lt;=30,AZ19&lt;=40,AZ19&gt;=30),AZ19-30,IF(AND(AY19&gt;=30,AZ19&gt;=40),40-AY19,0))))</f>
        <v>0</v>
      </c>
      <c r="BE19" s="33"/>
      <c r="BF19" s="33">
        <f t="shared" si="2"/>
        <v>0</v>
      </c>
      <c r="BG19" s="28"/>
      <c r="BH19" s="32"/>
      <c r="BI19" s="32"/>
      <c r="BJ19" s="32"/>
      <c r="BK19" s="28"/>
      <c r="BL19" s="32"/>
      <c r="BM19" s="32"/>
      <c r="BN19" s="32"/>
      <c r="BO19" s="28"/>
      <c r="BP19" s="28">
        <f t="shared" si="26"/>
        <v>0</v>
      </c>
      <c r="BQ19" s="28"/>
      <c r="BR19" s="149"/>
      <c r="BS19" s="149"/>
      <c r="BT19" s="149"/>
      <c r="BU19" s="149"/>
      <c r="BV19" s="149"/>
      <c r="BW19" s="149"/>
      <c r="BX19" s="149"/>
    </row>
    <row r="20" spans="1:76" x14ac:dyDescent="0.35">
      <c r="A20" s="32"/>
      <c r="B20" s="32"/>
      <c r="C20" s="32"/>
      <c r="D20" s="32"/>
      <c r="E20" s="54" t="str">
        <f t="shared" si="3"/>
        <v/>
      </c>
      <c r="F20" s="119"/>
      <c r="G20" s="32"/>
      <c r="H20" s="32"/>
      <c r="I20" s="98">
        <f t="shared" si="4"/>
        <v>0</v>
      </c>
      <c r="J20" s="35"/>
      <c r="K20" s="32"/>
      <c r="L20" s="32"/>
      <c r="M20" s="32"/>
      <c r="N20" s="33">
        <f t="shared" si="100"/>
        <v>0</v>
      </c>
      <c r="O20" s="33">
        <f t="shared" si="101"/>
        <v>0</v>
      </c>
      <c r="P20" s="33">
        <f t="shared" si="102"/>
        <v>0</v>
      </c>
      <c r="Q20" s="33">
        <f t="shared" si="103"/>
        <v>0</v>
      </c>
      <c r="R20" s="40"/>
      <c r="S20" s="16"/>
      <c r="T20" s="32"/>
      <c r="U20" s="32"/>
      <c r="V20" s="32"/>
      <c r="W20" s="33">
        <f t="shared" si="104"/>
        <v>0</v>
      </c>
      <c r="X20" s="33">
        <f t="shared" si="105"/>
        <v>0</v>
      </c>
      <c r="Y20" s="33">
        <f t="shared" si="106"/>
        <v>0</v>
      </c>
      <c r="Z20" s="33">
        <f t="shared" si="107"/>
        <v>0</v>
      </c>
      <c r="AA20" s="33"/>
      <c r="AB20" s="33">
        <f t="shared" si="13"/>
        <v>0</v>
      </c>
      <c r="AC20" s="26"/>
      <c r="AD20" s="32"/>
      <c r="AE20" s="32"/>
      <c r="AF20" s="32"/>
      <c r="AG20" s="33">
        <f t="shared" si="108"/>
        <v>0</v>
      </c>
      <c r="AH20" s="33">
        <f t="shared" si="109"/>
        <v>0</v>
      </c>
      <c r="AI20" s="33">
        <f t="shared" si="110"/>
        <v>0</v>
      </c>
      <c r="AJ20" s="33">
        <f t="shared" si="111"/>
        <v>0</v>
      </c>
      <c r="AK20" s="33"/>
      <c r="AL20" s="33">
        <f t="shared" si="0"/>
        <v>0</v>
      </c>
      <c r="AM20" s="28"/>
      <c r="AN20" s="32"/>
      <c r="AO20" s="32"/>
      <c r="AP20" s="32"/>
      <c r="AQ20" s="33">
        <f t="shared" si="112"/>
        <v>0</v>
      </c>
      <c r="AR20" s="33">
        <f t="shared" si="113"/>
        <v>0</v>
      </c>
      <c r="AS20" s="33">
        <f t="shared" si="114"/>
        <v>0</v>
      </c>
      <c r="AT20" s="33">
        <f t="shared" si="115"/>
        <v>0</v>
      </c>
      <c r="AU20" s="33"/>
      <c r="AV20" s="33">
        <f t="shared" si="1"/>
        <v>0</v>
      </c>
      <c r="AW20" s="28"/>
      <c r="AX20" s="32"/>
      <c r="AY20" s="32"/>
      <c r="AZ20" s="32"/>
      <c r="BA20" s="33">
        <f t="shared" si="116"/>
        <v>0</v>
      </c>
      <c r="BB20" s="33">
        <f t="shared" si="117"/>
        <v>0</v>
      </c>
      <c r="BC20" s="33">
        <f t="shared" si="118"/>
        <v>0</v>
      </c>
      <c r="BD20" s="33">
        <f t="shared" si="119"/>
        <v>0</v>
      </c>
      <c r="BE20" s="33"/>
      <c r="BF20" s="33">
        <f t="shared" si="2"/>
        <v>0</v>
      </c>
      <c r="BG20" s="28"/>
      <c r="BH20" s="32"/>
      <c r="BI20" s="32"/>
      <c r="BJ20" s="32"/>
      <c r="BK20" s="28"/>
      <c r="BL20" s="32"/>
      <c r="BM20" s="32"/>
      <c r="BN20" s="32"/>
      <c r="BO20" s="28"/>
      <c r="BP20" s="28">
        <f t="shared" si="26"/>
        <v>0</v>
      </c>
      <c r="BQ20" s="28"/>
      <c r="BR20" s="149"/>
      <c r="BS20" s="149"/>
      <c r="BT20" s="149"/>
      <c r="BU20" s="149"/>
      <c r="BV20" s="149"/>
      <c r="BW20" s="149"/>
      <c r="BX20" s="149"/>
    </row>
    <row r="21" spans="1:76" x14ac:dyDescent="0.35">
      <c r="A21" s="32"/>
      <c r="B21" s="32"/>
      <c r="C21" s="32"/>
      <c r="D21" s="32"/>
      <c r="E21" s="54" t="str">
        <f t="shared" si="3"/>
        <v/>
      </c>
      <c r="F21" s="119"/>
      <c r="G21" s="32"/>
      <c r="H21" s="32"/>
      <c r="I21" s="98">
        <f t="shared" si="4"/>
        <v>0</v>
      </c>
      <c r="J21" s="35"/>
      <c r="K21" s="32"/>
      <c r="L21" s="32"/>
      <c r="M21" s="32"/>
      <c r="N21" s="33">
        <f t="shared" si="100"/>
        <v>0</v>
      </c>
      <c r="O21" s="33">
        <f t="shared" si="101"/>
        <v>0</v>
      </c>
      <c r="P21" s="33">
        <f t="shared" si="102"/>
        <v>0</v>
      </c>
      <c r="Q21" s="33">
        <f t="shared" si="103"/>
        <v>0</v>
      </c>
      <c r="R21" s="40"/>
      <c r="S21" s="16"/>
      <c r="T21" s="32"/>
      <c r="U21" s="32"/>
      <c r="V21" s="32"/>
      <c r="W21" s="33">
        <f t="shared" si="104"/>
        <v>0</v>
      </c>
      <c r="X21" s="33">
        <f t="shared" si="105"/>
        <v>0</v>
      </c>
      <c r="Y21" s="33">
        <f t="shared" si="106"/>
        <v>0</v>
      </c>
      <c r="Z21" s="33">
        <f t="shared" si="107"/>
        <v>0</v>
      </c>
      <c r="AA21" s="33"/>
      <c r="AB21" s="33">
        <f t="shared" si="13"/>
        <v>0</v>
      </c>
      <c r="AC21" s="26"/>
      <c r="AD21" s="32"/>
      <c r="AE21" s="32"/>
      <c r="AF21" s="32"/>
      <c r="AG21" s="33">
        <f t="shared" si="108"/>
        <v>0</v>
      </c>
      <c r="AH21" s="33">
        <f t="shared" si="109"/>
        <v>0</v>
      </c>
      <c r="AI21" s="33">
        <f t="shared" si="110"/>
        <v>0</v>
      </c>
      <c r="AJ21" s="33">
        <f t="shared" si="111"/>
        <v>0</v>
      </c>
      <c r="AK21" s="33"/>
      <c r="AL21" s="33">
        <f t="shared" si="0"/>
        <v>0</v>
      </c>
      <c r="AM21" s="28"/>
      <c r="AN21" s="32"/>
      <c r="AO21" s="32"/>
      <c r="AP21" s="32"/>
      <c r="AQ21" s="33">
        <f t="shared" si="112"/>
        <v>0</v>
      </c>
      <c r="AR21" s="33">
        <f t="shared" si="113"/>
        <v>0</v>
      </c>
      <c r="AS21" s="33">
        <f t="shared" si="114"/>
        <v>0</v>
      </c>
      <c r="AT21" s="33">
        <f t="shared" si="115"/>
        <v>0</v>
      </c>
      <c r="AU21" s="33"/>
      <c r="AV21" s="33">
        <f t="shared" si="1"/>
        <v>0</v>
      </c>
      <c r="AW21" s="28"/>
      <c r="AX21" s="32"/>
      <c r="AY21" s="32"/>
      <c r="AZ21" s="32"/>
      <c r="BA21" s="33">
        <f t="shared" si="116"/>
        <v>0</v>
      </c>
      <c r="BB21" s="33">
        <f t="shared" si="117"/>
        <v>0</v>
      </c>
      <c r="BC21" s="33">
        <f t="shared" si="118"/>
        <v>0</v>
      </c>
      <c r="BD21" s="33">
        <f t="shared" si="119"/>
        <v>0</v>
      </c>
      <c r="BE21" s="33"/>
      <c r="BF21" s="33">
        <f t="shared" si="2"/>
        <v>0</v>
      </c>
      <c r="BG21" s="28"/>
      <c r="BH21" s="32"/>
      <c r="BI21" s="32"/>
      <c r="BJ21" s="32"/>
      <c r="BK21" s="28"/>
      <c r="BL21" s="32"/>
      <c r="BM21" s="32"/>
      <c r="BN21" s="32"/>
      <c r="BO21" s="28"/>
      <c r="BP21" s="28">
        <f t="shared" si="26"/>
        <v>0</v>
      </c>
      <c r="BQ21" s="28"/>
      <c r="BR21" s="32"/>
      <c r="BS21" s="32"/>
      <c r="BT21" s="32"/>
      <c r="BU21" s="32"/>
      <c r="BV21" s="32"/>
      <c r="BW21" s="32"/>
      <c r="BX21" s="32"/>
    </row>
    <row r="22" spans="1:76" x14ac:dyDescent="0.35">
      <c r="A22" s="32"/>
      <c r="B22" s="32"/>
      <c r="C22" s="32"/>
      <c r="D22" s="32"/>
      <c r="E22" s="54" t="str">
        <f t="shared" si="3"/>
        <v/>
      </c>
      <c r="F22" s="119"/>
      <c r="G22" s="32"/>
      <c r="H22" s="32"/>
      <c r="I22" s="98">
        <f t="shared" si="4"/>
        <v>0</v>
      </c>
      <c r="J22" s="35"/>
      <c r="K22" s="32"/>
      <c r="L22" s="32"/>
      <c r="M22" s="32"/>
      <c r="N22" s="33">
        <f t="shared" si="100"/>
        <v>0</v>
      </c>
      <c r="O22" s="33">
        <f t="shared" si="101"/>
        <v>0</v>
      </c>
      <c r="P22" s="33">
        <f t="shared" si="102"/>
        <v>0</v>
      </c>
      <c r="Q22" s="33">
        <f t="shared" si="103"/>
        <v>0</v>
      </c>
      <c r="R22" s="40"/>
      <c r="S22" s="16"/>
      <c r="T22" s="32"/>
      <c r="U22" s="32"/>
      <c r="V22" s="32"/>
      <c r="W22" s="33">
        <f t="shared" si="104"/>
        <v>0</v>
      </c>
      <c r="X22" s="33">
        <f t="shared" si="105"/>
        <v>0</v>
      </c>
      <c r="Y22" s="33">
        <f t="shared" si="106"/>
        <v>0</v>
      </c>
      <c r="Z22" s="33">
        <f t="shared" si="107"/>
        <v>0</v>
      </c>
      <c r="AA22" s="33"/>
      <c r="AB22" s="33">
        <f t="shared" si="13"/>
        <v>0</v>
      </c>
      <c r="AC22" s="26"/>
      <c r="AD22" s="32"/>
      <c r="AE22" s="32"/>
      <c r="AF22" s="32"/>
      <c r="AG22" s="33">
        <f t="shared" si="108"/>
        <v>0</v>
      </c>
      <c r="AH22" s="33">
        <f t="shared" si="109"/>
        <v>0</v>
      </c>
      <c r="AI22" s="33">
        <f t="shared" si="110"/>
        <v>0</v>
      </c>
      <c r="AJ22" s="33">
        <f t="shared" si="111"/>
        <v>0</v>
      </c>
      <c r="AK22" s="33"/>
      <c r="AL22" s="33">
        <f t="shared" si="0"/>
        <v>0</v>
      </c>
      <c r="AM22" s="28"/>
      <c r="AN22" s="32"/>
      <c r="AO22" s="32"/>
      <c r="AP22" s="32"/>
      <c r="AQ22" s="33">
        <f t="shared" si="112"/>
        <v>0</v>
      </c>
      <c r="AR22" s="33">
        <f t="shared" si="113"/>
        <v>0</v>
      </c>
      <c r="AS22" s="33">
        <f t="shared" si="114"/>
        <v>0</v>
      </c>
      <c r="AT22" s="33">
        <f t="shared" si="115"/>
        <v>0</v>
      </c>
      <c r="AU22" s="33"/>
      <c r="AV22" s="33">
        <f t="shared" si="1"/>
        <v>0</v>
      </c>
      <c r="AW22" s="28"/>
      <c r="AX22" s="32"/>
      <c r="AY22" s="32"/>
      <c r="AZ22" s="32"/>
      <c r="BA22" s="33">
        <f t="shared" si="116"/>
        <v>0</v>
      </c>
      <c r="BB22" s="33">
        <f t="shared" si="117"/>
        <v>0</v>
      </c>
      <c r="BC22" s="33">
        <f t="shared" si="118"/>
        <v>0</v>
      </c>
      <c r="BD22" s="33">
        <f t="shared" si="119"/>
        <v>0</v>
      </c>
      <c r="BE22" s="33"/>
      <c r="BF22" s="33">
        <f t="shared" si="2"/>
        <v>0</v>
      </c>
      <c r="BG22" s="28"/>
      <c r="BH22" s="32"/>
      <c r="BI22" s="32"/>
      <c r="BJ22" s="32"/>
      <c r="BK22" s="28"/>
      <c r="BL22" s="32"/>
      <c r="BM22" s="32"/>
      <c r="BN22" s="32"/>
      <c r="BO22" s="28"/>
      <c r="BP22" s="28">
        <f t="shared" si="26"/>
        <v>0</v>
      </c>
      <c r="BQ22" s="28"/>
      <c r="BR22" s="149"/>
      <c r="BS22" s="149"/>
      <c r="BT22" s="149"/>
      <c r="BU22" s="149"/>
      <c r="BV22" s="149"/>
      <c r="BW22" s="149"/>
      <c r="BX22" s="149"/>
    </row>
    <row r="23" spans="1:76" x14ac:dyDescent="0.35">
      <c r="A23" s="32"/>
      <c r="B23" s="32"/>
      <c r="C23" s="32"/>
      <c r="D23" s="32"/>
      <c r="E23" s="54" t="str">
        <f t="shared" si="3"/>
        <v/>
      </c>
      <c r="F23" s="119"/>
      <c r="G23" s="32"/>
      <c r="H23" s="32"/>
      <c r="I23" s="98">
        <f t="shared" si="4"/>
        <v>0</v>
      </c>
      <c r="J23" s="35"/>
      <c r="K23" s="32"/>
      <c r="L23" s="32"/>
      <c r="M23" s="32"/>
      <c r="N23" s="33">
        <f t="shared" si="100"/>
        <v>0</v>
      </c>
      <c r="O23" s="33">
        <f t="shared" si="101"/>
        <v>0</v>
      </c>
      <c r="P23" s="33">
        <f t="shared" si="102"/>
        <v>0</v>
      </c>
      <c r="Q23" s="33">
        <f t="shared" si="103"/>
        <v>0</v>
      </c>
      <c r="R23" s="40"/>
      <c r="S23" s="16"/>
      <c r="T23" s="32"/>
      <c r="U23" s="32"/>
      <c r="V23" s="32"/>
      <c r="W23" s="33">
        <f t="shared" si="104"/>
        <v>0</v>
      </c>
      <c r="X23" s="33">
        <f t="shared" si="105"/>
        <v>0</v>
      </c>
      <c r="Y23" s="33">
        <f t="shared" si="106"/>
        <v>0</v>
      </c>
      <c r="Z23" s="33">
        <f t="shared" si="107"/>
        <v>0</v>
      </c>
      <c r="AA23" s="33"/>
      <c r="AB23" s="33">
        <f t="shared" si="13"/>
        <v>0</v>
      </c>
      <c r="AC23" s="26"/>
      <c r="AD23" s="32"/>
      <c r="AE23" s="32"/>
      <c r="AF23" s="32"/>
      <c r="AG23" s="33">
        <f t="shared" si="108"/>
        <v>0</v>
      </c>
      <c r="AH23" s="33">
        <f t="shared" si="109"/>
        <v>0</v>
      </c>
      <c r="AI23" s="33">
        <f t="shared" si="110"/>
        <v>0</v>
      </c>
      <c r="AJ23" s="33">
        <f t="shared" si="111"/>
        <v>0</v>
      </c>
      <c r="AK23" s="33"/>
      <c r="AL23" s="33">
        <f t="shared" si="0"/>
        <v>0</v>
      </c>
      <c r="AM23" s="28"/>
      <c r="AN23" s="32"/>
      <c r="AO23" s="32"/>
      <c r="AP23" s="32"/>
      <c r="AQ23" s="33">
        <f t="shared" si="112"/>
        <v>0</v>
      </c>
      <c r="AR23" s="33">
        <f t="shared" si="113"/>
        <v>0</v>
      </c>
      <c r="AS23" s="33">
        <f t="shared" si="114"/>
        <v>0</v>
      </c>
      <c r="AT23" s="33">
        <f t="shared" si="115"/>
        <v>0</v>
      </c>
      <c r="AU23" s="33"/>
      <c r="AV23" s="33">
        <f t="shared" si="1"/>
        <v>0</v>
      </c>
      <c r="AW23" s="28"/>
      <c r="AX23" s="32"/>
      <c r="AY23" s="32"/>
      <c r="AZ23" s="32"/>
      <c r="BA23" s="33">
        <f t="shared" si="116"/>
        <v>0</v>
      </c>
      <c r="BB23" s="33">
        <f t="shared" si="117"/>
        <v>0</v>
      </c>
      <c r="BC23" s="33">
        <f t="shared" si="118"/>
        <v>0</v>
      </c>
      <c r="BD23" s="33">
        <f t="shared" si="119"/>
        <v>0</v>
      </c>
      <c r="BE23" s="33"/>
      <c r="BF23" s="33">
        <f t="shared" si="2"/>
        <v>0</v>
      </c>
      <c r="BG23" s="28"/>
      <c r="BH23" s="32"/>
      <c r="BI23" s="32"/>
      <c r="BJ23" s="32"/>
      <c r="BK23" s="28"/>
      <c r="BL23" s="32"/>
      <c r="BM23" s="32"/>
      <c r="BN23" s="32"/>
      <c r="BO23" s="28"/>
      <c r="BP23" s="28">
        <f t="shared" si="26"/>
        <v>0</v>
      </c>
      <c r="BQ23" s="28"/>
      <c r="BR23" s="32"/>
      <c r="BS23" s="32"/>
      <c r="BT23" s="32"/>
      <c r="BU23" s="32"/>
      <c r="BV23" s="32"/>
      <c r="BW23" s="32"/>
      <c r="BX23" s="32"/>
    </row>
    <row r="24" spans="1:76" x14ac:dyDescent="0.35">
      <c r="A24" s="32"/>
      <c r="B24" s="32"/>
      <c r="C24" s="32"/>
      <c r="D24" s="32"/>
      <c r="E24" s="54" t="str">
        <f t="shared" si="3"/>
        <v/>
      </c>
      <c r="F24" s="119"/>
      <c r="G24" s="32"/>
      <c r="H24" s="32"/>
      <c r="I24" s="98">
        <f t="shared" si="4"/>
        <v>0</v>
      </c>
      <c r="J24" s="35"/>
      <c r="K24" s="32"/>
      <c r="L24" s="32"/>
      <c r="M24" s="32"/>
      <c r="N24" s="33">
        <f t="shared" si="100"/>
        <v>0</v>
      </c>
      <c r="O24" s="33">
        <f t="shared" si="101"/>
        <v>0</v>
      </c>
      <c r="P24" s="33">
        <f t="shared" si="102"/>
        <v>0</v>
      </c>
      <c r="Q24" s="33">
        <f t="shared" si="103"/>
        <v>0</v>
      </c>
      <c r="R24" s="40"/>
      <c r="S24" s="16"/>
      <c r="T24" s="32"/>
      <c r="U24" s="32"/>
      <c r="V24" s="32"/>
      <c r="W24" s="33">
        <f t="shared" si="104"/>
        <v>0</v>
      </c>
      <c r="X24" s="33">
        <f t="shared" si="105"/>
        <v>0</v>
      </c>
      <c r="Y24" s="33">
        <f t="shared" si="106"/>
        <v>0</v>
      </c>
      <c r="Z24" s="33">
        <f t="shared" si="107"/>
        <v>0</v>
      </c>
      <c r="AA24" s="33"/>
      <c r="AB24" s="33">
        <f t="shared" si="13"/>
        <v>0</v>
      </c>
      <c r="AC24" s="26"/>
      <c r="AD24" s="32"/>
      <c r="AE24" s="32"/>
      <c r="AF24" s="32"/>
      <c r="AG24" s="33">
        <f t="shared" si="108"/>
        <v>0</v>
      </c>
      <c r="AH24" s="33">
        <f t="shared" si="109"/>
        <v>0</v>
      </c>
      <c r="AI24" s="33">
        <f t="shared" si="110"/>
        <v>0</v>
      </c>
      <c r="AJ24" s="33">
        <f t="shared" si="111"/>
        <v>0</v>
      </c>
      <c r="AK24" s="33"/>
      <c r="AL24" s="33">
        <f t="shared" si="0"/>
        <v>0</v>
      </c>
      <c r="AM24" s="28"/>
      <c r="AN24" s="32"/>
      <c r="AO24" s="32"/>
      <c r="AP24" s="32"/>
      <c r="AQ24" s="33">
        <f t="shared" si="112"/>
        <v>0</v>
      </c>
      <c r="AR24" s="33">
        <f t="shared" si="113"/>
        <v>0</v>
      </c>
      <c r="AS24" s="33">
        <f t="shared" si="114"/>
        <v>0</v>
      </c>
      <c r="AT24" s="33">
        <f t="shared" si="115"/>
        <v>0</v>
      </c>
      <c r="AU24" s="33"/>
      <c r="AV24" s="33">
        <f t="shared" si="1"/>
        <v>0</v>
      </c>
      <c r="AW24" s="28"/>
      <c r="AX24" s="32"/>
      <c r="AY24" s="32"/>
      <c r="AZ24" s="32"/>
      <c r="BA24" s="33">
        <f t="shared" si="116"/>
        <v>0</v>
      </c>
      <c r="BB24" s="33">
        <f t="shared" si="117"/>
        <v>0</v>
      </c>
      <c r="BC24" s="33">
        <f t="shared" si="118"/>
        <v>0</v>
      </c>
      <c r="BD24" s="33">
        <f t="shared" si="119"/>
        <v>0</v>
      </c>
      <c r="BE24" s="33"/>
      <c r="BF24" s="33">
        <f t="shared" si="2"/>
        <v>0</v>
      </c>
      <c r="BG24" s="28"/>
      <c r="BH24" s="32"/>
      <c r="BI24" s="32"/>
      <c r="BJ24" s="32"/>
      <c r="BK24" s="28"/>
      <c r="BL24" s="32"/>
      <c r="BM24" s="32"/>
      <c r="BN24" s="32"/>
      <c r="BO24" s="28"/>
      <c r="BP24" s="28">
        <f t="shared" si="26"/>
        <v>0</v>
      </c>
      <c r="BQ24" s="28"/>
      <c r="BR24" s="32"/>
      <c r="BS24" s="32"/>
      <c r="BT24" s="32"/>
      <c r="BU24" s="32"/>
      <c r="BV24" s="32"/>
      <c r="BW24" s="32"/>
      <c r="BX24" s="32"/>
    </row>
    <row r="25" spans="1:76" x14ac:dyDescent="0.35">
      <c r="A25" s="32"/>
      <c r="B25" s="32"/>
      <c r="C25" s="32"/>
      <c r="D25" s="32"/>
      <c r="E25" s="54" t="str">
        <f t="shared" si="3"/>
        <v/>
      </c>
      <c r="F25" s="119"/>
      <c r="G25" s="32"/>
      <c r="H25" s="32"/>
      <c r="I25" s="98">
        <f t="shared" si="4"/>
        <v>0</v>
      </c>
      <c r="J25" s="35"/>
      <c r="K25" s="32"/>
      <c r="L25" s="32"/>
      <c r="M25" s="32"/>
      <c r="N25" s="33">
        <f t="shared" si="100"/>
        <v>0</v>
      </c>
      <c r="O25" s="33">
        <f t="shared" si="101"/>
        <v>0</v>
      </c>
      <c r="P25" s="33">
        <f t="shared" si="102"/>
        <v>0</v>
      </c>
      <c r="Q25" s="33">
        <f t="shared" si="103"/>
        <v>0</v>
      </c>
      <c r="R25" s="40"/>
      <c r="S25" s="16"/>
      <c r="T25" s="32"/>
      <c r="U25" s="32"/>
      <c r="V25" s="32"/>
      <c r="W25" s="33">
        <f t="shared" si="104"/>
        <v>0</v>
      </c>
      <c r="X25" s="33">
        <f t="shared" si="105"/>
        <v>0</v>
      </c>
      <c r="Y25" s="33">
        <f t="shared" si="106"/>
        <v>0</v>
      </c>
      <c r="Z25" s="33">
        <f t="shared" si="107"/>
        <v>0</v>
      </c>
      <c r="AA25" s="33"/>
      <c r="AB25" s="33">
        <f t="shared" si="13"/>
        <v>0</v>
      </c>
      <c r="AC25" s="26"/>
      <c r="AD25" s="32"/>
      <c r="AE25" s="32"/>
      <c r="AF25" s="32"/>
      <c r="AG25" s="33">
        <f t="shared" si="108"/>
        <v>0</v>
      </c>
      <c r="AH25" s="33">
        <f t="shared" si="109"/>
        <v>0</v>
      </c>
      <c r="AI25" s="33">
        <f t="shared" si="110"/>
        <v>0</v>
      </c>
      <c r="AJ25" s="33">
        <f t="shared" si="111"/>
        <v>0</v>
      </c>
      <c r="AK25" s="33"/>
      <c r="AL25" s="33">
        <f t="shared" si="0"/>
        <v>0</v>
      </c>
      <c r="AM25" s="28"/>
      <c r="AN25" s="32"/>
      <c r="AO25" s="32"/>
      <c r="AP25" s="32"/>
      <c r="AQ25" s="33">
        <f t="shared" si="112"/>
        <v>0</v>
      </c>
      <c r="AR25" s="33">
        <f t="shared" si="113"/>
        <v>0</v>
      </c>
      <c r="AS25" s="33">
        <f t="shared" si="114"/>
        <v>0</v>
      </c>
      <c r="AT25" s="33">
        <f t="shared" si="115"/>
        <v>0</v>
      </c>
      <c r="AU25" s="33"/>
      <c r="AV25" s="33">
        <f t="shared" si="1"/>
        <v>0</v>
      </c>
      <c r="AW25" s="28"/>
      <c r="AX25" s="32"/>
      <c r="AY25" s="32"/>
      <c r="AZ25" s="32"/>
      <c r="BA25" s="33">
        <f t="shared" si="116"/>
        <v>0</v>
      </c>
      <c r="BB25" s="33">
        <f t="shared" si="117"/>
        <v>0</v>
      </c>
      <c r="BC25" s="33">
        <f t="shared" si="118"/>
        <v>0</v>
      </c>
      <c r="BD25" s="33">
        <f t="shared" si="119"/>
        <v>0</v>
      </c>
      <c r="BE25" s="33"/>
      <c r="BF25" s="33">
        <f t="shared" si="2"/>
        <v>0</v>
      </c>
      <c r="BG25" s="28"/>
      <c r="BH25" s="32"/>
      <c r="BI25" s="32"/>
      <c r="BJ25" s="32"/>
      <c r="BK25" s="28"/>
      <c r="BL25" s="32"/>
      <c r="BM25" s="32"/>
      <c r="BN25" s="32"/>
      <c r="BO25" s="28"/>
      <c r="BP25" s="28">
        <f t="shared" si="26"/>
        <v>0</v>
      </c>
      <c r="BQ25" s="28"/>
      <c r="BR25" s="32"/>
      <c r="BS25" s="32"/>
      <c r="BT25" s="32"/>
      <c r="BU25" s="32"/>
      <c r="BV25" s="32"/>
      <c r="BW25" s="32"/>
      <c r="BX25" s="32"/>
    </row>
    <row r="26" spans="1:76" x14ac:dyDescent="0.35">
      <c r="A26" s="32"/>
      <c r="B26" s="32"/>
      <c r="C26" s="32"/>
      <c r="D26" s="32"/>
      <c r="E26" s="54" t="str">
        <f t="shared" si="3"/>
        <v/>
      </c>
      <c r="F26" s="119"/>
      <c r="G26" s="32"/>
      <c r="H26" s="32"/>
      <c r="I26" s="98">
        <f t="shared" si="4"/>
        <v>0</v>
      </c>
      <c r="J26" s="35"/>
      <c r="K26" s="32"/>
      <c r="L26" s="32"/>
      <c r="M26" s="32"/>
      <c r="N26" s="33">
        <f t="shared" si="100"/>
        <v>0</v>
      </c>
      <c r="O26" s="33">
        <f t="shared" si="101"/>
        <v>0</v>
      </c>
      <c r="P26" s="33">
        <f t="shared" si="102"/>
        <v>0</v>
      </c>
      <c r="Q26" s="33">
        <f t="shared" si="103"/>
        <v>0</v>
      </c>
      <c r="R26" s="40"/>
      <c r="S26" s="16"/>
      <c r="T26" s="32"/>
      <c r="U26" s="32"/>
      <c r="V26" s="32"/>
      <c r="W26" s="33">
        <f t="shared" si="104"/>
        <v>0</v>
      </c>
      <c r="X26" s="33">
        <f t="shared" si="105"/>
        <v>0</v>
      </c>
      <c r="Y26" s="33">
        <f t="shared" si="106"/>
        <v>0</v>
      </c>
      <c r="Z26" s="33">
        <f t="shared" si="107"/>
        <v>0</v>
      </c>
      <c r="AA26" s="33"/>
      <c r="AB26" s="33">
        <f t="shared" si="13"/>
        <v>0</v>
      </c>
      <c r="AC26" s="26"/>
      <c r="AD26" s="32"/>
      <c r="AE26" s="32"/>
      <c r="AF26" s="32"/>
      <c r="AG26" s="33">
        <f t="shared" si="108"/>
        <v>0</v>
      </c>
      <c r="AH26" s="33">
        <f t="shared" si="109"/>
        <v>0</v>
      </c>
      <c r="AI26" s="33">
        <f t="shared" si="110"/>
        <v>0</v>
      </c>
      <c r="AJ26" s="33">
        <f t="shared" si="111"/>
        <v>0</v>
      </c>
      <c r="AK26" s="33"/>
      <c r="AL26" s="33">
        <f t="shared" si="0"/>
        <v>0</v>
      </c>
      <c r="AM26" s="28"/>
      <c r="AN26" s="32"/>
      <c r="AO26" s="32"/>
      <c r="AP26" s="32"/>
      <c r="AQ26" s="33">
        <f t="shared" si="112"/>
        <v>0</v>
      </c>
      <c r="AR26" s="33">
        <f t="shared" si="113"/>
        <v>0</v>
      </c>
      <c r="AS26" s="33">
        <f t="shared" si="114"/>
        <v>0</v>
      </c>
      <c r="AT26" s="33">
        <f t="shared" si="115"/>
        <v>0</v>
      </c>
      <c r="AU26" s="33"/>
      <c r="AV26" s="33">
        <f t="shared" si="1"/>
        <v>0</v>
      </c>
      <c r="AW26" s="28"/>
      <c r="AX26" s="32"/>
      <c r="AY26" s="32"/>
      <c r="AZ26" s="32"/>
      <c r="BA26" s="33">
        <f t="shared" si="116"/>
        <v>0</v>
      </c>
      <c r="BB26" s="33">
        <f t="shared" si="117"/>
        <v>0</v>
      </c>
      <c r="BC26" s="33">
        <f t="shared" si="118"/>
        <v>0</v>
      </c>
      <c r="BD26" s="33">
        <f t="shared" si="119"/>
        <v>0</v>
      </c>
      <c r="BE26" s="33"/>
      <c r="BF26" s="33">
        <f t="shared" si="2"/>
        <v>0</v>
      </c>
      <c r="BG26" s="28"/>
      <c r="BH26" s="32"/>
      <c r="BI26" s="32"/>
      <c r="BJ26" s="32"/>
      <c r="BK26" s="28"/>
      <c r="BL26" s="32"/>
      <c r="BM26" s="32"/>
      <c r="BN26" s="32"/>
      <c r="BO26" s="28"/>
      <c r="BP26" s="28">
        <f t="shared" si="26"/>
        <v>0</v>
      </c>
      <c r="BQ26" s="28"/>
      <c r="BR26" s="149"/>
      <c r="BS26" s="149"/>
      <c r="BT26" s="149"/>
      <c r="BU26" s="149"/>
      <c r="BV26" s="149"/>
      <c r="BW26" s="149"/>
      <c r="BX26" s="149"/>
    </row>
    <row r="27" spans="1:76" ht="15" thickBot="1" x14ac:dyDescent="0.4">
      <c r="A27" s="32"/>
      <c r="B27" s="32"/>
      <c r="C27" s="32"/>
      <c r="D27" s="32"/>
      <c r="E27" s="54" t="str">
        <f t="shared" si="3"/>
        <v/>
      </c>
      <c r="F27" s="119"/>
      <c r="G27" s="32"/>
      <c r="H27" s="32"/>
      <c r="I27" s="98">
        <f t="shared" si="4"/>
        <v>0</v>
      </c>
      <c r="J27" s="35"/>
      <c r="K27" s="32"/>
      <c r="L27" s="32"/>
      <c r="M27" s="32"/>
      <c r="N27" s="33">
        <f t="shared" si="5"/>
        <v>0</v>
      </c>
      <c r="O27" s="33">
        <f t="shared" si="6"/>
        <v>0</v>
      </c>
      <c r="P27" s="33">
        <f t="shared" si="7"/>
        <v>0</v>
      </c>
      <c r="Q27" s="33">
        <f t="shared" si="8"/>
        <v>0</v>
      </c>
      <c r="R27" s="40"/>
      <c r="S27" s="16"/>
      <c r="T27" s="32"/>
      <c r="U27" s="32"/>
      <c r="V27" s="32"/>
      <c r="W27" s="33">
        <f t="shared" si="9"/>
        <v>0</v>
      </c>
      <c r="X27" s="33">
        <f t="shared" si="10"/>
        <v>0</v>
      </c>
      <c r="Y27" s="33">
        <f t="shared" si="11"/>
        <v>0</v>
      </c>
      <c r="Z27" s="33">
        <f t="shared" si="12"/>
        <v>0</v>
      </c>
      <c r="AA27" s="33"/>
      <c r="AB27" s="33">
        <f t="shared" si="13"/>
        <v>0</v>
      </c>
      <c r="AC27" s="26"/>
      <c r="AD27" s="32"/>
      <c r="AE27" s="32"/>
      <c r="AF27" s="32"/>
      <c r="AG27" s="33">
        <f t="shared" si="14"/>
        <v>0</v>
      </c>
      <c r="AH27" s="33">
        <f t="shared" si="15"/>
        <v>0</v>
      </c>
      <c r="AI27" s="33">
        <f t="shared" si="16"/>
        <v>0</v>
      </c>
      <c r="AJ27" s="33">
        <f t="shared" si="17"/>
        <v>0</v>
      </c>
      <c r="AK27" s="33"/>
      <c r="AL27" s="33">
        <f t="shared" si="0"/>
        <v>0</v>
      </c>
      <c r="AM27" s="28"/>
      <c r="AN27" s="32"/>
      <c r="AO27" s="32"/>
      <c r="AP27" s="32"/>
      <c r="AQ27" s="33">
        <f t="shared" si="18"/>
        <v>0</v>
      </c>
      <c r="AR27" s="33">
        <f t="shared" si="19"/>
        <v>0</v>
      </c>
      <c r="AS27" s="33">
        <f t="shared" si="20"/>
        <v>0</v>
      </c>
      <c r="AT27" s="33">
        <f t="shared" si="21"/>
        <v>0</v>
      </c>
      <c r="AU27" s="33"/>
      <c r="AV27" s="33">
        <f t="shared" si="1"/>
        <v>0</v>
      </c>
      <c r="AW27" s="28"/>
      <c r="AX27" s="32"/>
      <c r="AY27" s="32"/>
      <c r="AZ27" s="32"/>
      <c r="BA27" s="33">
        <f t="shared" si="22"/>
        <v>0</v>
      </c>
      <c r="BB27" s="33">
        <f t="shared" si="23"/>
        <v>0</v>
      </c>
      <c r="BC27" s="33">
        <f t="shared" si="24"/>
        <v>0</v>
      </c>
      <c r="BD27" s="33">
        <f t="shared" si="25"/>
        <v>0</v>
      </c>
      <c r="BE27" s="33"/>
      <c r="BF27" s="33">
        <f t="shared" si="2"/>
        <v>0</v>
      </c>
      <c r="BG27" s="28"/>
      <c r="BH27" s="32"/>
      <c r="BI27" s="32"/>
      <c r="BJ27" s="32"/>
      <c r="BK27" s="28"/>
      <c r="BL27" s="32"/>
      <c r="BM27" s="32"/>
      <c r="BN27" s="32"/>
      <c r="BO27" s="28"/>
      <c r="BP27" s="28">
        <f t="shared" si="26"/>
        <v>0</v>
      </c>
      <c r="BQ27" s="28"/>
      <c r="BR27" s="32"/>
      <c r="BS27" s="32"/>
      <c r="BT27" s="32"/>
      <c r="BU27" s="32"/>
      <c r="BV27" s="32"/>
      <c r="BW27" s="32"/>
      <c r="BX27" s="32"/>
    </row>
    <row r="28" spans="1:76" ht="15" thickTop="1" x14ac:dyDescent="0.35">
      <c r="A28" s="32"/>
      <c r="B28" s="32"/>
      <c r="C28" s="32"/>
      <c r="D28" s="32"/>
      <c r="E28" s="54" t="str">
        <f>IF(A28= "","",1)</f>
        <v/>
      </c>
      <c r="F28" s="119"/>
      <c r="G28" s="32"/>
      <c r="H28" s="119"/>
      <c r="I28" s="98">
        <f>IF(K28&gt;0, 1, 0)</f>
        <v>0</v>
      </c>
      <c r="J28" s="38"/>
      <c r="K28" s="32"/>
      <c r="L28" s="32"/>
      <c r="M28" s="32"/>
      <c r="N28" s="33">
        <f>IF(AND(L28&lt;=10,M28&lt;=10),M28-L28,MAX(0,10-L28))</f>
        <v>0</v>
      </c>
      <c r="O28" s="33">
        <f>IF(AND(L28&lt;=10,M28&gt;=20),10,IF(AND(L28&gt;=10,M28&lt;=20),M28-L28,IF(AND(L28&lt;=10,M28&lt;=20,M28&gt;=10),M28-10,IF(AND(L28&gt;=10,M28&gt;=20),MAX(0,20-L28),0))))</f>
        <v>0</v>
      </c>
      <c r="P28" s="33">
        <f>IF(AND(L28&lt;=20,M28&gt;=30),10,IF(AND(L28&gt;=20,M28&lt;=30),M28-L28,IF(AND(L28&lt;=20,M28&lt;=30,M28&gt;=20),M28-20,IF(AND(L28&gt;=20,M28&gt;=30),30-L28,0))))</f>
        <v>0</v>
      </c>
      <c r="Q28" s="33">
        <f>IF(AND(L28&lt;=30,M28&gt;=40),10,IF(AND(L28&gt;=30,M28&lt;=40),M28-L28,IF(AND(L28&lt;=30,M28&lt;=40,M28&gt;=30),M28-30,IF(AND(L28&gt;=30,M28&gt;=40),40-L28,0))))</f>
        <v>0</v>
      </c>
      <c r="R28" s="39"/>
      <c r="S28" s="43"/>
      <c r="T28" s="32"/>
      <c r="U28" s="32"/>
      <c r="V28" s="32"/>
      <c r="W28" s="33">
        <f>IF(AND(U28&lt;=10,V28&lt;=10),V28-U28,MAX(0,10-U28))</f>
        <v>0</v>
      </c>
      <c r="X28" s="33">
        <f>IF(AND(U28&lt;=10,V28&gt;=20),10,IF(AND(U28&gt;=10,V28&lt;=20),V28-U28,IF(AND(U28&lt;=10,V28&lt;=20,V28&gt;=10),V28-10,IF(AND(U28&gt;=10,V28&gt;=20),MAX(0,20-U28),0))))</f>
        <v>0</v>
      </c>
      <c r="Y28" s="33">
        <f>IF(AND(U28&lt;=20,V28&gt;=30),10,IF(AND(U28&gt;=20,V28&lt;=30),V28-U28,IF(AND(U28&lt;=20,V28&lt;=30,V28&gt;=20),V28-20,IF(AND(U28&gt;=20,V28&gt;=30),MAX(0,30-U28),0))))</f>
        <v>0</v>
      </c>
      <c r="Z28" s="33">
        <f>IF(AND(U28&lt;=30,V28&gt;=40),10,IF(AND(U28&gt;=30,V28&lt;=40),V28-U28,IF(AND(U28&lt;=30,V28&lt;=40,V28&gt;=30),V28-30,IF(AND(U28&gt;=30,V28&gt;=40),40-U28,0))))</f>
        <v>0</v>
      </c>
      <c r="AA28" s="33"/>
      <c r="AB28" s="33">
        <f>IF(T28&gt;0, 1, 0)</f>
        <v>0</v>
      </c>
      <c r="AC28" s="25"/>
      <c r="AD28" s="32"/>
      <c r="AE28" s="32"/>
      <c r="AF28" s="32"/>
      <c r="AG28" s="33">
        <f>IF(AND(AE28&lt;=10,AF28&lt;=10),AF28-AE28,MAX(0,10-AE28))</f>
        <v>0</v>
      </c>
      <c r="AH28" s="33">
        <f>IF(AND(AE28&lt;=10,AF28&gt;=20),10,IF(AND(AE28&gt;=10,AF28&lt;=20),AF28-AE28,IF(AND(AE28&lt;=10,AF28&lt;=20,AF28&gt;=10),AF28-10,IF(AND(AE28&gt;=10,AF28&gt;=20),MAX(0,20-AE28),0))))</f>
        <v>0</v>
      </c>
      <c r="AI28" s="33">
        <f t="shared" si="16"/>
        <v>0</v>
      </c>
      <c r="AJ28" s="33">
        <f>IF(AND(AE28&lt;=30,AF28&gt;=40),10,IF(AND(AE28&gt;=30,AF28&lt;=40),AF28-AE28,IF(AND(AE28&lt;=30,AF28&lt;=40,AF28&gt;=30),AF28-30,IF(AND(AE28&gt;=30,AF28&gt;=40),40-AE28,0))))</f>
        <v>0</v>
      </c>
      <c r="AK28" s="33"/>
      <c r="AL28" s="33">
        <f t="shared" ref="AL28:AL53" si="120">IF(AD28&gt;0, 1, 0)</f>
        <v>0</v>
      </c>
      <c r="AM28" s="28"/>
      <c r="AN28" s="32"/>
      <c r="AO28" s="32"/>
      <c r="AP28" s="32"/>
      <c r="AQ28" s="33">
        <f>IF(AND(AO28&lt;=10,AP28&lt;=10),AP28-AO28,MAX(0,10-AO28))</f>
        <v>0</v>
      </c>
      <c r="AR28" s="33">
        <f>IF(AND(AO28&lt;=10,AP28&gt;=20),10,IF(AND(AO28&gt;=10,AP28&lt;=20),AP28-AO28,IF(AND(AO28&lt;=10,AP28&lt;=20,AP28&gt;=10),AP28-10,IF(AND(AO28&gt;=10,AP28&gt;=20),MAX(0,20-AO28),0))))</f>
        <v>0</v>
      </c>
      <c r="AS28" s="33">
        <f>IF(AND(AO28&lt;=20,AP28&gt;=30),10,IF(AND(AO28&gt;=20,AP28&lt;=30),AP28-AO28,IF(AND(AO28&lt;=20,AP28&lt;=30,AP28&gt;=20),AP28-20,IF(AND(AO28&gt;=20,AP28&gt;=30),MAX(0,30-AO28),0))))</f>
        <v>0</v>
      </c>
      <c r="AT28" s="33">
        <f>IF(AND(AO28&lt;=30,AP28&gt;=40),10,IF(AND(AO28&gt;=30,AP28&lt;=40),AP28-AO28,IF(AND(AO28&lt;=30,AP28&lt;=40,AP28&gt;=30),AP28-30,IF(AND(AO28&gt;=30,AP28&gt;=40),40-AO28,0))))</f>
        <v>0</v>
      </c>
      <c r="AU28" s="33"/>
      <c r="AV28" s="33">
        <f t="shared" ref="AV28:AV53" si="121">IF(AN28&gt;0, 1, 0)</f>
        <v>0</v>
      </c>
      <c r="AW28" s="28"/>
      <c r="AX28" s="32"/>
      <c r="AY28" s="32"/>
      <c r="AZ28" s="32"/>
      <c r="BA28" s="33">
        <f>IF(AND(AY28&lt;=10,AZ28&lt;=10),AZ28-AY28,MAX(0,10-AY28))</f>
        <v>0</v>
      </c>
      <c r="BB28" s="33">
        <f>IF(AND(AY28&lt;=10,AZ28&gt;=20),10,IF(AND(AY28&gt;=10,AZ28&lt;=20),AZ28-AY28,IF(AND(AY28&lt;=10,AZ28&lt;=20,AZ28&gt;=10),AZ28-10,IF(AND(AY28&gt;=10,AZ28&gt;=20),MAX(0,20-AY28),0))))</f>
        <v>0</v>
      </c>
      <c r="BC28" s="33">
        <f t="shared" si="24"/>
        <v>0</v>
      </c>
      <c r="BD28" s="33">
        <f>IF(AND(AY28&lt;=30,AZ28&gt;=40),10,IF(AND(AY28&gt;=30,AZ28&lt;=40),AZ28-AY28,IF(AND(AY28&lt;=30,AZ28&lt;=40,AZ28&gt;=30),AZ28-30,IF(AND(AY28&gt;=30,AZ28&gt;=40),40-AY28,0))))</f>
        <v>0</v>
      </c>
      <c r="BE28" s="33"/>
      <c r="BF28" s="33">
        <f t="shared" ref="BF28:BF34" si="122">IF(AX28&gt;0, 1, 0)</f>
        <v>0</v>
      </c>
      <c r="BG28" s="28"/>
      <c r="BH28" s="32"/>
      <c r="BI28" s="32"/>
      <c r="BJ28" s="32"/>
      <c r="BK28" s="28"/>
      <c r="BL28" s="32"/>
      <c r="BM28" s="32"/>
      <c r="BN28" s="32"/>
      <c r="BO28" s="28"/>
      <c r="BP28" s="28">
        <f>IF(OR(BI28="YES",BL28="YES"), 1, 0)</f>
        <v>0</v>
      </c>
      <c r="BQ28" s="28"/>
      <c r="BR28" s="32"/>
      <c r="BS28" s="32"/>
      <c r="BT28" s="32"/>
      <c r="BU28" s="32"/>
      <c r="BV28" s="32"/>
      <c r="BW28" s="32"/>
      <c r="BX28" s="32"/>
    </row>
    <row r="29" spans="1:76" x14ac:dyDescent="0.35">
      <c r="A29" s="32"/>
      <c r="B29" s="32"/>
      <c r="C29" s="32"/>
      <c r="D29" s="32"/>
      <c r="E29" s="54" t="str">
        <f t="shared" ref="E29:E53" si="123">IF(A29= "","",1)</f>
        <v/>
      </c>
      <c r="F29" s="119"/>
      <c r="G29" s="32"/>
      <c r="H29" s="119"/>
      <c r="I29" s="98">
        <f t="shared" ref="I29:I30" si="124">IF(K29&gt;0, 1, 0)</f>
        <v>0</v>
      </c>
      <c r="J29" s="35"/>
      <c r="K29" s="32"/>
      <c r="L29" s="32"/>
      <c r="M29" s="32"/>
      <c r="N29" s="33">
        <f t="shared" ref="N29:N38" si="125">IF(AND(L29&lt;=10,M29&lt;=10),M29-L29,MAX(0,10-L29))</f>
        <v>0</v>
      </c>
      <c r="O29" s="33">
        <f t="shared" ref="O29:O38" si="126">IF(AND(L29&lt;=10,M29&gt;=20),10,IF(AND(L29&gt;=10,M29&lt;=20),M29-L29,IF(AND(L29&lt;=10,M29&lt;=20,M29&gt;=10),M29-10,IF(AND(L29&gt;=10,M29&gt;=20),MAX(0,20-L29),0))))</f>
        <v>0</v>
      </c>
      <c r="P29" s="33">
        <f t="shared" ref="P29:P38" si="127">IF(AND(L29&lt;=20,M29&gt;=30),10,IF(AND(L29&gt;=20,M29&lt;=30),M29-L29,IF(AND(L29&lt;=20,M29&lt;=30,M29&gt;=20),M29-20,IF(AND(L29&gt;=20,M29&gt;=30),30-L29,0))))</f>
        <v>0</v>
      </c>
      <c r="Q29" s="33">
        <f t="shared" ref="Q29:Q38" si="128">IF(AND(L29&lt;=30,M29&gt;=40),10,IF(AND(L29&gt;=30,M29&lt;=40),M29-L29,IF(AND(L29&lt;=30,M29&lt;=40,M29&gt;=30),M29-30,IF(AND(L29&gt;=30,M29&gt;=40),40-L29,0))))</f>
        <v>0</v>
      </c>
      <c r="R29" s="16"/>
      <c r="S29" s="16"/>
      <c r="T29" s="32"/>
      <c r="U29" s="32"/>
      <c r="V29" s="32"/>
      <c r="W29" s="33">
        <f t="shared" ref="W29:W53" si="129">IF(AND(U29&lt;=10,V29&lt;=10),V29-U29,MAX(0,10-U29))</f>
        <v>0</v>
      </c>
      <c r="X29" s="33">
        <f t="shared" ref="X29:X53" si="130">IF(AND(U29&lt;=10,V29&gt;=20),10,IF(AND(U29&gt;=10,V29&lt;=20),V29-U29,IF(AND(U29&lt;=10,V29&lt;=20,V29&gt;=10),V29-10,IF(AND(U29&gt;=10,V29&gt;=20),MAX(0,20-U29),0))))</f>
        <v>0</v>
      </c>
      <c r="Y29" s="33">
        <f t="shared" ref="Y29:Y53" si="131">IF(AND(U29&lt;=20,V29&gt;=30),10,IF(AND(U29&gt;=20,V29&lt;=30),V29-U29,IF(AND(U29&lt;=20,V29&lt;=30,V29&gt;=20),V29-20,IF(AND(U29&gt;=20,V29&gt;=30),30-U29,0))))</f>
        <v>0</v>
      </c>
      <c r="Z29" s="33">
        <f t="shared" ref="Z29:Z53" si="132">IF(AND(U29&lt;=30,V29&gt;=40),10,IF(AND(U29&gt;=30,V29&lt;=40),V29-U29,IF(AND(U29&lt;=30,V29&lt;=40,V29&gt;=30),V29-30,IF(AND(U29&gt;=30,V29&gt;=40),40-U29,0))))</f>
        <v>0</v>
      </c>
      <c r="AA29" s="33"/>
      <c r="AB29" s="33">
        <f t="shared" ref="AB29:AB53" si="133">IF(T29&gt;0, 1, 0)</f>
        <v>0</v>
      </c>
      <c r="AC29" s="26"/>
      <c r="AD29" s="32"/>
      <c r="AE29" s="32"/>
      <c r="AF29" s="32"/>
      <c r="AG29" s="33">
        <f t="shared" ref="AG29:AG53" si="134">IF(AND(AE29&lt;=10,AF29&lt;=10),AF29-AE29,MAX(0,10-AE29))</f>
        <v>0</v>
      </c>
      <c r="AH29" s="33">
        <f t="shared" ref="AH29:AH53" si="135">IF(AND(AE29&lt;=10,AF29&gt;=20),10,IF(AND(AE29&gt;=10,AF29&lt;=20),AF29-AE29,IF(AND(AE29&lt;=10,AF29&lt;=20,AF29&gt;=10),AF29-10,IF(AND(AE29&gt;=10,AF29&gt;=20),MAX(0,20-AE29),0))))</f>
        <v>0</v>
      </c>
      <c r="AI29" s="33">
        <f t="shared" ref="AI29:AI53" si="136">IF(AND(AE29&lt;=20,AF29&gt;=30),10,IF(AND(AE29&gt;=20,AF29&lt;=30),AF29-AE29,IF(AND(AE29&lt;=20,AF29&lt;=30,AF29&gt;=20),AF29-20,IF(AND(AE29&gt;=20,AF29&gt;=30),30-AE29,0))))</f>
        <v>0</v>
      </c>
      <c r="AJ29" s="33">
        <f t="shared" ref="AJ29:AJ53" si="137">IF(AND(AE29&lt;=30,AF29&gt;=40),10,IF(AND(AE29&gt;=30,AF29&lt;=40),AF29-AE29,IF(AND(AE29&lt;=30,AF29&lt;=40,AF29&gt;=30),AF29-30,IF(AND(AE29&gt;=30,AF29&gt;=40),40-AE29,0))))</f>
        <v>0</v>
      </c>
      <c r="AK29" s="33"/>
      <c r="AL29" s="33">
        <f t="shared" si="120"/>
        <v>0</v>
      </c>
      <c r="AM29" s="28"/>
      <c r="AN29" s="32"/>
      <c r="AO29" s="32"/>
      <c r="AP29" s="32"/>
      <c r="AQ29" s="33">
        <f t="shared" ref="AQ29:AQ53" si="138">IF(AND(AO29&lt;=10,AP29&lt;=10),AP29-AO29,MAX(0,10-AO29))</f>
        <v>0</v>
      </c>
      <c r="AR29" s="33">
        <f t="shared" ref="AR29:AR53" si="139">IF(AND(AO29&lt;=10,AP29&gt;=20),10,IF(AND(AO29&gt;=10,AP29&lt;=20),AP29-AO29,IF(AND(AO29&lt;=10,AP29&lt;=20,AP29&gt;=10),AP29-10,IF(AND(AO29&gt;=10,AP29&gt;=20),MAX(0,20-AO29),0))))</f>
        <v>0</v>
      </c>
      <c r="AS29" s="33">
        <f t="shared" ref="AS29:AS53" si="140">IF(AND(AO29&lt;=20,AP29&gt;=30),10,IF(AND(AO29&gt;=20,AP29&lt;=30),AP29-AO29,IF(AND(AO29&lt;=20,AP29&lt;=30,AP29&gt;=20),AP29-20,IF(AND(AO29&gt;=20,AP29&gt;=30),30-AO29,0))))</f>
        <v>0</v>
      </c>
      <c r="AT29" s="33">
        <f t="shared" ref="AT29:AT53" si="141">IF(AND(AO29&lt;=30,AP29&gt;=40),10,IF(AND(AO29&gt;=30,AP29&lt;=40),AP29-AO29,IF(AND(AO29&lt;=30,AP29&lt;=40,AP29&gt;=30),AP29-30,IF(AND(AO29&gt;=30,AP29&gt;=40),40-AO29,0))))</f>
        <v>0</v>
      </c>
      <c r="AU29" s="33"/>
      <c r="AV29" s="33">
        <f t="shared" si="121"/>
        <v>0</v>
      </c>
      <c r="AW29" s="28"/>
      <c r="AX29" s="32"/>
      <c r="AY29" s="32"/>
      <c r="AZ29" s="32"/>
      <c r="BA29" s="33">
        <f t="shared" ref="BA29:BA34" si="142">IF(AND(AY29&lt;=10,AZ29&lt;=10),AZ29-AY29,MAX(0,10-AY29))</f>
        <v>0</v>
      </c>
      <c r="BB29" s="33">
        <f t="shared" ref="BB29:BB34" si="143">IF(AND(AY29&lt;=10,AZ29&gt;=20),10,IF(AND(AY29&gt;=10,AZ29&lt;=20),AZ29-AY29,IF(AND(AY29&lt;=10,AZ29&lt;=20,AZ29&gt;=10),AZ29-10,IF(AND(AY29&gt;=10,AZ29&gt;=20),MAX(0,20-AY29),0))))</f>
        <v>0</v>
      </c>
      <c r="BC29" s="33">
        <f t="shared" ref="BC29:BC34" si="144">IF(AND(AY29&lt;=20,AZ29&gt;=30),10,IF(AND(AY29&gt;=20,AZ29&lt;=30),AZ29-AY29,IF(AND(AY29&lt;=20,AZ29&lt;=30,AZ29&gt;=20),AZ29-20,IF(AND(AY29&gt;=20,AZ29&gt;=30),30-AY29,0))))</f>
        <v>0</v>
      </c>
      <c r="BD29" s="33">
        <f t="shared" ref="BD29:BD34" si="145">IF(AND(AY29&lt;=30,AZ29&gt;=40),10,IF(AND(AY29&gt;=30,AZ29&lt;=40),AZ29-AY29,IF(AND(AY29&lt;=30,AZ29&lt;=40,AZ29&gt;=30),AZ29-30,IF(AND(AY29&gt;=30,AZ29&gt;=40),40-AY29,0))))</f>
        <v>0</v>
      </c>
      <c r="BE29" s="33"/>
      <c r="BF29" s="33">
        <f t="shared" si="122"/>
        <v>0</v>
      </c>
      <c r="BG29" s="28"/>
      <c r="BH29" s="32"/>
      <c r="BI29" s="32"/>
      <c r="BJ29" s="32"/>
      <c r="BK29" s="28"/>
      <c r="BL29" s="32"/>
      <c r="BM29" s="32"/>
      <c r="BN29" s="32"/>
      <c r="BO29" s="28"/>
      <c r="BP29" s="28">
        <f t="shared" ref="BP29:BP53" si="146">IF(OR(BI29="YES",BL29="YES"), 1, 0)</f>
        <v>0</v>
      </c>
      <c r="BQ29" s="28"/>
      <c r="BR29" s="32"/>
      <c r="BS29" s="32"/>
      <c r="BT29" s="32"/>
      <c r="BU29" s="32"/>
      <c r="BV29" s="32"/>
      <c r="BW29" s="32"/>
      <c r="BX29" s="32"/>
    </row>
    <row r="30" spans="1:76" x14ac:dyDescent="0.35">
      <c r="A30" s="32"/>
      <c r="B30" s="32"/>
      <c r="C30" s="32"/>
      <c r="D30" s="32"/>
      <c r="E30" s="54" t="str">
        <f t="shared" si="123"/>
        <v/>
      </c>
      <c r="F30" s="119"/>
      <c r="G30" s="32"/>
      <c r="H30" s="32"/>
      <c r="I30" s="98">
        <f t="shared" si="124"/>
        <v>0</v>
      </c>
      <c r="J30" s="35"/>
      <c r="K30" s="32"/>
      <c r="L30" s="32"/>
      <c r="M30" s="32"/>
      <c r="N30" s="33">
        <f t="shared" si="125"/>
        <v>0</v>
      </c>
      <c r="O30" s="33">
        <f t="shared" si="126"/>
        <v>0</v>
      </c>
      <c r="P30" s="33">
        <f t="shared" si="127"/>
        <v>0</v>
      </c>
      <c r="Q30" s="33">
        <f t="shared" si="128"/>
        <v>0</v>
      </c>
      <c r="R30" s="40"/>
      <c r="S30" s="16"/>
      <c r="T30" s="32"/>
      <c r="U30" s="32"/>
      <c r="V30" s="32"/>
      <c r="W30" s="33">
        <f t="shared" si="129"/>
        <v>0</v>
      </c>
      <c r="X30" s="33">
        <f t="shared" si="130"/>
        <v>0</v>
      </c>
      <c r="Y30" s="33">
        <f t="shared" si="131"/>
        <v>0</v>
      </c>
      <c r="Z30" s="33">
        <f t="shared" si="132"/>
        <v>0</v>
      </c>
      <c r="AA30" s="33"/>
      <c r="AB30" s="33">
        <f t="shared" si="133"/>
        <v>0</v>
      </c>
      <c r="AC30" s="26"/>
      <c r="AD30" s="32"/>
      <c r="AE30" s="32"/>
      <c r="AF30" s="32"/>
      <c r="AG30" s="33">
        <f t="shared" si="134"/>
        <v>0</v>
      </c>
      <c r="AH30" s="33">
        <f t="shared" si="135"/>
        <v>0</v>
      </c>
      <c r="AI30" s="33">
        <f t="shared" si="136"/>
        <v>0</v>
      </c>
      <c r="AJ30" s="33">
        <f t="shared" si="137"/>
        <v>0</v>
      </c>
      <c r="AK30" s="33"/>
      <c r="AL30" s="33">
        <f t="shared" si="120"/>
        <v>0</v>
      </c>
      <c r="AM30" s="28"/>
      <c r="AN30" s="32"/>
      <c r="AO30" s="32"/>
      <c r="AP30" s="32"/>
      <c r="AQ30" s="33">
        <f t="shared" si="138"/>
        <v>0</v>
      </c>
      <c r="AR30" s="33">
        <f t="shared" si="139"/>
        <v>0</v>
      </c>
      <c r="AS30" s="33">
        <f t="shared" si="140"/>
        <v>0</v>
      </c>
      <c r="AT30" s="33">
        <f t="shared" si="141"/>
        <v>0</v>
      </c>
      <c r="AU30" s="33"/>
      <c r="AV30" s="33">
        <f t="shared" si="121"/>
        <v>0</v>
      </c>
      <c r="AW30" s="28"/>
      <c r="AX30" s="32"/>
      <c r="AY30" s="32"/>
      <c r="AZ30" s="32"/>
      <c r="BA30" s="33">
        <f t="shared" si="142"/>
        <v>0</v>
      </c>
      <c r="BB30" s="33">
        <f t="shared" si="143"/>
        <v>0</v>
      </c>
      <c r="BC30" s="33">
        <f t="shared" si="144"/>
        <v>0</v>
      </c>
      <c r="BD30" s="33">
        <f t="shared" si="145"/>
        <v>0</v>
      </c>
      <c r="BE30" s="33"/>
      <c r="BF30" s="33">
        <f t="shared" si="122"/>
        <v>0</v>
      </c>
      <c r="BG30" s="28"/>
      <c r="BH30" s="32"/>
      <c r="BI30" s="32"/>
      <c r="BJ30" s="32"/>
      <c r="BK30" s="28"/>
      <c r="BL30" s="32"/>
      <c r="BM30" s="32"/>
      <c r="BN30" s="32"/>
      <c r="BO30" s="28"/>
      <c r="BP30" s="28">
        <f t="shared" si="146"/>
        <v>0</v>
      </c>
      <c r="BQ30" s="28"/>
      <c r="BR30" s="32"/>
      <c r="BS30" s="32"/>
      <c r="BT30" s="32"/>
      <c r="BU30" s="32"/>
      <c r="BV30" s="32"/>
      <c r="BW30" s="32"/>
      <c r="BX30" s="32"/>
    </row>
    <row r="31" spans="1:76" x14ac:dyDescent="0.35">
      <c r="A31" s="32"/>
      <c r="B31" s="32"/>
      <c r="C31" s="32"/>
      <c r="D31" s="32"/>
      <c r="E31" s="54" t="str">
        <f t="shared" si="123"/>
        <v/>
      </c>
      <c r="F31" s="119"/>
      <c r="G31" s="32"/>
      <c r="H31" s="32"/>
      <c r="I31" s="98">
        <f>IF(K31&gt;0, 1, 0)</f>
        <v>0</v>
      </c>
      <c r="J31" s="35"/>
      <c r="K31" s="32"/>
      <c r="L31" s="32"/>
      <c r="M31" s="32"/>
      <c r="N31" s="33">
        <f t="shared" si="125"/>
        <v>0</v>
      </c>
      <c r="O31" s="33">
        <f t="shared" si="126"/>
        <v>0</v>
      </c>
      <c r="P31" s="33">
        <f t="shared" si="127"/>
        <v>0</v>
      </c>
      <c r="Q31" s="33">
        <f t="shared" si="128"/>
        <v>0</v>
      </c>
      <c r="R31" s="40"/>
      <c r="S31" s="16"/>
      <c r="T31" s="32"/>
      <c r="U31" s="32"/>
      <c r="V31" s="32"/>
      <c r="W31" s="33">
        <f t="shared" si="129"/>
        <v>0</v>
      </c>
      <c r="X31" s="33">
        <f t="shared" si="130"/>
        <v>0</v>
      </c>
      <c r="Y31" s="33">
        <f t="shared" si="131"/>
        <v>0</v>
      </c>
      <c r="Z31" s="33">
        <f t="shared" si="132"/>
        <v>0</v>
      </c>
      <c r="AA31" s="33"/>
      <c r="AB31" s="33">
        <f t="shared" si="133"/>
        <v>0</v>
      </c>
      <c r="AC31" s="26"/>
      <c r="AD31" s="32"/>
      <c r="AE31" s="32"/>
      <c r="AF31" s="32"/>
      <c r="AG31" s="33">
        <f t="shared" si="134"/>
        <v>0</v>
      </c>
      <c r="AH31" s="33">
        <f t="shared" si="135"/>
        <v>0</v>
      </c>
      <c r="AI31" s="33">
        <f t="shared" si="136"/>
        <v>0</v>
      </c>
      <c r="AJ31" s="33">
        <f t="shared" si="137"/>
        <v>0</v>
      </c>
      <c r="AK31" s="33"/>
      <c r="AL31" s="33">
        <f t="shared" si="120"/>
        <v>0</v>
      </c>
      <c r="AM31" s="28"/>
      <c r="AN31" s="32"/>
      <c r="AO31" s="32"/>
      <c r="AP31" s="32"/>
      <c r="AQ31" s="33">
        <f t="shared" si="138"/>
        <v>0</v>
      </c>
      <c r="AR31" s="33">
        <f t="shared" si="139"/>
        <v>0</v>
      </c>
      <c r="AS31" s="33">
        <f t="shared" si="140"/>
        <v>0</v>
      </c>
      <c r="AT31" s="33">
        <f t="shared" si="141"/>
        <v>0</v>
      </c>
      <c r="AU31" s="33"/>
      <c r="AV31" s="33">
        <f t="shared" si="121"/>
        <v>0</v>
      </c>
      <c r="AW31" s="28"/>
      <c r="AX31" s="32"/>
      <c r="AY31" s="32"/>
      <c r="AZ31" s="32"/>
      <c r="BA31" s="33">
        <f t="shared" si="142"/>
        <v>0</v>
      </c>
      <c r="BB31" s="33">
        <f t="shared" si="143"/>
        <v>0</v>
      </c>
      <c r="BC31" s="33">
        <f t="shared" si="144"/>
        <v>0</v>
      </c>
      <c r="BD31" s="33">
        <f t="shared" si="145"/>
        <v>0</v>
      </c>
      <c r="BE31" s="33"/>
      <c r="BF31" s="33">
        <f t="shared" si="122"/>
        <v>0</v>
      </c>
      <c r="BG31" s="28"/>
      <c r="BH31" s="32"/>
      <c r="BI31" s="32"/>
      <c r="BJ31" s="32"/>
      <c r="BK31" s="28"/>
      <c r="BL31" s="32"/>
      <c r="BM31" s="32"/>
      <c r="BN31" s="32"/>
      <c r="BO31" s="28"/>
      <c r="BP31" s="28">
        <f t="shared" si="146"/>
        <v>0</v>
      </c>
      <c r="BQ31" s="28"/>
      <c r="BR31" s="32"/>
      <c r="BS31" s="32"/>
      <c r="BT31" s="32"/>
      <c r="BU31" s="32"/>
      <c r="BV31" s="32"/>
      <c r="BW31" s="32"/>
      <c r="BX31" s="32"/>
    </row>
    <row r="32" spans="1:76" x14ac:dyDescent="0.35">
      <c r="A32" s="32"/>
      <c r="B32" s="32"/>
      <c r="C32" s="32"/>
      <c r="D32" s="32"/>
      <c r="E32" s="54" t="str">
        <f t="shared" si="123"/>
        <v/>
      </c>
      <c r="F32" s="119"/>
      <c r="G32" s="32"/>
      <c r="H32" s="32"/>
      <c r="I32" s="98">
        <f t="shared" ref="I32:I53" si="147">IF(K32&gt;0, 1, 0)</f>
        <v>0</v>
      </c>
      <c r="J32" s="35"/>
      <c r="K32" s="32"/>
      <c r="L32" s="32"/>
      <c r="M32" s="32"/>
      <c r="N32" s="33">
        <f t="shared" si="125"/>
        <v>0</v>
      </c>
      <c r="O32" s="33">
        <f t="shared" si="126"/>
        <v>0</v>
      </c>
      <c r="P32" s="33">
        <f t="shared" si="127"/>
        <v>0</v>
      </c>
      <c r="Q32" s="33">
        <f t="shared" si="128"/>
        <v>0</v>
      </c>
      <c r="R32" s="40"/>
      <c r="S32" s="16"/>
      <c r="T32" s="32"/>
      <c r="U32" s="32"/>
      <c r="V32" s="32"/>
      <c r="W32" s="33">
        <f t="shared" si="129"/>
        <v>0</v>
      </c>
      <c r="X32" s="33">
        <f t="shared" si="130"/>
        <v>0</v>
      </c>
      <c r="Y32" s="33">
        <f t="shared" si="131"/>
        <v>0</v>
      </c>
      <c r="Z32" s="33">
        <f t="shared" si="132"/>
        <v>0</v>
      </c>
      <c r="AA32" s="33"/>
      <c r="AB32" s="33">
        <f t="shared" si="133"/>
        <v>0</v>
      </c>
      <c r="AC32" s="26"/>
      <c r="AD32" s="32"/>
      <c r="AE32" s="32"/>
      <c r="AF32" s="32"/>
      <c r="AG32" s="33">
        <f t="shared" si="134"/>
        <v>0</v>
      </c>
      <c r="AH32" s="33">
        <f t="shared" si="135"/>
        <v>0</v>
      </c>
      <c r="AI32" s="33">
        <f t="shared" si="136"/>
        <v>0</v>
      </c>
      <c r="AJ32" s="33">
        <f t="shared" si="137"/>
        <v>0</v>
      </c>
      <c r="AK32" s="33"/>
      <c r="AL32" s="33">
        <f t="shared" si="120"/>
        <v>0</v>
      </c>
      <c r="AM32" s="28"/>
      <c r="AN32" s="32"/>
      <c r="AO32" s="32"/>
      <c r="AP32" s="32"/>
      <c r="AQ32" s="33">
        <f t="shared" si="138"/>
        <v>0</v>
      </c>
      <c r="AR32" s="33">
        <f t="shared" si="139"/>
        <v>0</v>
      </c>
      <c r="AS32" s="33">
        <f t="shared" si="140"/>
        <v>0</v>
      </c>
      <c r="AT32" s="33">
        <f t="shared" si="141"/>
        <v>0</v>
      </c>
      <c r="AU32" s="33"/>
      <c r="AV32" s="33">
        <f t="shared" si="121"/>
        <v>0</v>
      </c>
      <c r="AW32" s="28"/>
      <c r="AX32" s="32"/>
      <c r="AY32" s="32"/>
      <c r="AZ32" s="32"/>
      <c r="BA32" s="33">
        <f t="shared" si="142"/>
        <v>0</v>
      </c>
      <c r="BB32" s="33">
        <f t="shared" si="143"/>
        <v>0</v>
      </c>
      <c r="BC32" s="33">
        <f t="shared" si="144"/>
        <v>0</v>
      </c>
      <c r="BD32" s="33">
        <f t="shared" si="145"/>
        <v>0</v>
      </c>
      <c r="BE32" s="33"/>
      <c r="BF32" s="33">
        <f t="shared" si="122"/>
        <v>0</v>
      </c>
      <c r="BG32" s="28"/>
      <c r="BH32" s="32"/>
      <c r="BI32" s="32"/>
      <c r="BJ32" s="32"/>
      <c r="BK32" s="28"/>
      <c r="BL32" s="32"/>
      <c r="BM32" s="32"/>
      <c r="BN32" s="32"/>
      <c r="BO32" s="28"/>
      <c r="BP32" s="28">
        <f t="shared" si="146"/>
        <v>0</v>
      </c>
      <c r="BQ32" s="28"/>
      <c r="BR32" s="149"/>
      <c r="BS32" s="149"/>
      <c r="BT32" s="149"/>
      <c r="BU32" s="149"/>
      <c r="BV32" s="149"/>
      <c r="BW32" s="149"/>
      <c r="BX32" s="149"/>
    </row>
    <row r="33" spans="1:76" x14ac:dyDescent="0.35">
      <c r="A33" s="32"/>
      <c r="B33" s="32"/>
      <c r="C33" s="32"/>
      <c r="D33" s="32"/>
      <c r="E33" s="54" t="str">
        <f t="shared" si="123"/>
        <v/>
      </c>
      <c r="F33" s="119"/>
      <c r="G33" s="32"/>
      <c r="H33" s="32"/>
      <c r="I33" s="98">
        <f t="shared" si="147"/>
        <v>0</v>
      </c>
      <c r="J33" s="35"/>
      <c r="K33" s="32"/>
      <c r="L33" s="32"/>
      <c r="M33" s="32"/>
      <c r="N33" s="33">
        <f t="shared" si="125"/>
        <v>0</v>
      </c>
      <c r="O33" s="33">
        <f t="shared" si="126"/>
        <v>0</v>
      </c>
      <c r="P33" s="33">
        <f t="shared" si="127"/>
        <v>0</v>
      </c>
      <c r="Q33" s="33">
        <f t="shared" si="128"/>
        <v>0</v>
      </c>
      <c r="R33" s="40"/>
      <c r="S33" s="16"/>
      <c r="T33" s="32"/>
      <c r="U33" s="32"/>
      <c r="V33" s="32"/>
      <c r="W33" s="33">
        <f t="shared" si="129"/>
        <v>0</v>
      </c>
      <c r="X33" s="33">
        <f t="shared" si="130"/>
        <v>0</v>
      </c>
      <c r="Y33" s="33">
        <f t="shared" si="131"/>
        <v>0</v>
      </c>
      <c r="Z33" s="33">
        <f t="shared" si="132"/>
        <v>0</v>
      </c>
      <c r="AA33" s="33"/>
      <c r="AB33" s="33">
        <f t="shared" si="133"/>
        <v>0</v>
      </c>
      <c r="AC33" s="26"/>
      <c r="AD33" s="32"/>
      <c r="AE33" s="32"/>
      <c r="AF33" s="32"/>
      <c r="AG33" s="33">
        <f t="shared" si="134"/>
        <v>0</v>
      </c>
      <c r="AH33" s="33">
        <f t="shared" si="135"/>
        <v>0</v>
      </c>
      <c r="AI33" s="33">
        <f t="shared" si="136"/>
        <v>0</v>
      </c>
      <c r="AJ33" s="33">
        <f t="shared" si="137"/>
        <v>0</v>
      </c>
      <c r="AK33" s="33"/>
      <c r="AL33" s="33">
        <f t="shared" si="120"/>
        <v>0</v>
      </c>
      <c r="AM33" s="28"/>
      <c r="AN33" s="32"/>
      <c r="AO33" s="32"/>
      <c r="AP33" s="32"/>
      <c r="AQ33" s="33">
        <f t="shared" si="138"/>
        <v>0</v>
      </c>
      <c r="AR33" s="33">
        <f t="shared" si="139"/>
        <v>0</v>
      </c>
      <c r="AS33" s="33">
        <f t="shared" si="140"/>
        <v>0</v>
      </c>
      <c r="AT33" s="33">
        <f t="shared" si="141"/>
        <v>0</v>
      </c>
      <c r="AU33" s="33"/>
      <c r="AV33" s="33">
        <f t="shared" si="121"/>
        <v>0</v>
      </c>
      <c r="AW33" s="28"/>
      <c r="AX33" s="32"/>
      <c r="AY33" s="32"/>
      <c r="AZ33" s="32"/>
      <c r="BA33" s="33">
        <f t="shared" si="142"/>
        <v>0</v>
      </c>
      <c r="BB33" s="33">
        <f t="shared" si="143"/>
        <v>0</v>
      </c>
      <c r="BC33" s="33">
        <f t="shared" si="144"/>
        <v>0</v>
      </c>
      <c r="BD33" s="33">
        <f t="shared" si="145"/>
        <v>0</v>
      </c>
      <c r="BE33" s="33"/>
      <c r="BF33" s="33">
        <f t="shared" si="122"/>
        <v>0</v>
      </c>
      <c r="BG33" s="28"/>
      <c r="BH33" s="32"/>
      <c r="BI33" s="32"/>
      <c r="BJ33" s="32"/>
      <c r="BK33" s="28"/>
      <c r="BL33" s="32"/>
      <c r="BM33" s="32"/>
      <c r="BN33" s="32"/>
      <c r="BO33" s="28"/>
      <c r="BP33" s="28">
        <f t="shared" si="146"/>
        <v>0</v>
      </c>
      <c r="BQ33" s="28"/>
      <c r="BR33" s="32"/>
      <c r="BS33" s="32"/>
      <c r="BT33" s="32"/>
      <c r="BU33" s="32"/>
      <c r="BV33" s="32"/>
      <c r="BW33" s="32"/>
      <c r="BX33" s="32"/>
    </row>
    <row r="34" spans="1:76" x14ac:dyDescent="0.35">
      <c r="A34" s="32"/>
      <c r="B34" s="32"/>
      <c r="C34" s="32"/>
      <c r="D34" s="32"/>
      <c r="E34" s="54" t="str">
        <f t="shared" si="123"/>
        <v/>
      </c>
      <c r="F34" s="119"/>
      <c r="G34" s="32"/>
      <c r="H34" s="32"/>
      <c r="I34" s="98">
        <f t="shared" si="147"/>
        <v>0</v>
      </c>
      <c r="J34" s="35"/>
      <c r="K34" s="32"/>
      <c r="L34" s="32"/>
      <c r="M34" s="32"/>
      <c r="N34" s="33">
        <f t="shared" si="125"/>
        <v>0</v>
      </c>
      <c r="O34" s="33">
        <f t="shared" si="126"/>
        <v>0</v>
      </c>
      <c r="P34" s="33">
        <f t="shared" si="127"/>
        <v>0</v>
      </c>
      <c r="Q34" s="33">
        <f t="shared" si="128"/>
        <v>0</v>
      </c>
      <c r="R34" s="40"/>
      <c r="S34" s="16"/>
      <c r="T34" s="32"/>
      <c r="U34" s="32"/>
      <c r="V34" s="32"/>
      <c r="W34" s="33">
        <f t="shared" si="129"/>
        <v>0</v>
      </c>
      <c r="X34" s="33">
        <f t="shared" si="130"/>
        <v>0</v>
      </c>
      <c r="Y34" s="33">
        <f t="shared" si="131"/>
        <v>0</v>
      </c>
      <c r="Z34" s="33">
        <f t="shared" si="132"/>
        <v>0</v>
      </c>
      <c r="AA34" s="33"/>
      <c r="AB34" s="33">
        <f t="shared" si="133"/>
        <v>0</v>
      </c>
      <c r="AC34" s="26"/>
      <c r="AD34" s="32"/>
      <c r="AE34" s="32"/>
      <c r="AF34" s="32"/>
      <c r="AG34" s="33">
        <f t="shared" si="134"/>
        <v>0</v>
      </c>
      <c r="AH34" s="33">
        <f t="shared" si="135"/>
        <v>0</v>
      </c>
      <c r="AI34" s="33">
        <f t="shared" si="136"/>
        <v>0</v>
      </c>
      <c r="AJ34" s="33">
        <f t="shared" si="137"/>
        <v>0</v>
      </c>
      <c r="AK34" s="33"/>
      <c r="AL34" s="33">
        <f t="shared" si="120"/>
        <v>0</v>
      </c>
      <c r="AM34" s="28"/>
      <c r="AN34" s="32"/>
      <c r="AO34" s="32"/>
      <c r="AP34" s="32"/>
      <c r="AQ34" s="33">
        <f t="shared" si="138"/>
        <v>0</v>
      </c>
      <c r="AR34" s="33">
        <f t="shared" si="139"/>
        <v>0</v>
      </c>
      <c r="AS34" s="33">
        <f t="shared" si="140"/>
        <v>0</v>
      </c>
      <c r="AT34" s="33">
        <f t="shared" si="141"/>
        <v>0</v>
      </c>
      <c r="AU34" s="33"/>
      <c r="AV34" s="33">
        <f t="shared" si="121"/>
        <v>0</v>
      </c>
      <c r="AW34" s="28"/>
      <c r="AX34" s="32"/>
      <c r="AY34" s="32"/>
      <c r="AZ34" s="32"/>
      <c r="BA34" s="33">
        <f t="shared" si="142"/>
        <v>0</v>
      </c>
      <c r="BB34" s="33">
        <f t="shared" si="143"/>
        <v>0</v>
      </c>
      <c r="BC34" s="33">
        <f t="shared" si="144"/>
        <v>0</v>
      </c>
      <c r="BD34" s="33">
        <f t="shared" si="145"/>
        <v>0</v>
      </c>
      <c r="BE34" s="33"/>
      <c r="BF34" s="33">
        <f t="shared" si="122"/>
        <v>0</v>
      </c>
      <c r="BG34" s="28"/>
      <c r="BH34" s="32"/>
      <c r="BI34" s="32"/>
      <c r="BJ34" s="32"/>
      <c r="BK34" s="28"/>
      <c r="BL34" s="32"/>
      <c r="BM34" s="32"/>
      <c r="BN34" s="32"/>
      <c r="BO34" s="28"/>
      <c r="BP34" s="28">
        <f t="shared" si="146"/>
        <v>0</v>
      </c>
      <c r="BQ34" s="28"/>
      <c r="BR34" s="32"/>
      <c r="BS34" s="32"/>
      <c r="BT34" s="32"/>
      <c r="BU34" s="32"/>
      <c r="BV34" s="32"/>
      <c r="BW34" s="32"/>
      <c r="BX34" s="32"/>
    </row>
    <row r="35" spans="1:76" x14ac:dyDescent="0.35">
      <c r="A35" s="32"/>
      <c r="B35" s="32"/>
      <c r="C35" s="32"/>
      <c r="D35" s="32"/>
      <c r="E35" s="54" t="str">
        <f t="shared" si="123"/>
        <v/>
      </c>
      <c r="F35" s="119"/>
      <c r="G35" s="32"/>
      <c r="H35" s="32"/>
      <c r="I35" s="98">
        <f t="shared" si="147"/>
        <v>0</v>
      </c>
      <c r="J35" s="35"/>
      <c r="K35" s="32"/>
      <c r="L35" s="32"/>
      <c r="M35" s="32"/>
      <c r="N35" s="33">
        <f t="shared" si="125"/>
        <v>0</v>
      </c>
      <c r="O35" s="33">
        <f t="shared" si="126"/>
        <v>0</v>
      </c>
      <c r="P35" s="33">
        <f t="shared" si="127"/>
        <v>0</v>
      </c>
      <c r="Q35" s="33">
        <f t="shared" si="128"/>
        <v>0</v>
      </c>
      <c r="R35" s="40"/>
      <c r="S35" s="16"/>
      <c r="T35" s="32"/>
      <c r="U35" s="32"/>
      <c r="V35" s="32"/>
      <c r="W35" s="33">
        <f t="shared" si="129"/>
        <v>0</v>
      </c>
      <c r="X35" s="33">
        <f t="shared" si="130"/>
        <v>0</v>
      </c>
      <c r="Y35" s="33">
        <f t="shared" si="131"/>
        <v>0</v>
      </c>
      <c r="Z35" s="33">
        <f t="shared" si="132"/>
        <v>0</v>
      </c>
      <c r="AA35" s="33"/>
      <c r="AB35" s="33">
        <f t="shared" si="133"/>
        <v>0</v>
      </c>
      <c r="AC35" s="26"/>
      <c r="AD35" s="32"/>
      <c r="AE35" s="32"/>
      <c r="AF35" s="32"/>
      <c r="AG35" s="33">
        <f t="shared" si="134"/>
        <v>0</v>
      </c>
      <c r="AH35" s="33">
        <f t="shared" si="135"/>
        <v>0</v>
      </c>
      <c r="AI35" s="33">
        <f t="shared" si="136"/>
        <v>0</v>
      </c>
      <c r="AJ35" s="33">
        <f t="shared" si="137"/>
        <v>0</v>
      </c>
      <c r="AK35" s="33"/>
      <c r="AL35" s="33">
        <f t="shared" si="120"/>
        <v>0</v>
      </c>
      <c r="AM35" s="28"/>
      <c r="AN35" s="32"/>
      <c r="AO35" s="32"/>
      <c r="AP35" s="32"/>
      <c r="AQ35" s="33">
        <f t="shared" si="138"/>
        <v>0</v>
      </c>
      <c r="AR35" s="33">
        <f t="shared" si="139"/>
        <v>0</v>
      </c>
      <c r="AS35" s="33">
        <f t="shared" si="140"/>
        <v>0</v>
      </c>
      <c r="AT35" s="33">
        <f t="shared" si="141"/>
        <v>0</v>
      </c>
      <c r="AU35" s="33"/>
      <c r="AV35" s="33">
        <f t="shared" si="121"/>
        <v>0</v>
      </c>
      <c r="AW35" s="28"/>
      <c r="AX35" s="32"/>
      <c r="AY35" s="32"/>
      <c r="AZ35" s="32"/>
      <c r="BA35" s="33">
        <f>IF(AND(AY35&lt;=10,AZ35&lt;=10),AZ35-AY35,MAX(0,10-AY35))</f>
        <v>0</v>
      </c>
      <c r="BB35" s="33">
        <f>IF(AND(AY35&lt;=10,AZ35&gt;=20),10,IF(AND(AY35&gt;=10,AZ35&lt;=20),AZ35-AY35,IF(AND(AY35&lt;=10,AZ35&lt;=20,AZ35&gt;=10),AZ35-10,IF(AND(AY35&gt;=10,AZ35&gt;=20),MAX(0,20-AY35),0))))</f>
        <v>0</v>
      </c>
      <c r="BC35" s="33">
        <f>IF(AND(AY35&lt;=20,AZ35&gt;=30),10,IF(AND(AY35&gt;=20,AZ35&lt;=30),AZ35-AY35,IF(AND(AY35&lt;=20,AZ35&lt;=30,AZ35&gt;=20),AZ35-20,IF(AND(AY35&gt;=20,AZ35&gt;=30),30-AY35,0))))</f>
        <v>0</v>
      </c>
      <c r="BD35" s="33">
        <f>IF(AND(AY35&lt;=30,AZ35&gt;=40),10,IF(AND(AY35&gt;=30,AZ35&lt;=40),AZ35-AY35,IF(AND(AY35&lt;=30,AZ35&lt;=40,AZ35&gt;=30),AZ35-30,IF(AND(AY35&gt;=30,AZ35&gt;=40),40-AY35,0))))</f>
        <v>0</v>
      </c>
      <c r="BE35" s="33"/>
      <c r="BF35" s="33">
        <f>IF(AX35&gt;0, 1, 0)</f>
        <v>0</v>
      </c>
      <c r="BG35" s="28"/>
      <c r="BH35" s="32"/>
      <c r="BI35" s="32"/>
      <c r="BJ35" s="32"/>
      <c r="BK35" s="28"/>
      <c r="BL35" s="32"/>
      <c r="BM35" s="32"/>
      <c r="BN35" s="32"/>
      <c r="BO35" s="28"/>
      <c r="BP35" s="28">
        <f t="shared" si="146"/>
        <v>0</v>
      </c>
      <c r="BQ35" s="28"/>
      <c r="BR35" s="32"/>
      <c r="BS35" s="32"/>
      <c r="BT35" s="32"/>
      <c r="BU35" s="32"/>
      <c r="BV35" s="32"/>
      <c r="BW35" s="32"/>
      <c r="BX35" s="32"/>
    </row>
    <row r="36" spans="1:76" x14ac:dyDescent="0.35">
      <c r="A36" s="32"/>
      <c r="B36" s="32"/>
      <c r="C36" s="32"/>
      <c r="D36" s="32"/>
      <c r="E36" s="54" t="str">
        <f t="shared" si="123"/>
        <v/>
      </c>
      <c r="F36" s="119"/>
      <c r="G36" s="32"/>
      <c r="H36" s="32"/>
      <c r="I36" s="98">
        <f t="shared" si="147"/>
        <v>0</v>
      </c>
      <c r="J36" s="35"/>
      <c r="K36" s="32"/>
      <c r="L36" s="32"/>
      <c r="M36" s="32"/>
      <c r="N36" s="33">
        <f t="shared" si="125"/>
        <v>0</v>
      </c>
      <c r="O36" s="33">
        <f t="shared" si="126"/>
        <v>0</v>
      </c>
      <c r="P36" s="33">
        <f t="shared" si="127"/>
        <v>0</v>
      </c>
      <c r="Q36" s="33">
        <f t="shared" si="128"/>
        <v>0</v>
      </c>
      <c r="R36" s="40"/>
      <c r="S36" s="16"/>
      <c r="T36" s="32"/>
      <c r="U36" s="32"/>
      <c r="V36" s="32"/>
      <c r="W36" s="33">
        <f t="shared" si="129"/>
        <v>0</v>
      </c>
      <c r="X36" s="33">
        <f t="shared" si="130"/>
        <v>0</v>
      </c>
      <c r="Y36" s="33">
        <f t="shared" si="131"/>
        <v>0</v>
      </c>
      <c r="Z36" s="33">
        <f t="shared" si="132"/>
        <v>0</v>
      </c>
      <c r="AA36" s="33"/>
      <c r="AB36" s="33">
        <f t="shared" si="133"/>
        <v>0</v>
      </c>
      <c r="AC36" s="26"/>
      <c r="AD36" s="32"/>
      <c r="AE36" s="32"/>
      <c r="AF36" s="32"/>
      <c r="AG36" s="33">
        <f t="shared" si="134"/>
        <v>0</v>
      </c>
      <c r="AH36" s="33">
        <f t="shared" si="135"/>
        <v>0</v>
      </c>
      <c r="AI36" s="33">
        <f t="shared" si="136"/>
        <v>0</v>
      </c>
      <c r="AJ36" s="33">
        <f t="shared" si="137"/>
        <v>0</v>
      </c>
      <c r="AK36" s="33"/>
      <c r="AL36" s="33">
        <f t="shared" si="120"/>
        <v>0</v>
      </c>
      <c r="AM36" s="28"/>
      <c r="AN36" s="32"/>
      <c r="AO36" s="32"/>
      <c r="AP36" s="32"/>
      <c r="AQ36" s="33">
        <f t="shared" si="138"/>
        <v>0</v>
      </c>
      <c r="AR36" s="33">
        <f t="shared" si="139"/>
        <v>0</v>
      </c>
      <c r="AS36" s="33">
        <f t="shared" si="140"/>
        <v>0</v>
      </c>
      <c r="AT36" s="33">
        <f t="shared" si="141"/>
        <v>0</v>
      </c>
      <c r="AU36" s="33"/>
      <c r="AV36" s="33">
        <f t="shared" si="121"/>
        <v>0</v>
      </c>
      <c r="AW36" s="28"/>
      <c r="AX36" s="32"/>
      <c r="AY36" s="32"/>
      <c r="AZ36" s="32"/>
      <c r="BA36" s="33">
        <f t="shared" ref="BA36" si="148">IF(AND(AY36&lt;=10,AZ36&lt;=10),AZ36-AY36,MAX(0,10-AY36))</f>
        <v>0</v>
      </c>
      <c r="BB36" s="33">
        <f t="shared" ref="BB36" si="149">IF(AND(AY36&lt;=10,AZ36&gt;=20),10,IF(AND(AY36&gt;=10,AZ36&lt;=20),AZ36-AY36,IF(AND(AY36&lt;=10,AZ36&lt;=20,AZ36&gt;=10),AZ36-10,IF(AND(AY36&gt;=10,AZ36&gt;=20),MAX(0,20-AY36),0))))</f>
        <v>0</v>
      </c>
      <c r="BC36" s="33">
        <f t="shared" ref="BC36" si="150">IF(AND(AY36&lt;=20,AZ36&gt;=30),10,IF(AND(AY36&gt;=20,AZ36&lt;=30),AZ36-AY36,IF(AND(AY36&lt;=20,AZ36&lt;=30,AZ36&gt;=20),AZ36-20,IF(AND(AY36&gt;=20,AZ36&gt;=30),30-AY36,0))))</f>
        <v>0</v>
      </c>
      <c r="BD36" s="33">
        <f t="shared" ref="BD36" si="151">IF(AND(AY36&lt;=30,AZ36&gt;=40),10,IF(AND(AY36&gt;=30,AZ36&lt;=40),AZ36-AY36,IF(AND(AY36&lt;=30,AZ36&lt;=40,AZ36&gt;=30),AZ36-30,IF(AND(AY36&gt;=30,AZ36&gt;=40),40-AY36,0))))</f>
        <v>0</v>
      </c>
      <c r="BE36" s="33"/>
      <c r="BF36" s="33">
        <f t="shared" ref="BF36" si="152">IF(AX36&gt;0, 1, 0)</f>
        <v>0</v>
      </c>
      <c r="BG36" s="28"/>
      <c r="BH36" s="32"/>
      <c r="BI36" s="32"/>
      <c r="BJ36" s="32"/>
      <c r="BK36" s="28"/>
      <c r="BL36" s="32"/>
      <c r="BM36" s="32"/>
      <c r="BN36" s="32"/>
      <c r="BO36" s="28"/>
      <c r="BP36" s="28">
        <f t="shared" si="146"/>
        <v>0</v>
      </c>
      <c r="BQ36" s="28"/>
      <c r="BR36" s="149"/>
      <c r="BS36" s="149"/>
      <c r="BT36" s="149"/>
      <c r="BU36" s="149"/>
      <c r="BV36" s="149"/>
      <c r="BW36" s="149"/>
      <c r="BX36" s="149"/>
    </row>
    <row r="37" spans="1:76" x14ac:dyDescent="0.35">
      <c r="A37" s="32"/>
      <c r="B37" s="32"/>
      <c r="C37" s="32"/>
      <c r="D37" s="32"/>
      <c r="E37" s="54" t="str">
        <f t="shared" si="123"/>
        <v/>
      </c>
      <c r="F37" s="119"/>
      <c r="G37" s="32"/>
      <c r="H37" s="32"/>
      <c r="I37" s="98">
        <f t="shared" si="147"/>
        <v>0</v>
      </c>
      <c r="J37" s="35"/>
      <c r="K37" s="32"/>
      <c r="L37" s="32"/>
      <c r="M37" s="32"/>
      <c r="N37" s="33">
        <f t="shared" si="125"/>
        <v>0</v>
      </c>
      <c r="O37" s="33">
        <f t="shared" si="126"/>
        <v>0</v>
      </c>
      <c r="P37" s="33">
        <f t="shared" si="127"/>
        <v>0</v>
      </c>
      <c r="Q37" s="33">
        <f t="shared" si="128"/>
        <v>0</v>
      </c>
      <c r="R37" s="40"/>
      <c r="S37" s="16"/>
      <c r="T37" s="32"/>
      <c r="U37" s="32"/>
      <c r="V37" s="32"/>
      <c r="W37" s="33">
        <f t="shared" si="129"/>
        <v>0</v>
      </c>
      <c r="X37" s="33">
        <f t="shared" si="130"/>
        <v>0</v>
      </c>
      <c r="Y37" s="33">
        <f t="shared" si="131"/>
        <v>0</v>
      </c>
      <c r="Z37" s="33">
        <f t="shared" si="132"/>
        <v>0</v>
      </c>
      <c r="AA37" s="33"/>
      <c r="AB37" s="33">
        <f t="shared" si="133"/>
        <v>0</v>
      </c>
      <c r="AC37" s="26"/>
      <c r="AD37" s="32"/>
      <c r="AE37" s="32"/>
      <c r="AF37" s="32"/>
      <c r="AG37" s="33">
        <f t="shared" si="134"/>
        <v>0</v>
      </c>
      <c r="AH37" s="33">
        <f t="shared" si="135"/>
        <v>0</v>
      </c>
      <c r="AI37" s="33">
        <f t="shared" si="136"/>
        <v>0</v>
      </c>
      <c r="AJ37" s="33">
        <f t="shared" si="137"/>
        <v>0</v>
      </c>
      <c r="AK37" s="33"/>
      <c r="AL37" s="33">
        <f t="shared" si="120"/>
        <v>0</v>
      </c>
      <c r="AM37" s="28"/>
      <c r="AN37" s="32"/>
      <c r="AO37" s="32"/>
      <c r="AP37" s="32"/>
      <c r="AQ37" s="33">
        <f t="shared" si="138"/>
        <v>0</v>
      </c>
      <c r="AR37" s="33">
        <f t="shared" si="139"/>
        <v>0</v>
      </c>
      <c r="AS37" s="33">
        <f t="shared" si="140"/>
        <v>0</v>
      </c>
      <c r="AT37" s="33">
        <f t="shared" si="141"/>
        <v>0</v>
      </c>
      <c r="AU37" s="33"/>
      <c r="AV37" s="33">
        <f t="shared" si="121"/>
        <v>0</v>
      </c>
      <c r="AW37" s="28"/>
      <c r="AX37" s="32"/>
      <c r="AY37" s="32"/>
      <c r="AZ37" s="32"/>
      <c r="BA37" s="33">
        <f>IF(AND(AY37&lt;=10,AZ37&lt;=10),AZ37-AY37,MAX(0,10-AY37))</f>
        <v>0</v>
      </c>
      <c r="BB37" s="33">
        <f>IF(AND(AY37&lt;=10,AZ37&gt;=20),10,IF(AND(AY37&gt;=10,AZ37&lt;=20),AZ37-AY37,IF(AND(AY37&lt;=10,AZ37&lt;=20,AZ37&gt;=10),AZ37-10,IF(AND(AY37&gt;=10,AZ37&gt;=20),MAX(0,20-AY37),0))))</f>
        <v>0</v>
      </c>
      <c r="BC37" s="33">
        <f>IF(AND(AY37&lt;=20,AZ37&gt;=30),10,IF(AND(AY37&gt;=20,AZ37&lt;=30),AZ37-AY37,IF(AND(AY37&lt;=20,AZ37&lt;=30,AZ37&gt;=20),AZ37-20,IF(AND(AY37&gt;=20,AZ37&gt;=30),30-AY37,0))))</f>
        <v>0</v>
      </c>
      <c r="BD37" s="33">
        <f>IF(AND(AY37&lt;=30,AZ37&gt;=40),10,IF(AND(AY37&gt;=30,AZ37&lt;=40),AZ37-AY37,IF(AND(AY37&lt;=30,AZ37&lt;=40,AZ37&gt;=30),AZ37-30,IF(AND(AY37&gt;=30,AZ37&gt;=40),40-AY37,0))))</f>
        <v>0</v>
      </c>
      <c r="BE37" s="33"/>
      <c r="BF37" s="33">
        <f>IF(AX37&gt;0, 1, 0)</f>
        <v>0</v>
      </c>
      <c r="BG37" s="28"/>
      <c r="BH37" s="32"/>
      <c r="BI37" s="32"/>
      <c r="BJ37" s="32"/>
      <c r="BK37" s="28"/>
      <c r="BL37" s="32"/>
      <c r="BM37" s="32"/>
      <c r="BN37" s="32"/>
      <c r="BO37" s="28"/>
      <c r="BP37" s="28">
        <f t="shared" si="146"/>
        <v>0</v>
      </c>
      <c r="BQ37" s="28"/>
      <c r="BR37" s="32"/>
      <c r="BS37" s="32"/>
      <c r="BT37" s="32"/>
      <c r="BU37" s="32"/>
      <c r="BV37" s="32"/>
      <c r="BW37" s="32"/>
      <c r="BX37" s="32"/>
    </row>
    <row r="38" spans="1:76" x14ac:dyDescent="0.35">
      <c r="A38" s="32"/>
      <c r="B38" s="32"/>
      <c r="C38" s="32"/>
      <c r="D38" s="32"/>
      <c r="E38" s="54" t="str">
        <f t="shared" si="123"/>
        <v/>
      </c>
      <c r="F38" s="119"/>
      <c r="G38" s="32"/>
      <c r="H38" s="32"/>
      <c r="I38" s="98">
        <f t="shared" si="147"/>
        <v>0</v>
      </c>
      <c r="J38" s="35"/>
      <c r="K38" s="32"/>
      <c r="L38" s="32"/>
      <c r="M38" s="32"/>
      <c r="N38" s="33">
        <f t="shared" si="125"/>
        <v>0</v>
      </c>
      <c r="O38" s="33">
        <f t="shared" si="126"/>
        <v>0</v>
      </c>
      <c r="P38" s="33">
        <f t="shared" si="127"/>
        <v>0</v>
      </c>
      <c r="Q38" s="33">
        <f t="shared" si="128"/>
        <v>0</v>
      </c>
      <c r="R38" s="40"/>
      <c r="S38" s="16"/>
      <c r="T38" s="32"/>
      <c r="U38" s="32"/>
      <c r="V38" s="32"/>
      <c r="W38" s="33">
        <f t="shared" si="129"/>
        <v>0</v>
      </c>
      <c r="X38" s="33">
        <f t="shared" si="130"/>
        <v>0</v>
      </c>
      <c r="Y38" s="33">
        <f t="shared" si="131"/>
        <v>0</v>
      </c>
      <c r="Z38" s="33">
        <f t="shared" si="132"/>
        <v>0</v>
      </c>
      <c r="AA38" s="33"/>
      <c r="AB38" s="33">
        <f t="shared" si="133"/>
        <v>0</v>
      </c>
      <c r="AC38" s="26"/>
      <c r="AD38" s="32"/>
      <c r="AE38" s="32"/>
      <c r="AF38" s="32"/>
      <c r="AG38" s="33">
        <f t="shared" si="134"/>
        <v>0</v>
      </c>
      <c r="AH38" s="33">
        <f t="shared" si="135"/>
        <v>0</v>
      </c>
      <c r="AI38" s="33">
        <f t="shared" si="136"/>
        <v>0</v>
      </c>
      <c r="AJ38" s="33">
        <f t="shared" si="137"/>
        <v>0</v>
      </c>
      <c r="AK38" s="33"/>
      <c r="AL38" s="33">
        <f t="shared" si="120"/>
        <v>0</v>
      </c>
      <c r="AM38" s="28"/>
      <c r="AN38" s="32"/>
      <c r="AO38" s="32"/>
      <c r="AP38" s="32"/>
      <c r="AQ38" s="33">
        <f t="shared" si="138"/>
        <v>0</v>
      </c>
      <c r="AR38" s="33">
        <f t="shared" si="139"/>
        <v>0</v>
      </c>
      <c r="AS38" s="33">
        <f t="shared" si="140"/>
        <v>0</v>
      </c>
      <c r="AT38" s="33">
        <f t="shared" si="141"/>
        <v>0</v>
      </c>
      <c r="AU38" s="33"/>
      <c r="AV38" s="33">
        <f t="shared" si="121"/>
        <v>0</v>
      </c>
      <c r="AW38" s="28"/>
      <c r="AX38" s="32"/>
      <c r="AY38" s="32"/>
      <c r="AZ38" s="32"/>
      <c r="BA38" s="33">
        <f t="shared" ref="BA38:BA53" si="153">IF(AND(AY38&lt;=10,AZ38&lt;=10),AZ38-AY38,MAX(0,10-AY38))</f>
        <v>0</v>
      </c>
      <c r="BB38" s="33">
        <f t="shared" ref="BB38:BB53" si="154">IF(AND(AY38&lt;=10,AZ38&gt;=20),10,IF(AND(AY38&gt;=10,AZ38&lt;=20),AZ38-AY38,IF(AND(AY38&lt;=10,AZ38&lt;=20,AZ38&gt;=10),AZ38-10,IF(AND(AY38&gt;=10,AZ38&gt;=20),MAX(0,20-AY38),0))))</f>
        <v>0</v>
      </c>
      <c r="BC38" s="33">
        <f t="shared" ref="BC38:BC53" si="155">IF(AND(AY38&lt;=20,AZ38&gt;=30),10,IF(AND(AY38&gt;=20,AZ38&lt;=30),AZ38-AY38,IF(AND(AY38&lt;=20,AZ38&lt;=30,AZ38&gt;=20),AZ38-20,IF(AND(AY38&gt;=20,AZ38&gt;=30),30-AY38,0))))</f>
        <v>0</v>
      </c>
      <c r="BD38" s="33">
        <f t="shared" ref="BD38:BD53" si="156">IF(AND(AY38&lt;=30,AZ38&gt;=40),10,IF(AND(AY38&gt;=30,AZ38&lt;=40),AZ38-AY38,IF(AND(AY38&lt;=30,AZ38&lt;=40,AZ38&gt;=30),AZ38-30,IF(AND(AY38&gt;=30,AZ38&gt;=40),40-AY38,0))))</f>
        <v>0</v>
      </c>
      <c r="BE38" s="33"/>
      <c r="BF38" s="33">
        <f t="shared" ref="BF38:BF53" si="157">IF(AX38&gt;0, 1, 0)</f>
        <v>0</v>
      </c>
      <c r="BG38" s="28"/>
      <c r="BH38" s="32"/>
      <c r="BI38" s="32"/>
      <c r="BJ38" s="32"/>
      <c r="BK38" s="28"/>
      <c r="BL38" s="32"/>
      <c r="BM38" s="32"/>
      <c r="BN38" s="32"/>
      <c r="BO38" s="28"/>
      <c r="BP38" s="28">
        <f t="shared" si="146"/>
        <v>0</v>
      </c>
      <c r="BQ38" s="28"/>
      <c r="BR38" s="149"/>
      <c r="BS38" s="149"/>
      <c r="BT38" s="149"/>
      <c r="BU38" s="149"/>
      <c r="BV38" s="149"/>
      <c r="BW38" s="149"/>
      <c r="BX38" s="149"/>
    </row>
    <row r="39" spans="1:76" x14ac:dyDescent="0.35">
      <c r="A39" s="32"/>
      <c r="B39" s="32"/>
      <c r="C39" s="32"/>
      <c r="D39" s="32"/>
      <c r="E39" s="54" t="str">
        <f t="shared" si="123"/>
        <v/>
      </c>
      <c r="F39" s="119"/>
      <c r="G39" s="32"/>
      <c r="H39" s="32"/>
      <c r="I39" s="98">
        <f t="shared" si="147"/>
        <v>0</v>
      </c>
      <c r="J39" s="35"/>
      <c r="K39" s="32"/>
      <c r="L39" s="32"/>
      <c r="M39" s="32"/>
      <c r="N39" s="33">
        <f>IF(AND(L39&lt;=10,M39&lt;=10),M39-L39,MAX(0,10-L39))</f>
        <v>0</v>
      </c>
      <c r="O39" s="33">
        <f>IF(AND(L39&lt;=10,M39&gt;=20),10,IF(AND(L39&gt;=10,M39&lt;=20),M39-L39,IF(AND(L39&lt;=10,M39&lt;=20,M39&gt;=10),M39-10,IF(AND(L39&gt;=10,M39&gt;=20),MAX(0,20-L39),0))))</f>
        <v>0</v>
      </c>
      <c r="P39" s="33">
        <f>IF(AND(L39&lt;=20,M39&gt;=30),10,IF(AND(L39&gt;=20,M39&lt;=30),M39-L39,IF(AND(L39&lt;=20,M39&lt;=30,M39&gt;=20),M39-20,IF(AND(L39&gt;=20,M39&gt;=30),30-L39,0))))</f>
        <v>0</v>
      </c>
      <c r="Q39" s="33">
        <f>IF(AND(L39&lt;=30,M39&gt;=40),10,IF(AND(L39&gt;=30,M39&lt;=40),M39-L39,IF(AND(L39&lt;=30,M39&lt;=40,M39&gt;=30),M39-30,IF(AND(L39&gt;=30,M39&gt;=40),40-L39,0))))</f>
        <v>0</v>
      </c>
      <c r="R39" s="40"/>
      <c r="S39" s="16"/>
      <c r="T39" s="32"/>
      <c r="U39" s="32"/>
      <c r="V39" s="32"/>
      <c r="W39" s="33">
        <f t="shared" si="129"/>
        <v>0</v>
      </c>
      <c r="X39" s="33">
        <f t="shared" si="130"/>
        <v>0</v>
      </c>
      <c r="Y39" s="33">
        <f t="shared" si="131"/>
        <v>0</v>
      </c>
      <c r="Z39" s="33">
        <f t="shared" si="132"/>
        <v>0</v>
      </c>
      <c r="AA39" s="33"/>
      <c r="AB39" s="33">
        <f t="shared" si="133"/>
        <v>0</v>
      </c>
      <c r="AC39" s="26"/>
      <c r="AD39" s="32"/>
      <c r="AE39" s="32"/>
      <c r="AF39" s="32"/>
      <c r="AG39" s="33">
        <f t="shared" si="134"/>
        <v>0</v>
      </c>
      <c r="AH39" s="33">
        <f t="shared" si="135"/>
        <v>0</v>
      </c>
      <c r="AI39" s="33">
        <f t="shared" si="136"/>
        <v>0</v>
      </c>
      <c r="AJ39" s="33">
        <f t="shared" si="137"/>
        <v>0</v>
      </c>
      <c r="AK39" s="33"/>
      <c r="AL39" s="33">
        <f t="shared" si="120"/>
        <v>0</v>
      </c>
      <c r="AM39" s="28"/>
      <c r="AN39" s="32"/>
      <c r="AO39" s="32"/>
      <c r="AP39" s="32"/>
      <c r="AQ39" s="33">
        <f t="shared" si="138"/>
        <v>0</v>
      </c>
      <c r="AR39" s="33">
        <f t="shared" si="139"/>
        <v>0</v>
      </c>
      <c r="AS39" s="33">
        <f t="shared" si="140"/>
        <v>0</v>
      </c>
      <c r="AT39" s="33">
        <f t="shared" si="141"/>
        <v>0</v>
      </c>
      <c r="AU39" s="33"/>
      <c r="AV39" s="33">
        <f t="shared" si="121"/>
        <v>0</v>
      </c>
      <c r="AW39" s="28"/>
      <c r="AX39" s="32"/>
      <c r="AY39" s="32"/>
      <c r="AZ39" s="32"/>
      <c r="BA39" s="33">
        <f t="shared" si="153"/>
        <v>0</v>
      </c>
      <c r="BB39" s="33">
        <f t="shared" si="154"/>
        <v>0</v>
      </c>
      <c r="BC39" s="33">
        <f t="shared" si="155"/>
        <v>0</v>
      </c>
      <c r="BD39" s="33">
        <f t="shared" si="156"/>
        <v>0</v>
      </c>
      <c r="BE39" s="33"/>
      <c r="BF39" s="33">
        <f t="shared" si="157"/>
        <v>0</v>
      </c>
      <c r="BG39" s="28"/>
      <c r="BH39" s="32"/>
      <c r="BI39" s="32"/>
      <c r="BJ39" s="32"/>
      <c r="BK39" s="28"/>
      <c r="BL39" s="32"/>
      <c r="BM39" s="32"/>
      <c r="BN39" s="32"/>
      <c r="BO39" s="28"/>
      <c r="BP39" s="28">
        <f t="shared" si="146"/>
        <v>0</v>
      </c>
      <c r="BQ39" s="28"/>
      <c r="BR39" s="32"/>
      <c r="BS39" s="32"/>
      <c r="BT39" s="32"/>
      <c r="BU39" s="32"/>
      <c r="BV39" s="32"/>
      <c r="BW39" s="32"/>
      <c r="BX39" s="32"/>
    </row>
    <row r="40" spans="1:76" x14ac:dyDescent="0.35">
      <c r="A40" s="32"/>
      <c r="B40" s="32"/>
      <c r="C40" s="32"/>
      <c r="D40" s="32"/>
      <c r="E40" s="54" t="str">
        <f t="shared" si="123"/>
        <v/>
      </c>
      <c r="F40" s="119"/>
      <c r="G40" s="32"/>
      <c r="H40" s="32"/>
      <c r="I40" s="98">
        <f t="shared" si="147"/>
        <v>0</v>
      </c>
      <c r="J40" s="35"/>
      <c r="K40" s="32"/>
      <c r="L40" s="32"/>
      <c r="M40" s="32"/>
      <c r="N40" s="33">
        <f>IF(AND(L40&lt;=10,M40&lt;=10),M40-L40,MAX(0,10-L40))</f>
        <v>0</v>
      </c>
      <c r="O40" s="33">
        <f>IF(AND(L40&lt;=10,M40&gt;=20),10,IF(AND(L40&gt;=10,M40&lt;=20),M40-L40,IF(AND(L40&lt;=10,M40&lt;=20,M40&gt;=10),M40-10,IF(AND(L40&gt;=10,M40&gt;=20),MAX(0,20-L40),0))))</f>
        <v>0</v>
      </c>
      <c r="P40" s="33">
        <f>IF(AND(L40&lt;=20,M40&gt;=30),10,IF(AND(L40&gt;=20,M40&lt;=30),M40-L40,IF(AND(L40&lt;=20,M40&lt;=30,M40&gt;=20),M40-20,IF(AND(L40&gt;=20,M40&gt;=30),30-L40,0))))</f>
        <v>0</v>
      </c>
      <c r="Q40" s="33">
        <f>IF(AND(L40&lt;=30,M40&gt;=40),10,IF(AND(L40&gt;=30,M40&lt;=40),M40-L40,IF(AND(L40&lt;=30,M40&lt;=40,M40&gt;=30),M40-30,IF(AND(L40&gt;=30,M40&gt;=40),40-L40,0))))</f>
        <v>0</v>
      </c>
      <c r="R40" s="40"/>
      <c r="S40" s="16"/>
      <c r="T40" s="32"/>
      <c r="U40" s="32"/>
      <c r="V40" s="32"/>
      <c r="W40" s="33">
        <f t="shared" si="129"/>
        <v>0</v>
      </c>
      <c r="X40" s="33">
        <f t="shared" si="130"/>
        <v>0</v>
      </c>
      <c r="Y40" s="33">
        <f t="shared" si="131"/>
        <v>0</v>
      </c>
      <c r="Z40" s="33">
        <f t="shared" si="132"/>
        <v>0</v>
      </c>
      <c r="AA40" s="33"/>
      <c r="AB40" s="33">
        <f t="shared" si="133"/>
        <v>0</v>
      </c>
      <c r="AC40" s="26"/>
      <c r="AD40" s="32"/>
      <c r="AE40" s="32"/>
      <c r="AF40" s="32"/>
      <c r="AG40" s="33">
        <f t="shared" si="134"/>
        <v>0</v>
      </c>
      <c r="AH40" s="33">
        <f t="shared" si="135"/>
        <v>0</v>
      </c>
      <c r="AI40" s="33">
        <f t="shared" si="136"/>
        <v>0</v>
      </c>
      <c r="AJ40" s="33">
        <f t="shared" si="137"/>
        <v>0</v>
      </c>
      <c r="AK40" s="33"/>
      <c r="AL40" s="33">
        <f t="shared" si="120"/>
        <v>0</v>
      </c>
      <c r="AM40" s="28"/>
      <c r="AN40" s="32"/>
      <c r="AO40" s="32"/>
      <c r="AP40" s="32"/>
      <c r="AQ40" s="33">
        <f t="shared" si="138"/>
        <v>0</v>
      </c>
      <c r="AR40" s="33">
        <f t="shared" si="139"/>
        <v>0</v>
      </c>
      <c r="AS40" s="33">
        <f t="shared" si="140"/>
        <v>0</v>
      </c>
      <c r="AT40" s="33">
        <f t="shared" si="141"/>
        <v>0</v>
      </c>
      <c r="AU40" s="33"/>
      <c r="AV40" s="33">
        <f t="shared" si="121"/>
        <v>0</v>
      </c>
      <c r="AW40" s="28"/>
      <c r="AX40" s="32"/>
      <c r="AY40" s="32"/>
      <c r="AZ40" s="32"/>
      <c r="BA40" s="33">
        <f t="shared" si="153"/>
        <v>0</v>
      </c>
      <c r="BB40" s="33">
        <f t="shared" si="154"/>
        <v>0</v>
      </c>
      <c r="BC40" s="33">
        <f t="shared" si="155"/>
        <v>0</v>
      </c>
      <c r="BD40" s="33">
        <f t="shared" si="156"/>
        <v>0</v>
      </c>
      <c r="BE40" s="33"/>
      <c r="BF40" s="33">
        <f t="shared" si="157"/>
        <v>0</v>
      </c>
      <c r="BG40" s="28"/>
      <c r="BH40" s="32"/>
      <c r="BI40" s="32"/>
      <c r="BJ40" s="32"/>
      <c r="BK40" s="28"/>
      <c r="BL40" s="32"/>
      <c r="BM40" s="32"/>
      <c r="BN40" s="32"/>
      <c r="BO40" s="28"/>
      <c r="BP40" s="28">
        <f t="shared" si="146"/>
        <v>0</v>
      </c>
      <c r="BQ40" s="28"/>
      <c r="BR40" s="32"/>
      <c r="BS40" s="32"/>
      <c r="BT40" s="32"/>
      <c r="BU40" s="32"/>
      <c r="BV40" s="32"/>
      <c r="BW40" s="32"/>
      <c r="BX40" s="32"/>
    </row>
    <row r="41" spans="1:76" x14ac:dyDescent="0.35">
      <c r="A41" s="32"/>
      <c r="B41" s="32"/>
      <c r="C41" s="32"/>
      <c r="D41" s="32"/>
      <c r="E41" s="54" t="str">
        <f t="shared" si="123"/>
        <v/>
      </c>
      <c r="F41" s="119"/>
      <c r="G41" s="32"/>
      <c r="H41" s="32"/>
      <c r="I41" s="98">
        <f t="shared" si="147"/>
        <v>0</v>
      </c>
      <c r="J41" s="35"/>
      <c r="K41" s="32"/>
      <c r="L41" s="32"/>
      <c r="M41" s="32"/>
      <c r="N41" s="33">
        <f t="shared" ref="N41:N53" si="158">IF(AND(L41&lt;=10,M41&lt;=10),M41-L41,MAX(0,10-L41))</f>
        <v>0</v>
      </c>
      <c r="O41" s="33">
        <f t="shared" ref="O41:O53" si="159">IF(AND(L41&lt;=10,M41&gt;=20),10,IF(AND(L41&gt;=10,M41&lt;=20),M41-L41,IF(AND(L41&lt;=10,M41&lt;=20,M41&gt;=10),M41-10,IF(AND(L41&gt;=10,M41&gt;=20),MAX(0,20-L41),0))))</f>
        <v>0</v>
      </c>
      <c r="P41" s="33">
        <f t="shared" ref="P41:P53" si="160">IF(AND(L41&lt;=20,M41&gt;=30),10,IF(AND(L41&gt;=20,M41&lt;=30),M41-L41,IF(AND(L41&lt;=20,M41&lt;=30,M41&gt;=20),M41-20,IF(AND(L41&gt;=20,M41&gt;=30),30-L41,0))))</f>
        <v>0</v>
      </c>
      <c r="Q41" s="33">
        <f t="shared" ref="Q41:Q53" si="161">IF(AND(L41&lt;=30,M41&gt;=40),10,IF(AND(L41&gt;=30,M41&lt;=40),M41-L41,IF(AND(L41&lt;=30,M41&lt;=40,M41&gt;=30),M41-30,IF(AND(L41&gt;=30,M41&gt;=40),40-L41,0))))</f>
        <v>0</v>
      </c>
      <c r="R41" s="40"/>
      <c r="S41" s="16"/>
      <c r="T41" s="32"/>
      <c r="U41" s="32"/>
      <c r="V41" s="32"/>
      <c r="W41" s="33">
        <f t="shared" si="129"/>
        <v>0</v>
      </c>
      <c r="X41" s="33">
        <f t="shared" si="130"/>
        <v>0</v>
      </c>
      <c r="Y41" s="33">
        <f t="shared" si="131"/>
        <v>0</v>
      </c>
      <c r="Z41" s="33">
        <f t="shared" si="132"/>
        <v>0</v>
      </c>
      <c r="AA41" s="33"/>
      <c r="AB41" s="33">
        <f t="shared" si="133"/>
        <v>0</v>
      </c>
      <c r="AC41" s="26"/>
      <c r="AD41" s="32"/>
      <c r="AE41" s="32"/>
      <c r="AF41" s="32"/>
      <c r="AG41" s="33">
        <f t="shared" si="134"/>
        <v>0</v>
      </c>
      <c r="AH41" s="33">
        <f t="shared" si="135"/>
        <v>0</v>
      </c>
      <c r="AI41" s="33">
        <f t="shared" si="136"/>
        <v>0</v>
      </c>
      <c r="AJ41" s="33">
        <f t="shared" si="137"/>
        <v>0</v>
      </c>
      <c r="AK41" s="33"/>
      <c r="AL41" s="33">
        <f t="shared" si="120"/>
        <v>0</v>
      </c>
      <c r="AM41" s="28"/>
      <c r="AN41" s="32"/>
      <c r="AO41" s="32"/>
      <c r="AP41" s="32"/>
      <c r="AQ41" s="33">
        <f t="shared" si="138"/>
        <v>0</v>
      </c>
      <c r="AR41" s="33">
        <f t="shared" si="139"/>
        <v>0</v>
      </c>
      <c r="AS41" s="33">
        <f t="shared" si="140"/>
        <v>0</v>
      </c>
      <c r="AT41" s="33">
        <f t="shared" si="141"/>
        <v>0</v>
      </c>
      <c r="AU41" s="33"/>
      <c r="AV41" s="33">
        <f t="shared" si="121"/>
        <v>0</v>
      </c>
      <c r="AW41" s="28"/>
      <c r="AX41" s="32"/>
      <c r="AY41" s="32"/>
      <c r="AZ41" s="32"/>
      <c r="BA41" s="33">
        <f t="shared" si="153"/>
        <v>0</v>
      </c>
      <c r="BB41" s="33">
        <f t="shared" si="154"/>
        <v>0</v>
      </c>
      <c r="BC41" s="33">
        <f t="shared" si="155"/>
        <v>0</v>
      </c>
      <c r="BD41" s="33">
        <f t="shared" si="156"/>
        <v>0</v>
      </c>
      <c r="BE41" s="33"/>
      <c r="BF41" s="33">
        <f t="shared" si="157"/>
        <v>0</v>
      </c>
      <c r="BG41" s="28"/>
      <c r="BH41" s="32"/>
      <c r="BI41" s="32"/>
      <c r="BJ41" s="32"/>
      <c r="BK41" s="28"/>
      <c r="BL41" s="32"/>
      <c r="BM41" s="32"/>
      <c r="BN41" s="32"/>
      <c r="BO41" s="28"/>
      <c r="BP41" s="28">
        <f t="shared" si="146"/>
        <v>0</v>
      </c>
      <c r="BQ41" s="28"/>
      <c r="BR41" s="32"/>
      <c r="BS41" s="32"/>
      <c r="BT41" s="32"/>
      <c r="BU41" s="32"/>
      <c r="BV41" s="32"/>
      <c r="BW41" s="32"/>
      <c r="BX41" s="32"/>
    </row>
    <row r="42" spans="1:76" x14ac:dyDescent="0.35">
      <c r="A42" s="32"/>
      <c r="B42" s="32"/>
      <c r="C42" s="32"/>
      <c r="D42" s="32"/>
      <c r="E42" s="54" t="str">
        <f t="shared" si="123"/>
        <v/>
      </c>
      <c r="F42" s="119"/>
      <c r="G42" s="32"/>
      <c r="H42" s="32"/>
      <c r="I42" s="98">
        <f t="shared" si="147"/>
        <v>0</v>
      </c>
      <c r="J42" s="35"/>
      <c r="K42" s="32"/>
      <c r="L42" s="32"/>
      <c r="M42" s="32"/>
      <c r="N42" s="33">
        <f t="shared" si="158"/>
        <v>0</v>
      </c>
      <c r="O42" s="33">
        <f t="shared" si="159"/>
        <v>0</v>
      </c>
      <c r="P42" s="33">
        <f t="shared" si="160"/>
        <v>0</v>
      </c>
      <c r="Q42" s="33">
        <f t="shared" si="161"/>
        <v>0</v>
      </c>
      <c r="R42" s="40"/>
      <c r="S42" s="16"/>
      <c r="T42" s="32"/>
      <c r="U42" s="32"/>
      <c r="V42" s="32"/>
      <c r="W42" s="33">
        <f t="shared" si="129"/>
        <v>0</v>
      </c>
      <c r="X42" s="33">
        <f t="shared" si="130"/>
        <v>0</v>
      </c>
      <c r="Y42" s="33">
        <f t="shared" si="131"/>
        <v>0</v>
      </c>
      <c r="Z42" s="33">
        <f t="shared" si="132"/>
        <v>0</v>
      </c>
      <c r="AA42" s="33"/>
      <c r="AB42" s="33">
        <f t="shared" si="133"/>
        <v>0</v>
      </c>
      <c r="AC42" s="26"/>
      <c r="AD42" s="32"/>
      <c r="AE42" s="32"/>
      <c r="AF42" s="32"/>
      <c r="AG42" s="33">
        <f t="shared" si="134"/>
        <v>0</v>
      </c>
      <c r="AH42" s="33">
        <f t="shared" si="135"/>
        <v>0</v>
      </c>
      <c r="AI42" s="33">
        <f t="shared" si="136"/>
        <v>0</v>
      </c>
      <c r="AJ42" s="33">
        <f t="shared" si="137"/>
        <v>0</v>
      </c>
      <c r="AK42" s="33"/>
      <c r="AL42" s="33">
        <f t="shared" si="120"/>
        <v>0</v>
      </c>
      <c r="AM42" s="28"/>
      <c r="AN42" s="32"/>
      <c r="AO42" s="32"/>
      <c r="AP42" s="32"/>
      <c r="AQ42" s="33">
        <f t="shared" si="138"/>
        <v>0</v>
      </c>
      <c r="AR42" s="33">
        <f t="shared" si="139"/>
        <v>0</v>
      </c>
      <c r="AS42" s="33">
        <f t="shared" si="140"/>
        <v>0</v>
      </c>
      <c r="AT42" s="33">
        <f t="shared" si="141"/>
        <v>0</v>
      </c>
      <c r="AU42" s="33"/>
      <c r="AV42" s="33">
        <f t="shared" si="121"/>
        <v>0</v>
      </c>
      <c r="AW42" s="28"/>
      <c r="AX42" s="32"/>
      <c r="AY42" s="32"/>
      <c r="AZ42" s="32"/>
      <c r="BA42" s="33">
        <f t="shared" si="153"/>
        <v>0</v>
      </c>
      <c r="BB42" s="33">
        <f t="shared" si="154"/>
        <v>0</v>
      </c>
      <c r="BC42" s="33">
        <f t="shared" si="155"/>
        <v>0</v>
      </c>
      <c r="BD42" s="33">
        <f t="shared" si="156"/>
        <v>0</v>
      </c>
      <c r="BE42" s="33"/>
      <c r="BF42" s="33">
        <f t="shared" si="157"/>
        <v>0</v>
      </c>
      <c r="BG42" s="28"/>
      <c r="BH42" s="32"/>
      <c r="BI42" s="32"/>
      <c r="BJ42" s="32"/>
      <c r="BK42" s="28"/>
      <c r="BL42" s="32"/>
      <c r="BM42" s="32"/>
      <c r="BN42" s="32"/>
      <c r="BO42" s="28"/>
      <c r="BP42" s="28">
        <f t="shared" si="146"/>
        <v>0</v>
      </c>
      <c r="BQ42" s="28"/>
      <c r="BR42" s="149"/>
      <c r="BS42" s="149"/>
      <c r="BT42" s="149"/>
      <c r="BU42" s="149"/>
      <c r="BV42" s="149"/>
      <c r="BW42" s="149"/>
      <c r="BX42" s="149"/>
    </row>
    <row r="43" spans="1:76" x14ac:dyDescent="0.35">
      <c r="A43" s="32"/>
      <c r="B43" s="32"/>
      <c r="C43" s="32"/>
      <c r="D43" s="32"/>
      <c r="E43" s="54" t="str">
        <f t="shared" si="123"/>
        <v/>
      </c>
      <c r="F43" s="119"/>
      <c r="G43" s="32"/>
      <c r="H43" s="32"/>
      <c r="I43" s="98">
        <f t="shared" si="147"/>
        <v>0</v>
      </c>
      <c r="J43" s="35"/>
      <c r="K43" s="32"/>
      <c r="L43" s="32"/>
      <c r="M43" s="32"/>
      <c r="N43" s="33">
        <f t="shared" si="158"/>
        <v>0</v>
      </c>
      <c r="O43" s="33">
        <f t="shared" si="159"/>
        <v>0</v>
      </c>
      <c r="P43" s="33">
        <f t="shared" si="160"/>
        <v>0</v>
      </c>
      <c r="Q43" s="33">
        <f t="shared" si="161"/>
        <v>0</v>
      </c>
      <c r="R43" s="40"/>
      <c r="S43" s="16"/>
      <c r="T43" s="32"/>
      <c r="U43" s="32"/>
      <c r="V43" s="32"/>
      <c r="W43" s="33">
        <f t="shared" si="129"/>
        <v>0</v>
      </c>
      <c r="X43" s="33">
        <f t="shared" si="130"/>
        <v>0</v>
      </c>
      <c r="Y43" s="33">
        <f t="shared" si="131"/>
        <v>0</v>
      </c>
      <c r="Z43" s="33">
        <f t="shared" si="132"/>
        <v>0</v>
      </c>
      <c r="AA43" s="33"/>
      <c r="AB43" s="33">
        <f t="shared" si="133"/>
        <v>0</v>
      </c>
      <c r="AC43" s="26"/>
      <c r="AD43" s="32"/>
      <c r="AE43" s="32"/>
      <c r="AF43" s="32"/>
      <c r="AG43" s="33">
        <f t="shared" si="134"/>
        <v>0</v>
      </c>
      <c r="AH43" s="33">
        <f t="shared" si="135"/>
        <v>0</v>
      </c>
      <c r="AI43" s="33">
        <f t="shared" si="136"/>
        <v>0</v>
      </c>
      <c r="AJ43" s="33">
        <f t="shared" si="137"/>
        <v>0</v>
      </c>
      <c r="AK43" s="33"/>
      <c r="AL43" s="33">
        <f t="shared" si="120"/>
        <v>0</v>
      </c>
      <c r="AM43" s="28"/>
      <c r="AN43" s="32"/>
      <c r="AO43" s="32"/>
      <c r="AP43" s="32"/>
      <c r="AQ43" s="33">
        <f t="shared" si="138"/>
        <v>0</v>
      </c>
      <c r="AR43" s="33">
        <f t="shared" si="139"/>
        <v>0</v>
      </c>
      <c r="AS43" s="33">
        <f t="shared" si="140"/>
        <v>0</v>
      </c>
      <c r="AT43" s="33">
        <f t="shared" si="141"/>
        <v>0</v>
      </c>
      <c r="AU43" s="33"/>
      <c r="AV43" s="33">
        <f t="shared" si="121"/>
        <v>0</v>
      </c>
      <c r="AW43" s="28"/>
      <c r="AX43" s="32"/>
      <c r="AY43" s="32"/>
      <c r="AZ43" s="32"/>
      <c r="BA43" s="33">
        <f t="shared" si="153"/>
        <v>0</v>
      </c>
      <c r="BB43" s="33">
        <f t="shared" si="154"/>
        <v>0</v>
      </c>
      <c r="BC43" s="33">
        <f t="shared" si="155"/>
        <v>0</v>
      </c>
      <c r="BD43" s="33">
        <f t="shared" si="156"/>
        <v>0</v>
      </c>
      <c r="BE43" s="33"/>
      <c r="BF43" s="33">
        <f t="shared" si="157"/>
        <v>0</v>
      </c>
      <c r="BG43" s="28"/>
      <c r="BH43" s="32"/>
      <c r="BI43" s="32"/>
      <c r="BJ43" s="32"/>
      <c r="BK43" s="28"/>
      <c r="BL43" s="32"/>
      <c r="BM43" s="32"/>
      <c r="BN43" s="32"/>
      <c r="BO43" s="28"/>
      <c r="BP43" s="28">
        <f t="shared" si="146"/>
        <v>0</v>
      </c>
      <c r="BQ43" s="28"/>
      <c r="BR43" s="32"/>
      <c r="BS43" s="32"/>
      <c r="BT43" s="32"/>
      <c r="BU43" s="32"/>
      <c r="BV43" s="32"/>
      <c r="BW43" s="32"/>
      <c r="BX43" s="32"/>
    </row>
    <row r="44" spans="1:76" x14ac:dyDescent="0.35">
      <c r="A44" s="32"/>
      <c r="B44" s="32"/>
      <c r="C44" s="32"/>
      <c r="D44" s="32"/>
      <c r="E44" s="54" t="str">
        <f t="shared" si="123"/>
        <v/>
      </c>
      <c r="F44" s="119"/>
      <c r="G44" s="32"/>
      <c r="H44" s="32"/>
      <c r="I44" s="98">
        <f t="shared" si="147"/>
        <v>0</v>
      </c>
      <c r="J44" s="35"/>
      <c r="K44" s="32"/>
      <c r="L44" s="32"/>
      <c r="M44" s="32"/>
      <c r="N44" s="33">
        <f t="shared" si="158"/>
        <v>0</v>
      </c>
      <c r="O44" s="33">
        <f t="shared" si="159"/>
        <v>0</v>
      </c>
      <c r="P44" s="33">
        <f t="shared" si="160"/>
        <v>0</v>
      </c>
      <c r="Q44" s="33">
        <f t="shared" si="161"/>
        <v>0</v>
      </c>
      <c r="R44" s="40"/>
      <c r="S44" s="16"/>
      <c r="T44" s="32"/>
      <c r="U44" s="32"/>
      <c r="V44" s="32"/>
      <c r="W44" s="33">
        <f t="shared" si="129"/>
        <v>0</v>
      </c>
      <c r="X44" s="33">
        <f t="shared" si="130"/>
        <v>0</v>
      </c>
      <c r="Y44" s="33">
        <f t="shared" si="131"/>
        <v>0</v>
      </c>
      <c r="Z44" s="33">
        <f t="shared" si="132"/>
        <v>0</v>
      </c>
      <c r="AA44" s="33"/>
      <c r="AB44" s="33">
        <f t="shared" si="133"/>
        <v>0</v>
      </c>
      <c r="AC44" s="26"/>
      <c r="AD44" s="32"/>
      <c r="AE44" s="32"/>
      <c r="AF44" s="32"/>
      <c r="AG44" s="33">
        <f t="shared" si="134"/>
        <v>0</v>
      </c>
      <c r="AH44" s="33">
        <f t="shared" si="135"/>
        <v>0</v>
      </c>
      <c r="AI44" s="33">
        <f t="shared" si="136"/>
        <v>0</v>
      </c>
      <c r="AJ44" s="33">
        <f t="shared" si="137"/>
        <v>0</v>
      </c>
      <c r="AK44" s="33"/>
      <c r="AL44" s="33">
        <f t="shared" si="120"/>
        <v>0</v>
      </c>
      <c r="AM44" s="28"/>
      <c r="AN44" s="32"/>
      <c r="AO44" s="32"/>
      <c r="AP44" s="32"/>
      <c r="AQ44" s="33">
        <f t="shared" si="138"/>
        <v>0</v>
      </c>
      <c r="AR44" s="33">
        <f t="shared" si="139"/>
        <v>0</v>
      </c>
      <c r="AS44" s="33">
        <f t="shared" si="140"/>
        <v>0</v>
      </c>
      <c r="AT44" s="33">
        <f t="shared" si="141"/>
        <v>0</v>
      </c>
      <c r="AU44" s="33"/>
      <c r="AV44" s="33">
        <f t="shared" si="121"/>
        <v>0</v>
      </c>
      <c r="AW44" s="28"/>
      <c r="AX44" s="32"/>
      <c r="AY44" s="32"/>
      <c r="AZ44" s="32"/>
      <c r="BA44" s="33">
        <f t="shared" si="153"/>
        <v>0</v>
      </c>
      <c r="BB44" s="33">
        <f t="shared" si="154"/>
        <v>0</v>
      </c>
      <c r="BC44" s="33">
        <f t="shared" si="155"/>
        <v>0</v>
      </c>
      <c r="BD44" s="33">
        <f t="shared" si="156"/>
        <v>0</v>
      </c>
      <c r="BE44" s="33"/>
      <c r="BF44" s="33">
        <f t="shared" si="157"/>
        <v>0</v>
      </c>
      <c r="BG44" s="28"/>
      <c r="BH44" s="32"/>
      <c r="BI44" s="32"/>
      <c r="BJ44" s="32"/>
      <c r="BK44" s="28"/>
      <c r="BL44" s="32"/>
      <c r="BM44" s="32"/>
      <c r="BN44" s="32"/>
      <c r="BO44" s="28"/>
      <c r="BP44" s="28">
        <f t="shared" si="146"/>
        <v>0</v>
      </c>
      <c r="BQ44" s="28"/>
      <c r="BR44" s="32"/>
      <c r="BS44" s="32"/>
      <c r="BT44" s="32"/>
      <c r="BU44" s="32"/>
      <c r="BV44" s="32"/>
      <c r="BW44" s="32"/>
      <c r="BX44" s="32"/>
    </row>
    <row r="45" spans="1:76" x14ac:dyDescent="0.35">
      <c r="A45" s="32"/>
      <c r="B45" s="32"/>
      <c r="C45" s="32"/>
      <c r="D45" s="32"/>
      <c r="E45" s="54" t="str">
        <f t="shared" si="123"/>
        <v/>
      </c>
      <c r="F45" s="119"/>
      <c r="G45" s="32"/>
      <c r="H45" s="32"/>
      <c r="I45" s="98">
        <f t="shared" si="147"/>
        <v>0</v>
      </c>
      <c r="J45" s="35"/>
      <c r="K45" s="32"/>
      <c r="L45" s="32"/>
      <c r="M45" s="32"/>
      <c r="N45" s="33">
        <f t="shared" si="158"/>
        <v>0</v>
      </c>
      <c r="O45" s="33">
        <f t="shared" si="159"/>
        <v>0</v>
      </c>
      <c r="P45" s="33">
        <f t="shared" si="160"/>
        <v>0</v>
      </c>
      <c r="Q45" s="33">
        <f t="shared" si="161"/>
        <v>0</v>
      </c>
      <c r="R45" s="40"/>
      <c r="S45" s="16"/>
      <c r="T45" s="32"/>
      <c r="U45" s="32"/>
      <c r="V45" s="32"/>
      <c r="W45" s="33">
        <f t="shared" si="129"/>
        <v>0</v>
      </c>
      <c r="X45" s="33">
        <f t="shared" si="130"/>
        <v>0</v>
      </c>
      <c r="Y45" s="33">
        <f t="shared" si="131"/>
        <v>0</v>
      </c>
      <c r="Z45" s="33">
        <f t="shared" si="132"/>
        <v>0</v>
      </c>
      <c r="AA45" s="33"/>
      <c r="AB45" s="33">
        <f t="shared" si="133"/>
        <v>0</v>
      </c>
      <c r="AC45" s="26"/>
      <c r="AD45" s="32"/>
      <c r="AE45" s="32"/>
      <c r="AF45" s="32"/>
      <c r="AG45" s="33">
        <f t="shared" si="134"/>
        <v>0</v>
      </c>
      <c r="AH45" s="33">
        <f t="shared" si="135"/>
        <v>0</v>
      </c>
      <c r="AI45" s="33">
        <f t="shared" si="136"/>
        <v>0</v>
      </c>
      <c r="AJ45" s="33">
        <f t="shared" si="137"/>
        <v>0</v>
      </c>
      <c r="AK45" s="33"/>
      <c r="AL45" s="33">
        <f t="shared" si="120"/>
        <v>0</v>
      </c>
      <c r="AM45" s="28"/>
      <c r="AN45" s="32"/>
      <c r="AO45" s="32"/>
      <c r="AP45" s="32"/>
      <c r="AQ45" s="33">
        <f t="shared" si="138"/>
        <v>0</v>
      </c>
      <c r="AR45" s="33">
        <f t="shared" si="139"/>
        <v>0</v>
      </c>
      <c r="AS45" s="33">
        <f t="shared" si="140"/>
        <v>0</v>
      </c>
      <c r="AT45" s="33">
        <f t="shared" si="141"/>
        <v>0</v>
      </c>
      <c r="AU45" s="33"/>
      <c r="AV45" s="33">
        <f t="shared" si="121"/>
        <v>0</v>
      </c>
      <c r="AW45" s="28"/>
      <c r="AX45" s="32"/>
      <c r="AY45" s="32"/>
      <c r="AZ45" s="32"/>
      <c r="BA45" s="33">
        <f t="shared" si="153"/>
        <v>0</v>
      </c>
      <c r="BB45" s="33">
        <f t="shared" si="154"/>
        <v>0</v>
      </c>
      <c r="BC45" s="33">
        <f t="shared" si="155"/>
        <v>0</v>
      </c>
      <c r="BD45" s="33">
        <f t="shared" si="156"/>
        <v>0</v>
      </c>
      <c r="BE45" s="33"/>
      <c r="BF45" s="33">
        <f t="shared" si="157"/>
        <v>0</v>
      </c>
      <c r="BG45" s="28"/>
      <c r="BH45" s="32"/>
      <c r="BI45" s="32"/>
      <c r="BJ45" s="32"/>
      <c r="BK45" s="28"/>
      <c r="BL45" s="32"/>
      <c r="BM45" s="32"/>
      <c r="BN45" s="32"/>
      <c r="BO45" s="28"/>
      <c r="BP45" s="28">
        <f t="shared" si="146"/>
        <v>0</v>
      </c>
      <c r="BQ45" s="28"/>
      <c r="BR45" s="149"/>
      <c r="BS45" s="149"/>
      <c r="BT45" s="149"/>
      <c r="BU45" s="149"/>
      <c r="BV45" s="149"/>
      <c r="BW45" s="149"/>
      <c r="BX45" s="149"/>
    </row>
    <row r="46" spans="1:76" x14ac:dyDescent="0.35">
      <c r="A46" s="32"/>
      <c r="B46" s="32"/>
      <c r="C46" s="32"/>
      <c r="D46" s="32"/>
      <c r="E46" s="54" t="str">
        <f t="shared" si="123"/>
        <v/>
      </c>
      <c r="F46" s="119"/>
      <c r="G46" s="32"/>
      <c r="H46" s="32"/>
      <c r="I46" s="98">
        <f t="shared" si="147"/>
        <v>0</v>
      </c>
      <c r="J46" s="35"/>
      <c r="K46" s="32"/>
      <c r="L46" s="32"/>
      <c r="M46" s="32"/>
      <c r="N46" s="33">
        <f t="shared" si="158"/>
        <v>0</v>
      </c>
      <c r="O46" s="33">
        <f t="shared" si="159"/>
        <v>0</v>
      </c>
      <c r="P46" s="33">
        <f t="shared" si="160"/>
        <v>0</v>
      </c>
      <c r="Q46" s="33">
        <f t="shared" si="161"/>
        <v>0</v>
      </c>
      <c r="R46" s="40"/>
      <c r="S46" s="16"/>
      <c r="T46" s="32"/>
      <c r="U46" s="32"/>
      <c r="V46" s="32"/>
      <c r="W46" s="33">
        <f t="shared" si="129"/>
        <v>0</v>
      </c>
      <c r="X46" s="33">
        <f t="shared" si="130"/>
        <v>0</v>
      </c>
      <c r="Y46" s="33">
        <f t="shared" si="131"/>
        <v>0</v>
      </c>
      <c r="Z46" s="33">
        <f t="shared" si="132"/>
        <v>0</v>
      </c>
      <c r="AA46" s="33"/>
      <c r="AB46" s="33">
        <f t="shared" si="133"/>
        <v>0</v>
      </c>
      <c r="AC46" s="26"/>
      <c r="AD46" s="32"/>
      <c r="AE46" s="32"/>
      <c r="AF46" s="32"/>
      <c r="AG46" s="33">
        <f t="shared" si="134"/>
        <v>0</v>
      </c>
      <c r="AH46" s="33">
        <f t="shared" si="135"/>
        <v>0</v>
      </c>
      <c r="AI46" s="33">
        <f t="shared" si="136"/>
        <v>0</v>
      </c>
      <c r="AJ46" s="33">
        <f t="shared" si="137"/>
        <v>0</v>
      </c>
      <c r="AK46" s="33"/>
      <c r="AL46" s="33">
        <f t="shared" si="120"/>
        <v>0</v>
      </c>
      <c r="AM46" s="28"/>
      <c r="AN46" s="32"/>
      <c r="AO46" s="32"/>
      <c r="AP46" s="32"/>
      <c r="AQ46" s="33">
        <f t="shared" si="138"/>
        <v>0</v>
      </c>
      <c r="AR46" s="33">
        <f t="shared" si="139"/>
        <v>0</v>
      </c>
      <c r="AS46" s="33">
        <f t="shared" si="140"/>
        <v>0</v>
      </c>
      <c r="AT46" s="33">
        <f t="shared" si="141"/>
        <v>0</v>
      </c>
      <c r="AU46" s="33"/>
      <c r="AV46" s="33">
        <f t="shared" si="121"/>
        <v>0</v>
      </c>
      <c r="AW46" s="28"/>
      <c r="AX46" s="32"/>
      <c r="AY46" s="32"/>
      <c r="AZ46" s="32"/>
      <c r="BA46" s="33">
        <f t="shared" si="153"/>
        <v>0</v>
      </c>
      <c r="BB46" s="33">
        <f t="shared" si="154"/>
        <v>0</v>
      </c>
      <c r="BC46" s="33">
        <f t="shared" si="155"/>
        <v>0</v>
      </c>
      <c r="BD46" s="33">
        <f t="shared" si="156"/>
        <v>0</v>
      </c>
      <c r="BE46" s="33"/>
      <c r="BF46" s="33">
        <f t="shared" si="157"/>
        <v>0</v>
      </c>
      <c r="BG46" s="28"/>
      <c r="BH46" s="32"/>
      <c r="BI46" s="32"/>
      <c r="BJ46" s="32"/>
      <c r="BK46" s="28"/>
      <c r="BL46" s="32"/>
      <c r="BM46" s="32"/>
      <c r="BN46" s="32"/>
      <c r="BO46" s="28"/>
      <c r="BP46" s="28">
        <f t="shared" si="146"/>
        <v>0</v>
      </c>
      <c r="BQ46" s="28"/>
      <c r="BR46" s="149"/>
      <c r="BS46" s="149"/>
      <c r="BT46" s="149"/>
      <c r="BU46" s="149"/>
      <c r="BV46" s="149"/>
      <c r="BW46" s="149"/>
      <c r="BX46" s="149"/>
    </row>
    <row r="47" spans="1:76" x14ac:dyDescent="0.35">
      <c r="A47" s="32"/>
      <c r="B47" s="32"/>
      <c r="C47" s="32"/>
      <c r="D47" s="32"/>
      <c r="E47" s="54" t="str">
        <f t="shared" si="123"/>
        <v/>
      </c>
      <c r="F47" s="119"/>
      <c r="G47" s="32"/>
      <c r="H47" s="32"/>
      <c r="I47" s="98">
        <f t="shared" si="147"/>
        <v>0</v>
      </c>
      <c r="J47" s="35"/>
      <c r="K47" s="32"/>
      <c r="L47" s="32"/>
      <c r="M47" s="32"/>
      <c r="N47" s="33">
        <f t="shared" si="158"/>
        <v>0</v>
      </c>
      <c r="O47" s="33">
        <f t="shared" si="159"/>
        <v>0</v>
      </c>
      <c r="P47" s="33">
        <f t="shared" si="160"/>
        <v>0</v>
      </c>
      <c r="Q47" s="33">
        <f t="shared" si="161"/>
        <v>0</v>
      </c>
      <c r="R47" s="40"/>
      <c r="S47" s="16"/>
      <c r="T47" s="32"/>
      <c r="U47" s="32"/>
      <c r="V47" s="32"/>
      <c r="W47" s="33">
        <f t="shared" si="129"/>
        <v>0</v>
      </c>
      <c r="X47" s="33">
        <f t="shared" si="130"/>
        <v>0</v>
      </c>
      <c r="Y47" s="33">
        <f t="shared" si="131"/>
        <v>0</v>
      </c>
      <c r="Z47" s="33">
        <f t="shared" si="132"/>
        <v>0</v>
      </c>
      <c r="AA47" s="33"/>
      <c r="AB47" s="33">
        <f t="shared" si="133"/>
        <v>0</v>
      </c>
      <c r="AC47" s="26"/>
      <c r="AD47" s="32"/>
      <c r="AE47" s="32"/>
      <c r="AF47" s="32"/>
      <c r="AG47" s="33">
        <f t="shared" si="134"/>
        <v>0</v>
      </c>
      <c r="AH47" s="33">
        <f t="shared" si="135"/>
        <v>0</v>
      </c>
      <c r="AI47" s="33">
        <f t="shared" si="136"/>
        <v>0</v>
      </c>
      <c r="AJ47" s="33">
        <f t="shared" si="137"/>
        <v>0</v>
      </c>
      <c r="AK47" s="33"/>
      <c r="AL47" s="33">
        <f t="shared" si="120"/>
        <v>0</v>
      </c>
      <c r="AM47" s="28"/>
      <c r="AN47" s="32"/>
      <c r="AO47" s="32"/>
      <c r="AP47" s="32"/>
      <c r="AQ47" s="33">
        <f t="shared" si="138"/>
        <v>0</v>
      </c>
      <c r="AR47" s="33">
        <f t="shared" si="139"/>
        <v>0</v>
      </c>
      <c r="AS47" s="33">
        <f t="shared" si="140"/>
        <v>0</v>
      </c>
      <c r="AT47" s="33">
        <f t="shared" si="141"/>
        <v>0</v>
      </c>
      <c r="AU47" s="33"/>
      <c r="AV47" s="33">
        <f t="shared" si="121"/>
        <v>0</v>
      </c>
      <c r="AW47" s="28"/>
      <c r="AX47" s="32"/>
      <c r="AY47" s="32"/>
      <c r="AZ47" s="32"/>
      <c r="BA47" s="33">
        <f t="shared" si="153"/>
        <v>0</v>
      </c>
      <c r="BB47" s="33">
        <f t="shared" si="154"/>
        <v>0</v>
      </c>
      <c r="BC47" s="33">
        <f t="shared" si="155"/>
        <v>0</v>
      </c>
      <c r="BD47" s="33">
        <f t="shared" si="156"/>
        <v>0</v>
      </c>
      <c r="BE47" s="33"/>
      <c r="BF47" s="33">
        <f t="shared" si="157"/>
        <v>0</v>
      </c>
      <c r="BG47" s="28"/>
      <c r="BH47" s="32"/>
      <c r="BI47" s="32"/>
      <c r="BJ47" s="32"/>
      <c r="BK47" s="28"/>
      <c r="BL47" s="32"/>
      <c r="BM47" s="32"/>
      <c r="BN47" s="32"/>
      <c r="BO47" s="28"/>
      <c r="BP47" s="28">
        <f t="shared" si="146"/>
        <v>0</v>
      </c>
      <c r="BQ47" s="28"/>
      <c r="BR47" s="32"/>
      <c r="BS47" s="32"/>
      <c r="BT47" s="32"/>
      <c r="BU47" s="32"/>
      <c r="BV47" s="32"/>
      <c r="BW47" s="32"/>
      <c r="BX47" s="32"/>
    </row>
    <row r="48" spans="1:76" x14ac:dyDescent="0.35">
      <c r="A48" s="32"/>
      <c r="B48" s="32"/>
      <c r="C48" s="32"/>
      <c r="D48" s="32"/>
      <c r="E48" s="54" t="str">
        <f t="shared" si="123"/>
        <v/>
      </c>
      <c r="F48" s="119"/>
      <c r="G48" s="32"/>
      <c r="H48" s="32"/>
      <c r="I48" s="98">
        <f t="shared" si="147"/>
        <v>0</v>
      </c>
      <c r="J48" s="35"/>
      <c r="K48" s="32"/>
      <c r="L48" s="32"/>
      <c r="M48" s="32"/>
      <c r="N48" s="33">
        <f t="shared" si="158"/>
        <v>0</v>
      </c>
      <c r="O48" s="33">
        <f t="shared" si="159"/>
        <v>0</v>
      </c>
      <c r="P48" s="33">
        <f t="shared" si="160"/>
        <v>0</v>
      </c>
      <c r="Q48" s="33">
        <f t="shared" si="161"/>
        <v>0</v>
      </c>
      <c r="R48" s="40"/>
      <c r="S48" s="16"/>
      <c r="T48" s="32"/>
      <c r="U48" s="32"/>
      <c r="V48" s="32"/>
      <c r="W48" s="33">
        <f t="shared" si="129"/>
        <v>0</v>
      </c>
      <c r="X48" s="33">
        <f t="shared" si="130"/>
        <v>0</v>
      </c>
      <c r="Y48" s="33">
        <f t="shared" si="131"/>
        <v>0</v>
      </c>
      <c r="Z48" s="33">
        <f t="shared" si="132"/>
        <v>0</v>
      </c>
      <c r="AA48" s="33"/>
      <c r="AB48" s="33">
        <f t="shared" si="133"/>
        <v>0</v>
      </c>
      <c r="AC48" s="26"/>
      <c r="AD48" s="32"/>
      <c r="AE48" s="32"/>
      <c r="AF48" s="32"/>
      <c r="AG48" s="33">
        <f t="shared" si="134"/>
        <v>0</v>
      </c>
      <c r="AH48" s="33">
        <f t="shared" si="135"/>
        <v>0</v>
      </c>
      <c r="AI48" s="33">
        <f t="shared" si="136"/>
        <v>0</v>
      </c>
      <c r="AJ48" s="33">
        <f t="shared" si="137"/>
        <v>0</v>
      </c>
      <c r="AK48" s="33"/>
      <c r="AL48" s="33">
        <f t="shared" si="120"/>
        <v>0</v>
      </c>
      <c r="AM48" s="28"/>
      <c r="AN48" s="32"/>
      <c r="AO48" s="32"/>
      <c r="AP48" s="32"/>
      <c r="AQ48" s="33">
        <f t="shared" si="138"/>
        <v>0</v>
      </c>
      <c r="AR48" s="33">
        <f t="shared" si="139"/>
        <v>0</v>
      </c>
      <c r="AS48" s="33">
        <f t="shared" si="140"/>
        <v>0</v>
      </c>
      <c r="AT48" s="33">
        <f t="shared" si="141"/>
        <v>0</v>
      </c>
      <c r="AU48" s="33"/>
      <c r="AV48" s="33">
        <f t="shared" si="121"/>
        <v>0</v>
      </c>
      <c r="AW48" s="28"/>
      <c r="AX48" s="32"/>
      <c r="AY48" s="32"/>
      <c r="AZ48" s="32"/>
      <c r="BA48" s="33">
        <f t="shared" si="153"/>
        <v>0</v>
      </c>
      <c r="BB48" s="33">
        <f t="shared" si="154"/>
        <v>0</v>
      </c>
      <c r="BC48" s="33">
        <f t="shared" si="155"/>
        <v>0</v>
      </c>
      <c r="BD48" s="33">
        <f t="shared" si="156"/>
        <v>0</v>
      </c>
      <c r="BE48" s="33"/>
      <c r="BF48" s="33">
        <f t="shared" si="157"/>
        <v>0</v>
      </c>
      <c r="BG48" s="28"/>
      <c r="BH48" s="32"/>
      <c r="BI48" s="32"/>
      <c r="BJ48" s="32"/>
      <c r="BK48" s="28"/>
      <c r="BL48" s="32"/>
      <c r="BM48" s="32"/>
      <c r="BN48" s="32"/>
      <c r="BO48" s="28"/>
      <c r="BP48" s="28">
        <f t="shared" si="146"/>
        <v>0</v>
      </c>
      <c r="BQ48" s="28"/>
      <c r="BR48" s="149"/>
      <c r="BS48" s="149"/>
      <c r="BT48" s="149"/>
      <c r="BU48" s="149"/>
      <c r="BV48" s="149"/>
      <c r="BW48" s="149"/>
      <c r="BX48" s="149"/>
    </row>
    <row r="49" spans="1:76" x14ac:dyDescent="0.35">
      <c r="A49" s="32"/>
      <c r="B49" s="32"/>
      <c r="C49" s="32"/>
      <c r="D49" s="32"/>
      <c r="E49" s="54" t="str">
        <f t="shared" si="123"/>
        <v/>
      </c>
      <c r="F49" s="119"/>
      <c r="G49" s="32"/>
      <c r="H49" s="32"/>
      <c r="I49" s="98">
        <f t="shared" si="147"/>
        <v>0</v>
      </c>
      <c r="J49" s="35"/>
      <c r="K49" s="32"/>
      <c r="L49" s="32"/>
      <c r="M49" s="32"/>
      <c r="N49" s="33">
        <f t="shared" si="158"/>
        <v>0</v>
      </c>
      <c r="O49" s="33">
        <f t="shared" si="159"/>
        <v>0</v>
      </c>
      <c r="P49" s="33">
        <f t="shared" si="160"/>
        <v>0</v>
      </c>
      <c r="Q49" s="33">
        <f t="shared" si="161"/>
        <v>0</v>
      </c>
      <c r="R49" s="40"/>
      <c r="S49" s="16"/>
      <c r="T49" s="32"/>
      <c r="U49" s="32"/>
      <c r="V49" s="32"/>
      <c r="W49" s="33">
        <f t="shared" si="129"/>
        <v>0</v>
      </c>
      <c r="X49" s="33">
        <f t="shared" si="130"/>
        <v>0</v>
      </c>
      <c r="Y49" s="33">
        <f t="shared" si="131"/>
        <v>0</v>
      </c>
      <c r="Z49" s="33">
        <f t="shared" si="132"/>
        <v>0</v>
      </c>
      <c r="AA49" s="33"/>
      <c r="AB49" s="33">
        <f t="shared" si="133"/>
        <v>0</v>
      </c>
      <c r="AC49" s="26"/>
      <c r="AD49" s="32"/>
      <c r="AE49" s="32"/>
      <c r="AF49" s="32"/>
      <c r="AG49" s="33">
        <f t="shared" si="134"/>
        <v>0</v>
      </c>
      <c r="AH49" s="33">
        <f t="shared" si="135"/>
        <v>0</v>
      </c>
      <c r="AI49" s="33">
        <f t="shared" si="136"/>
        <v>0</v>
      </c>
      <c r="AJ49" s="33">
        <f t="shared" si="137"/>
        <v>0</v>
      </c>
      <c r="AK49" s="33"/>
      <c r="AL49" s="33">
        <f t="shared" si="120"/>
        <v>0</v>
      </c>
      <c r="AM49" s="28"/>
      <c r="AN49" s="32"/>
      <c r="AO49" s="32"/>
      <c r="AP49" s="32"/>
      <c r="AQ49" s="33">
        <f t="shared" si="138"/>
        <v>0</v>
      </c>
      <c r="AR49" s="33">
        <f t="shared" si="139"/>
        <v>0</v>
      </c>
      <c r="AS49" s="33">
        <f t="shared" si="140"/>
        <v>0</v>
      </c>
      <c r="AT49" s="33">
        <f t="shared" si="141"/>
        <v>0</v>
      </c>
      <c r="AU49" s="33"/>
      <c r="AV49" s="33">
        <f t="shared" si="121"/>
        <v>0</v>
      </c>
      <c r="AW49" s="28"/>
      <c r="AX49" s="32"/>
      <c r="AY49" s="32"/>
      <c r="AZ49" s="32"/>
      <c r="BA49" s="33">
        <f t="shared" si="153"/>
        <v>0</v>
      </c>
      <c r="BB49" s="33">
        <f t="shared" si="154"/>
        <v>0</v>
      </c>
      <c r="BC49" s="33">
        <f t="shared" si="155"/>
        <v>0</v>
      </c>
      <c r="BD49" s="33">
        <f t="shared" si="156"/>
        <v>0</v>
      </c>
      <c r="BE49" s="33"/>
      <c r="BF49" s="33">
        <f t="shared" si="157"/>
        <v>0</v>
      </c>
      <c r="BG49" s="28"/>
      <c r="BH49" s="32"/>
      <c r="BI49" s="32"/>
      <c r="BJ49" s="32"/>
      <c r="BK49" s="28"/>
      <c r="BL49" s="32"/>
      <c r="BM49" s="32"/>
      <c r="BN49" s="32"/>
      <c r="BO49" s="28"/>
      <c r="BP49" s="28">
        <f t="shared" si="146"/>
        <v>0</v>
      </c>
      <c r="BQ49" s="28"/>
      <c r="BR49" s="32"/>
      <c r="BS49" s="32"/>
      <c r="BT49" s="32"/>
      <c r="BU49" s="32"/>
      <c r="BV49" s="32"/>
      <c r="BW49" s="32"/>
      <c r="BX49" s="32"/>
    </row>
    <row r="50" spans="1:76" x14ac:dyDescent="0.35">
      <c r="A50" s="32"/>
      <c r="B50" s="32"/>
      <c r="C50" s="32"/>
      <c r="D50" s="32"/>
      <c r="E50" s="54" t="str">
        <f t="shared" si="123"/>
        <v/>
      </c>
      <c r="F50" s="119"/>
      <c r="G50" s="32"/>
      <c r="H50" s="32"/>
      <c r="I50" s="98">
        <f t="shared" si="147"/>
        <v>0</v>
      </c>
      <c r="J50" s="35"/>
      <c r="K50" s="32"/>
      <c r="L50" s="32"/>
      <c r="M50" s="32"/>
      <c r="N50" s="33">
        <f t="shared" si="158"/>
        <v>0</v>
      </c>
      <c r="O50" s="33">
        <f t="shared" si="159"/>
        <v>0</v>
      </c>
      <c r="P50" s="33">
        <f t="shared" si="160"/>
        <v>0</v>
      </c>
      <c r="Q50" s="33">
        <f t="shared" si="161"/>
        <v>0</v>
      </c>
      <c r="R50" s="40"/>
      <c r="S50" s="16"/>
      <c r="T50" s="32"/>
      <c r="U50" s="32"/>
      <c r="V50" s="32"/>
      <c r="W50" s="33">
        <f t="shared" si="129"/>
        <v>0</v>
      </c>
      <c r="X50" s="33">
        <f t="shared" si="130"/>
        <v>0</v>
      </c>
      <c r="Y50" s="33">
        <f t="shared" si="131"/>
        <v>0</v>
      </c>
      <c r="Z50" s="33">
        <f t="shared" si="132"/>
        <v>0</v>
      </c>
      <c r="AA50" s="33"/>
      <c r="AB50" s="33">
        <f t="shared" si="133"/>
        <v>0</v>
      </c>
      <c r="AC50" s="26"/>
      <c r="AD50" s="32"/>
      <c r="AE50" s="32"/>
      <c r="AF50" s="32"/>
      <c r="AG50" s="33">
        <f t="shared" si="134"/>
        <v>0</v>
      </c>
      <c r="AH50" s="33">
        <f t="shared" si="135"/>
        <v>0</v>
      </c>
      <c r="AI50" s="33">
        <f t="shared" si="136"/>
        <v>0</v>
      </c>
      <c r="AJ50" s="33">
        <f t="shared" si="137"/>
        <v>0</v>
      </c>
      <c r="AK50" s="33"/>
      <c r="AL50" s="33">
        <f t="shared" si="120"/>
        <v>0</v>
      </c>
      <c r="AM50" s="28"/>
      <c r="AN50" s="32"/>
      <c r="AO50" s="32"/>
      <c r="AP50" s="32"/>
      <c r="AQ50" s="33">
        <f t="shared" si="138"/>
        <v>0</v>
      </c>
      <c r="AR50" s="33">
        <f t="shared" si="139"/>
        <v>0</v>
      </c>
      <c r="AS50" s="33">
        <f t="shared" si="140"/>
        <v>0</v>
      </c>
      <c r="AT50" s="33">
        <f t="shared" si="141"/>
        <v>0</v>
      </c>
      <c r="AU50" s="33"/>
      <c r="AV50" s="33">
        <f t="shared" si="121"/>
        <v>0</v>
      </c>
      <c r="AW50" s="28"/>
      <c r="AX50" s="32"/>
      <c r="AY50" s="32"/>
      <c r="AZ50" s="32"/>
      <c r="BA50" s="33">
        <f t="shared" si="153"/>
        <v>0</v>
      </c>
      <c r="BB50" s="33">
        <f t="shared" si="154"/>
        <v>0</v>
      </c>
      <c r="BC50" s="33">
        <f t="shared" si="155"/>
        <v>0</v>
      </c>
      <c r="BD50" s="33">
        <f t="shared" si="156"/>
        <v>0</v>
      </c>
      <c r="BE50" s="33"/>
      <c r="BF50" s="33">
        <f t="shared" si="157"/>
        <v>0</v>
      </c>
      <c r="BG50" s="28"/>
      <c r="BH50" s="32"/>
      <c r="BI50" s="32"/>
      <c r="BJ50" s="32"/>
      <c r="BK50" s="28"/>
      <c r="BL50" s="32"/>
      <c r="BM50" s="32"/>
      <c r="BN50" s="32"/>
      <c r="BO50" s="28"/>
      <c r="BP50" s="28">
        <f t="shared" si="146"/>
        <v>0</v>
      </c>
      <c r="BQ50" s="28"/>
      <c r="BR50" s="32"/>
      <c r="BS50" s="32"/>
      <c r="BT50" s="32"/>
      <c r="BU50" s="32"/>
      <c r="BV50" s="32"/>
      <c r="BW50" s="32"/>
      <c r="BX50" s="32"/>
    </row>
    <row r="51" spans="1:76" x14ac:dyDescent="0.35">
      <c r="A51" s="32"/>
      <c r="B51" s="32"/>
      <c r="C51" s="32"/>
      <c r="D51" s="32"/>
      <c r="E51" s="54" t="str">
        <f t="shared" si="123"/>
        <v/>
      </c>
      <c r="F51" s="119"/>
      <c r="G51" s="32"/>
      <c r="H51" s="32"/>
      <c r="I51" s="98">
        <f t="shared" si="147"/>
        <v>0</v>
      </c>
      <c r="J51" s="35"/>
      <c r="K51" s="32"/>
      <c r="L51" s="32"/>
      <c r="M51" s="32"/>
      <c r="N51" s="33">
        <f t="shared" si="158"/>
        <v>0</v>
      </c>
      <c r="O51" s="33">
        <f t="shared" si="159"/>
        <v>0</v>
      </c>
      <c r="P51" s="33">
        <f t="shared" si="160"/>
        <v>0</v>
      </c>
      <c r="Q51" s="33">
        <f t="shared" si="161"/>
        <v>0</v>
      </c>
      <c r="R51" s="40"/>
      <c r="S51" s="16"/>
      <c r="T51" s="32"/>
      <c r="U51" s="32"/>
      <c r="V51" s="32"/>
      <c r="W51" s="33">
        <f t="shared" si="129"/>
        <v>0</v>
      </c>
      <c r="X51" s="33">
        <f t="shared" si="130"/>
        <v>0</v>
      </c>
      <c r="Y51" s="33">
        <f t="shared" si="131"/>
        <v>0</v>
      </c>
      <c r="Z51" s="33">
        <f t="shared" si="132"/>
        <v>0</v>
      </c>
      <c r="AA51" s="33"/>
      <c r="AB51" s="33">
        <f t="shared" si="133"/>
        <v>0</v>
      </c>
      <c r="AC51" s="26"/>
      <c r="AD51" s="32"/>
      <c r="AE51" s="32"/>
      <c r="AF51" s="32"/>
      <c r="AG51" s="33">
        <f t="shared" si="134"/>
        <v>0</v>
      </c>
      <c r="AH51" s="33">
        <f t="shared" si="135"/>
        <v>0</v>
      </c>
      <c r="AI51" s="33">
        <f t="shared" si="136"/>
        <v>0</v>
      </c>
      <c r="AJ51" s="33">
        <f t="shared" si="137"/>
        <v>0</v>
      </c>
      <c r="AK51" s="33"/>
      <c r="AL51" s="33">
        <f t="shared" si="120"/>
        <v>0</v>
      </c>
      <c r="AM51" s="28"/>
      <c r="AN51" s="32"/>
      <c r="AO51" s="32"/>
      <c r="AP51" s="32"/>
      <c r="AQ51" s="33">
        <f t="shared" si="138"/>
        <v>0</v>
      </c>
      <c r="AR51" s="33">
        <f t="shared" si="139"/>
        <v>0</v>
      </c>
      <c r="AS51" s="33">
        <f t="shared" si="140"/>
        <v>0</v>
      </c>
      <c r="AT51" s="33">
        <f t="shared" si="141"/>
        <v>0</v>
      </c>
      <c r="AU51" s="33"/>
      <c r="AV51" s="33">
        <f t="shared" si="121"/>
        <v>0</v>
      </c>
      <c r="AW51" s="28"/>
      <c r="AX51" s="32"/>
      <c r="AY51" s="32"/>
      <c r="AZ51" s="32"/>
      <c r="BA51" s="33">
        <f t="shared" si="153"/>
        <v>0</v>
      </c>
      <c r="BB51" s="33">
        <f t="shared" si="154"/>
        <v>0</v>
      </c>
      <c r="BC51" s="33">
        <f t="shared" si="155"/>
        <v>0</v>
      </c>
      <c r="BD51" s="33">
        <f t="shared" si="156"/>
        <v>0</v>
      </c>
      <c r="BE51" s="33"/>
      <c r="BF51" s="33">
        <f t="shared" si="157"/>
        <v>0</v>
      </c>
      <c r="BG51" s="28"/>
      <c r="BH51" s="32"/>
      <c r="BI51" s="32"/>
      <c r="BJ51" s="32"/>
      <c r="BK51" s="28"/>
      <c r="BL51" s="32"/>
      <c r="BM51" s="32"/>
      <c r="BN51" s="32"/>
      <c r="BO51" s="28"/>
      <c r="BP51" s="28">
        <f t="shared" si="146"/>
        <v>0</v>
      </c>
      <c r="BQ51" s="28"/>
      <c r="BR51" s="32"/>
      <c r="BS51" s="32"/>
      <c r="BT51" s="32"/>
      <c r="BU51" s="32"/>
      <c r="BV51" s="32"/>
      <c r="BW51" s="32"/>
      <c r="BX51" s="32"/>
    </row>
    <row r="52" spans="1:76" x14ac:dyDescent="0.35">
      <c r="A52" s="32"/>
      <c r="B52" s="32"/>
      <c r="C52" s="32"/>
      <c r="D52" s="32"/>
      <c r="E52" s="54" t="str">
        <f t="shared" si="123"/>
        <v/>
      </c>
      <c r="F52" s="119"/>
      <c r="G52" s="32"/>
      <c r="H52" s="32"/>
      <c r="I52" s="98">
        <f t="shared" si="147"/>
        <v>0</v>
      </c>
      <c r="J52" s="35"/>
      <c r="K52" s="32"/>
      <c r="L52" s="32"/>
      <c r="M52" s="32"/>
      <c r="N52" s="33">
        <f t="shared" si="158"/>
        <v>0</v>
      </c>
      <c r="O52" s="33">
        <f t="shared" si="159"/>
        <v>0</v>
      </c>
      <c r="P52" s="33">
        <f t="shared" si="160"/>
        <v>0</v>
      </c>
      <c r="Q52" s="33">
        <f t="shared" si="161"/>
        <v>0</v>
      </c>
      <c r="R52" s="40"/>
      <c r="S52" s="16"/>
      <c r="T52" s="32"/>
      <c r="U52" s="32"/>
      <c r="V52" s="32"/>
      <c r="W52" s="33">
        <f t="shared" si="129"/>
        <v>0</v>
      </c>
      <c r="X52" s="33">
        <f t="shared" si="130"/>
        <v>0</v>
      </c>
      <c r="Y52" s="33">
        <f t="shared" si="131"/>
        <v>0</v>
      </c>
      <c r="Z52" s="33">
        <f t="shared" si="132"/>
        <v>0</v>
      </c>
      <c r="AA52" s="33"/>
      <c r="AB52" s="33">
        <f t="shared" si="133"/>
        <v>0</v>
      </c>
      <c r="AC52" s="26"/>
      <c r="AD52" s="32"/>
      <c r="AE52" s="32"/>
      <c r="AF52" s="32"/>
      <c r="AG52" s="33">
        <f t="shared" si="134"/>
        <v>0</v>
      </c>
      <c r="AH52" s="33">
        <f t="shared" si="135"/>
        <v>0</v>
      </c>
      <c r="AI52" s="33">
        <f t="shared" si="136"/>
        <v>0</v>
      </c>
      <c r="AJ52" s="33">
        <f t="shared" si="137"/>
        <v>0</v>
      </c>
      <c r="AK52" s="33"/>
      <c r="AL52" s="33">
        <f t="shared" si="120"/>
        <v>0</v>
      </c>
      <c r="AM52" s="28"/>
      <c r="AN52" s="32"/>
      <c r="AO52" s="32"/>
      <c r="AP52" s="32"/>
      <c r="AQ52" s="33">
        <f t="shared" si="138"/>
        <v>0</v>
      </c>
      <c r="AR52" s="33">
        <f t="shared" si="139"/>
        <v>0</v>
      </c>
      <c r="AS52" s="33">
        <f t="shared" si="140"/>
        <v>0</v>
      </c>
      <c r="AT52" s="33">
        <f t="shared" si="141"/>
        <v>0</v>
      </c>
      <c r="AU52" s="33"/>
      <c r="AV52" s="33">
        <f t="shared" si="121"/>
        <v>0</v>
      </c>
      <c r="AW52" s="28"/>
      <c r="AX52" s="32"/>
      <c r="AY52" s="32"/>
      <c r="AZ52" s="32"/>
      <c r="BA52" s="33">
        <f t="shared" si="153"/>
        <v>0</v>
      </c>
      <c r="BB52" s="33">
        <f t="shared" si="154"/>
        <v>0</v>
      </c>
      <c r="BC52" s="33">
        <f t="shared" si="155"/>
        <v>0</v>
      </c>
      <c r="BD52" s="33">
        <f t="shared" si="156"/>
        <v>0</v>
      </c>
      <c r="BE52" s="33"/>
      <c r="BF52" s="33">
        <f t="shared" si="157"/>
        <v>0</v>
      </c>
      <c r="BG52" s="28"/>
      <c r="BH52" s="32"/>
      <c r="BI52" s="32"/>
      <c r="BJ52" s="32"/>
      <c r="BK52" s="28"/>
      <c r="BL52" s="32"/>
      <c r="BM52" s="32"/>
      <c r="BN52" s="32"/>
      <c r="BO52" s="28"/>
      <c r="BP52" s="28">
        <f t="shared" si="146"/>
        <v>0</v>
      </c>
      <c r="BQ52" s="28"/>
      <c r="BR52" s="149"/>
      <c r="BS52" s="149"/>
      <c r="BT52" s="149"/>
      <c r="BU52" s="149"/>
      <c r="BV52" s="149"/>
      <c r="BW52" s="149"/>
      <c r="BX52" s="149"/>
    </row>
    <row r="53" spans="1:76" x14ac:dyDescent="0.35">
      <c r="A53" s="32"/>
      <c r="B53" s="32"/>
      <c r="C53" s="32"/>
      <c r="D53" s="32"/>
      <c r="E53" s="54" t="str">
        <f t="shared" si="123"/>
        <v/>
      </c>
      <c r="F53" s="119"/>
      <c r="G53" s="32"/>
      <c r="H53" s="32"/>
      <c r="I53" s="98">
        <f t="shared" si="147"/>
        <v>0</v>
      </c>
      <c r="J53" s="35"/>
      <c r="K53" s="32"/>
      <c r="L53" s="32"/>
      <c r="M53" s="32"/>
      <c r="N53" s="33">
        <f t="shared" si="158"/>
        <v>0</v>
      </c>
      <c r="O53" s="33">
        <f t="shared" si="159"/>
        <v>0</v>
      </c>
      <c r="P53" s="33">
        <f t="shared" si="160"/>
        <v>0</v>
      </c>
      <c r="Q53" s="33">
        <f t="shared" si="161"/>
        <v>0</v>
      </c>
      <c r="R53" s="40"/>
      <c r="S53" s="16"/>
      <c r="T53" s="32"/>
      <c r="U53" s="32"/>
      <c r="V53" s="32"/>
      <c r="W53" s="33">
        <f t="shared" si="129"/>
        <v>0</v>
      </c>
      <c r="X53" s="33">
        <f t="shared" si="130"/>
        <v>0</v>
      </c>
      <c r="Y53" s="33">
        <f t="shared" si="131"/>
        <v>0</v>
      </c>
      <c r="Z53" s="33">
        <f t="shared" si="132"/>
        <v>0</v>
      </c>
      <c r="AA53" s="33"/>
      <c r="AB53" s="33">
        <f t="shared" si="133"/>
        <v>0</v>
      </c>
      <c r="AC53" s="26"/>
      <c r="AD53" s="32"/>
      <c r="AE53" s="32"/>
      <c r="AF53" s="32"/>
      <c r="AG53" s="33">
        <f t="shared" si="134"/>
        <v>0</v>
      </c>
      <c r="AH53" s="33">
        <f t="shared" si="135"/>
        <v>0</v>
      </c>
      <c r="AI53" s="33">
        <f t="shared" si="136"/>
        <v>0</v>
      </c>
      <c r="AJ53" s="33">
        <f t="shared" si="137"/>
        <v>0</v>
      </c>
      <c r="AK53" s="33"/>
      <c r="AL53" s="33">
        <f t="shared" si="120"/>
        <v>0</v>
      </c>
      <c r="AM53" s="28"/>
      <c r="AN53" s="32"/>
      <c r="AO53" s="32"/>
      <c r="AP53" s="32"/>
      <c r="AQ53" s="33">
        <f t="shared" si="138"/>
        <v>0</v>
      </c>
      <c r="AR53" s="33">
        <f t="shared" si="139"/>
        <v>0</v>
      </c>
      <c r="AS53" s="33">
        <f t="shared" si="140"/>
        <v>0</v>
      </c>
      <c r="AT53" s="33">
        <f t="shared" si="141"/>
        <v>0</v>
      </c>
      <c r="AU53" s="33"/>
      <c r="AV53" s="33">
        <f t="shared" si="121"/>
        <v>0</v>
      </c>
      <c r="AW53" s="28"/>
      <c r="AX53" s="32"/>
      <c r="AY53" s="32"/>
      <c r="AZ53" s="32"/>
      <c r="BA53" s="33">
        <f t="shared" si="153"/>
        <v>0</v>
      </c>
      <c r="BB53" s="33">
        <f t="shared" si="154"/>
        <v>0</v>
      </c>
      <c r="BC53" s="33">
        <f t="shared" si="155"/>
        <v>0</v>
      </c>
      <c r="BD53" s="33">
        <f t="shared" si="156"/>
        <v>0</v>
      </c>
      <c r="BE53" s="33"/>
      <c r="BF53" s="33">
        <f t="shared" si="157"/>
        <v>0</v>
      </c>
      <c r="BG53" s="28"/>
      <c r="BH53" s="32"/>
      <c r="BI53" s="32"/>
      <c r="BJ53" s="32"/>
      <c r="BK53" s="28"/>
      <c r="BL53" s="32"/>
      <c r="BM53" s="32"/>
      <c r="BN53" s="32"/>
      <c r="BO53" s="28"/>
      <c r="BP53" s="28">
        <f t="shared" si="146"/>
        <v>0</v>
      </c>
      <c r="BQ53" s="28"/>
      <c r="BR53" s="32"/>
      <c r="BS53" s="32"/>
      <c r="BT53" s="32"/>
      <c r="BU53" s="32"/>
      <c r="BV53" s="32"/>
      <c r="BW53" s="32"/>
      <c r="BX53" s="32"/>
    </row>
    <row r="54" spans="1:76" x14ac:dyDescent="0.35">
      <c r="A54" s="32"/>
      <c r="B54" s="32"/>
      <c r="C54" s="32"/>
      <c r="D54" s="32"/>
      <c r="E54" s="54" t="str">
        <f t="shared" si="3"/>
        <v/>
      </c>
      <c r="F54" s="119"/>
      <c r="G54" s="32"/>
      <c r="H54" s="32"/>
      <c r="I54" s="98">
        <f t="shared" si="4"/>
        <v>0</v>
      </c>
      <c r="J54" s="35"/>
      <c r="K54" s="32"/>
      <c r="L54" s="32"/>
      <c r="M54" s="32"/>
      <c r="N54" s="33">
        <f t="shared" si="5"/>
        <v>0</v>
      </c>
      <c r="O54" s="33">
        <f t="shared" si="6"/>
        <v>0</v>
      </c>
      <c r="P54" s="33">
        <f t="shared" si="7"/>
        <v>0</v>
      </c>
      <c r="Q54" s="33">
        <f t="shared" si="8"/>
        <v>0</v>
      </c>
      <c r="R54" s="40"/>
      <c r="S54" s="16"/>
      <c r="T54" s="32"/>
      <c r="U54" s="32"/>
      <c r="V54" s="32"/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A54" s="33"/>
      <c r="AB54" s="33">
        <f t="shared" si="13"/>
        <v>0</v>
      </c>
      <c r="AC54" s="26"/>
      <c r="AD54" s="32"/>
      <c r="AE54" s="32"/>
      <c r="AF54" s="32"/>
      <c r="AG54" s="33">
        <f t="shared" si="14"/>
        <v>0</v>
      </c>
      <c r="AH54" s="33">
        <f t="shared" si="15"/>
        <v>0</v>
      </c>
      <c r="AI54" s="33">
        <f t="shared" si="16"/>
        <v>0</v>
      </c>
      <c r="AJ54" s="33">
        <f t="shared" si="17"/>
        <v>0</v>
      </c>
      <c r="AK54" s="33"/>
      <c r="AL54" s="33">
        <f t="shared" si="0"/>
        <v>0</v>
      </c>
      <c r="AM54" s="28"/>
      <c r="AN54" s="32"/>
      <c r="AO54" s="32"/>
      <c r="AP54" s="32"/>
      <c r="AQ54" s="33">
        <f t="shared" si="18"/>
        <v>0</v>
      </c>
      <c r="AR54" s="33">
        <f t="shared" si="19"/>
        <v>0</v>
      </c>
      <c r="AS54" s="33">
        <f t="shared" si="20"/>
        <v>0</v>
      </c>
      <c r="AT54" s="33">
        <f t="shared" si="21"/>
        <v>0</v>
      </c>
      <c r="AU54" s="33"/>
      <c r="AV54" s="33">
        <f t="shared" si="1"/>
        <v>0</v>
      </c>
      <c r="AW54" s="28"/>
      <c r="AX54" s="32"/>
      <c r="AY54" s="32"/>
      <c r="AZ54" s="32"/>
      <c r="BA54" s="33">
        <f t="shared" si="22"/>
        <v>0</v>
      </c>
      <c r="BB54" s="33">
        <f t="shared" si="23"/>
        <v>0</v>
      </c>
      <c r="BC54" s="33">
        <f t="shared" si="24"/>
        <v>0</v>
      </c>
      <c r="BD54" s="33">
        <f t="shared" si="25"/>
        <v>0</v>
      </c>
      <c r="BE54" s="33"/>
      <c r="BF54" s="33">
        <f t="shared" si="2"/>
        <v>0</v>
      </c>
      <c r="BG54" s="28"/>
      <c r="BH54" s="32"/>
      <c r="BI54" s="32"/>
      <c r="BJ54" s="32"/>
      <c r="BK54" s="28"/>
      <c r="BL54" s="32"/>
      <c r="BM54" s="32"/>
      <c r="BN54" s="32"/>
      <c r="BO54" s="28"/>
      <c r="BP54" s="28">
        <f t="shared" si="26"/>
        <v>0</v>
      </c>
      <c r="BQ54" s="28"/>
      <c r="BR54" s="32"/>
      <c r="BS54" s="32"/>
      <c r="BT54" s="32"/>
      <c r="BU54" s="32"/>
      <c r="BV54" s="32"/>
      <c r="BW54" s="32"/>
      <c r="BX54" s="32"/>
    </row>
    <row r="55" spans="1:76" x14ac:dyDescent="0.35">
      <c r="A55" s="32"/>
      <c r="B55" s="32"/>
      <c r="C55" s="32"/>
      <c r="D55" s="32"/>
      <c r="E55" s="54" t="str">
        <f t="shared" si="3"/>
        <v/>
      </c>
      <c r="F55" s="119"/>
      <c r="G55" s="32"/>
      <c r="H55" s="32"/>
      <c r="I55" s="98">
        <f t="shared" si="4"/>
        <v>0</v>
      </c>
      <c r="J55" s="35"/>
      <c r="K55" s="32"/>
      <c r="L55" s="32"/>
      <c r="M55" s="32"/>
      <c r="N55" s="33">
        <f t="shared" si="5"/>
        <v>0</v>
      </c>
      <c r="O55" s="33">
        <f t="shared" si="6"/>
        <v>0</v>
      </c>
      <c r="P55" s="33">
        <f t="shared" si="7"/>
        <v>0</v>
      </c>
      <c r="Q55" s="33">
        <f t="shared" si="8"/>
        <v>0</v>
      </c>
      <c r="R55" s="40"/>
      <c r="S55" s="16"/>
      <c r="T55" s="32"/>
      <c r="U55" s="32"/>
      <c r="V55" s="32"/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A55" s="33"/>
      <c r="AB55" s="33">
        <f t="shared" si="13"/>
        <v>0</v>
      </c>
      <c r="AC55" s="26"/>
      <c r="AD55" s="32"/>
      <c r="AE55" s="32"/>
      <c r="AF55" s="32"/>
      <c r="AG55" s="33">
        <f t="shared" si="14"/>
        <v>0</v>
      </c>
      <c r="AH55" s="33">
        <f t="shared" si="15"/>
        <v>0</v>
      </c>
      <c r="AI55" s="33">
        <f t="shared" si="16"/>
        <v>0</v>
      </c>
      <c r="AJ55" s="33">
        <f t="shared" si="17"/>
        <v>0</v>
      </c>
      <c r="AK55" s="33"/>
      <c r="AL55" s="33">
        <f t="shared" si="0"/>
        <v>0</v>
      </c>
      <c r="AM55" s="28"/>
      <c r="AN55" s="32"/>
      <c r="AO55" s="32"/>
      <c r="AP55" s="32"/>
      <c r="AQ55" s="33">
        <f t="shared" si="18"/>
        <v>0</v>
      </c>
      <c r="AR55" s="33">
        <f t="shared" si="19"/>
        <v>0</v>
      </c>
      <c r="AS55" s="33">
        <f t="shared" si="20"/>
        <v>0</v>
      </c>
      <c r="AT55" s="33">
        <f t="shared" si="21"/>
        <v>0</v>
      </c>
      <c r="AU55" s="33"/>
      <c r="AV55" s="33">
        <f t="shared" si="1"/>
        <v>0</v>
      </c>
      <c r="AW55" s="28"/>
      <c r="AX55" s="32"/>
      <c r="AY55" s="32"/>
      <c r="AZ55" s="32"/>
      <c r="BA55" s="33">
        <f t="shared" si="22"/>
        <v>0</v>
      </c>
      <c r="BB55" s="33">
        <f t="shared" si="23"/>
        <v>0</v>
      </c>
      <c r="BC55" s="33">
        <f t="shared" si="24"/>
        <v>0</v>
      </c>
      <c r="BD55" s="33">
        <f t="shared" si="25"/>
        <v>0</v>
      </c>
      <c r="BE55" s="33"/>
      <c r="BF55" s="33">
        <f t="shared" si="2"/>
        <v>0</v>
      </c>
      <c r="BG55" s="28"/>
      <c r="BH55" s="32"/>
      <c r="BI55" s="32"/>
      <c r="BJ55" s="32"/>
      <c r="BK55" s="28"/>
      <c r="BL55" s="32"/>
      <c r="BM55" s="32"/>
      <c r="BN55" s="32"/>
      <c r="BO55" s="28"/>
      <c r="BP55" s="28">
        <f t="shared" si="26"/>
        <v>0</v>
      </c>
      <c r="BQ55" s="28"/>
      <c r="BR55" s="149"/>
      <c r="BS55" s="149"/>
      <c r="BT55" s="149"/>
      <c r="BU55" s="149"/>
      <c r="BV55" s="149"/>
      <c r="BW55" s="149"/>
      <c r="BX55" s="149"/>
    </row>
    <row r="56" spans="1:76" ht="15" thickBot="1" x14ac:dyDescent="0.4">
      <c r="A56" s="32"/>
      <c r="B56" s="32"/>
      <c r="C56" s="32"/>
      <c r="D56" s="32"/>
      <c r="E56" s="54" t="str">
        <f t="shared" si="3"/>
        <v/>
      </c>
      <c r="F56" s="119"/>
      <c r="G56" s="32"/>
      <c r="H56" s="32"/>
      <c r="I56" s="98">
        <f t="shared" si="4"/>
        <v>0</v>
      </c>
      <c r="J56" s="35"/>
      <c r="K56" s="32"/>
      <c r="L56" s="32"/>
      <c r="M56" s="32"/>
      <c r="N56" s="33">
        <f t="shared" si="5"/>
        <v>0</v>
      </c>
      <c r="O56" s="33">
        <f t="shared" si="6"/>
        <v>0</v>
      </c>
      <c r="P56" s="33">
        <f t="shared" si="7"/>
        <v>0</v>
      </c>
      <c r="Q56" s="33">
        <f t="shared" si="8"/>
        <v>0</v>
      </c>
      <c r="R56" s="40"/>
      <c r="S56" s="16"/>
      <c r="T56" s="32"/>
      <c r="U56" s="32"/>
      <c r="V56" s="32"/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A56" s="33"/>
      <c r="AB56" s="33">
        <f t="shared" si="13"/>
        <v>0</v>
      </c>
      <c r="AC56" s="26"/>
      <c r="AD56" s="32"/>
      <c r="AE56" s="32"/>
      <c r="AF56" s="32"/>
      <c r="AG56" s="33">
        <f t="shared" si="14"/>
        <v>0</v>
      </c>
      <c r="AH56" s="33">
        <f t="shared" si="15"/>
        <v>0</v>
      </c>
      <c r="AI56" s="33">
        <f t="shared" si="16"/>
        <v>0</v>
      </c>
      <c r="AJ56" s="33">
        <f t="shared" si="17"/>
        <v>0</v>
      </c>
      <c r="AK56" s="33"/>
      <c r="AL56" s="33">
        <f t="shared" si="0"/>
        <v>0</v>
      </c>
      <c r="AM56" s="28"/>
      <c r="AN56" s="32"/>
      <c r="AO56" s="32"/>
      <c r="AP56" s="32"/>
      <c r="AQ56" s="33">
        <f t="shared" si="18"/>
        <v>0</v>
      </c>
      <c r="AR56" s="33">
        <f t="shared" si="19"/>
        <v>0</v>
      </c>
      <c r="AS56" s="33">
        <f t="shared" si="20"/>
        <v>0</v>
      </c>
      <c r="AT56" s="33">
        <f t="shared" si="21"/>
        <v>0</v>
      </c>
      <c r="AU56" s="33"/>
      <c r="AV56" s="33">
        <f t="shared" si="1"/>
        <v>0</v>
      </c>
      <c r="AW56" s="28"/>
      <c r="AX56" s="32"/>
      <c r="AY56" s="32"/>
      <c r="AZ56" s="32"/>
      <c r="BA56" s="33">
        <f t="shared" si="22"/>
        <v>0</v>
      </c>
      <c r="BB56" s="33">
        <f t="shared" si="23"/>
        <v>0</v>
      </c>
      <c r="BC56" s="33">
        <f t="shared" si="24"/>
        <v>0</v>
      </c>
      <c r="BD56" s="33">
        <f t="shared" si="25"/>
        <v>0</v>
      </c>
      <c r="BE56" s="33"/>
      <c r="BF56" s="33">
        <f t="shared" si="2"/>
        <v>0</v>
      </c>
      <c r="BG56" s="28"/>
      <c r="BH56" s="32"/>
      <c r="BI56" s="32"/>
      <c r="BJ56" s="32"/>
      <c r="BK56" s="28"/>
      <c r="BL56" s="32"/>
      <c r="BM56" s="32"/>
      <c r="BN56" s="32"/>
      <c r="BO56" s="28"/>
      <c r="BP56" s="28">
        <f t="shared" si="26"/>
        <v>0</v>
      </c>
      <c r="BQ56" s="28"/>
      <c r="BR56" s="32"/>
      <c r="BS56" s="32"/>
      <c r="BT56" s="32"/>
      <c r="BU56" s="32"/>
      <c r="BV56" s="32"/>
      <c r="BW56" s="32"/>
      <c r="BX56" s="32"/>
    </row>
    <row r="57" spans="1:76" ht="15" thickTop="1" x14ac:dyDescent="0.35">
      <c r="A57" s="32"/>
      <c r="B57" s="32"/>
      <c r="C57" s="32"/>
      <c r="D57" s="32"/>
      <c r="E57" s="54" t="str">
        <f>IF(A57= "","",1)</f>
        <v/>
      </c>
      <c r="F57" s="119"/>
      <c r="G57" s="32"/>
      <c r="H57" s="119"/>
      <c r="I57" s="98">
        <f>IF(K57&gt;0, 1, 0)</f>
        <v>0</v>
      </c>
      <c r="J57" s="38"/>
      <c r="K57" s="32"/>
      <c r="L57" s="32"/>
      <c r="M57" s="32"/>
      <c r="N57" s="33">
        <f>IF(AND(L57&lt;=10,M57&lt;=10),M57-L57,MAX(0,10-L57))</f>
        <v>0</v>
      </c>
      <c r="O57" s="33">
        <f>IF(AND(L57&lt;=10,M57&gt;=20),10,IF(AND(L57&gt;=10,M57&lt;=20),M57-L57,IF(AND(L57&lt;=10,M57&lt;=20,M57&gt;=10),M57-10,IF(AND(L57&gt;=10,M57&gt;=20),MAX(0,20-L57),0))))</f>
        <v>0</v>
      </c>
      <c r="P57" s="33">
        <f>IF(AND(L57&lt;=20,M57&gt;=30),10,IF(AND(L57&gt;=20,M57&lt;=30),M57-L57,IF(AND(L57&lt;=20,M57&lt;=30,M57&gt;=20),M57-20,IF(AND(L57&gt;=20,M57&gt;=30),30-L57,0))))</f>
        <v>0</v>
      </c>
      <c r="Q57" s="33">
        <f>IF(AND(L57&lt;=30,M57&gt;=40),10,IF(AND(L57&gt;=30,M57&lt;=40),M57-L57,IF(AND(L57&lt;=30,M57&lt;=40,M57&gt;=30),M57-30,IF(AND(L57&gt;=30,M57&gt;=40),40-L57,0))))</f>
        <v>0</v>
      </c>
      <c r="R57" s="39"/>
      <c r="S57" s="43"/>
      <c r="T57" s="32"/>
      <c r="U57" s="32"/>
      <c r="V57" s="32"/>
      <c r="W57" s="33">
        <f>IF(AND(U57&lt;=10,V57&lt;=10),V57-U57,MAX(0,10-U57))</f>
        <v>0</v>
      </c>
      <c r="X57" s="33">
        <f>IF(AND(U57&lt;=10,V57&gt;=20),10,IF(AND(U57&gt;=10,V57&lt;=20),V57-U57,IF(AND(U57&lt;=10,V57&lt;=20,V57&gt;=10),V57-10,IF(AND(U57&gt;=10,V57&gt;=20),MAX(0,20-U57),0))))</f>
        <v>0</v>
      </c>
      <c r="Y57" s="33">
        <f>IF(AND(U57&lt;=20,V57&gt;=30),10,IF(AND(U57&gt;=20,V57&lt;=30),V57-U57,IF(AND(U57&lt;=20,V57&lt;=30,V57&gt;=20),V57-20,IF(AND(U57&gt;=20,V57&gt;=30),MAX(0,30-U57),0))))</f>
        <v>0</v>
      </c>
      <c r="Z57" s="33">
        <f>IF(AND(U57&lt;=30,V57&gt;=40),10,IF(AND(U57&gt;=30,V57&lt;=40),V57-U57,IF(AND(U57&lt;=30,V57&lt;=40,V57&gt;=30),V57-30,IF(AND(U57&gt;=30,V57&gt;=40),40-U57,0))))</f>
        <v>0</v>
      </c>
      <c r="AA57" s="33"/>
      <c r="AB57" s="33">
        <f>IF(T57&gt;0, 1, 0)</f>
        <v>0</v>
      </c>
      <c r="AC57" s="25"/>
      <c r="AD57" s="32"/>
      <c r="AE57" s="32"/>
      <c r="AF57" s="32"/>
      <c r="AG57" s="33">
        <f>IF(AND(AE57&lt;=10,AF57&lt;=10),AF57-AE57,MAX(0,10-AE57))</f>
        <v>0</v>
      </c>
      <c r="AH57" s="33">
        <f>IF(AND(AE57&lt;=10,AF57&gt;=20),10,IF(AND(AE57&gt;=10,AF57&lt;=20),AF57-AE57,IF(AND(AE57&lt;=10,AF57&lt;=20,AF57&gt;=10),AF57-10,IF(AND(AE57&gt;=10,AF57&gt;=20),MAX(0,20-AE57),0))))</f>
        <v>0</v>
      </c>
      <c r="AI57" s="33">
        <f t="shared" si="16"/>
        <v>0</v>
      </c>
      <c r="AJ57" s="33">
        <f>IF(AND(AE57&lt;=30,AF57&gt;=40),10,IF(AND(AE57&gt;=30,AF57&lt;=40),AF57-AE57,IF(AND(AE57&lt;=30,AF57&lt;=40,AF57&gt;=30),AF57-30,IF(AND(AE57&gt;=30,AF57&gt;=40),40-AE57,0))))</f>
        <v>0</v>
      </c>
      <c r="AK57" s="33"/>
      <c r="AL57" s="33">
        <f t="shared" ref="AL57:AL85" si="162">IF(AD57&gt;0, 1, 0)</f>
        <v>0</v>
      </c>
      <c r="AM57" s="28"/>
      <c r="AN57" s="32"/>
      <c r="AO57" s="32"/>
      <c r="AP57" s="32"/>
      <c r="AQ57" s="33">
        <f>IF(AND(AO57&lt;=10,AP57&lt;=10),AP57-AO57,MAX(0,10-AO57))</f>
        <v>0</v>
      </c>
      <c r="AR57" s="33">
        <f>IF(AND(AO57&lt;=10,AP57&gt;=20),10,IF(AND(AO57&gt;=10,AP57&lt;=20),AP57-AO57,IF(AND(AO57&lt;=10,AP57&lt;=20,AP57&gt;=10),AP57-10,IF(AND(AO57&gt;=10,AP57&gt;=20),MAX(0,20-AO57),0))))</f>
        <v>0</v>
      </c>
      <c r="AS57" s="33">
        <f t="shared" si="20"/>
        <v>0</v>
      </c>
      <c r="AT57" s="33">
        <f>IF(AND(AO57&lt;=30,AP57&gt;=40),10,IF(AND(AO57&gt;=30,AP57&lt;=40),AP57-AO57,IF(AND(AO57&lt;=30,AP57&lt;=40,AP57&gt;=30),AP57-30,IF(AND(AO57&gt;=30,AP57&gt;=40),40-AO57,0))))</f>
        <v>0</v>
      </c>
      <c r="AU57" s="33"/>
      <c r="AV57" s="33">
        <f t="shared" ref="AV57:AV85" si="163">IF(AN57&gt;0, 1, 0)</f>
        <v>0</v>
      </c>
      <c r="AW57" s="28"/>
      <c r="AX57" s="32"/>
      <c r="AY57" s="32"/>
      <c r="AZ57" s="32"/>
      <c r="BA57" s="33">
        <f>IF(AND(AY57&lt;=10,AZ57&lt;=10),AZ57-AY57,MAX(0,10-AY57))</f>
        <v>0</v>
      </c>
      <c r="BB57" s="33">
        <f>IF(AND(AY57&lt;=10,AZ57&gt;=20),10,IF(AND(AY57&gt;=10,AZ57&lt;=20),AZ57-AY57,IF(AND(AY57&lt;=10,AZ57&lt;=20,AZ57&gt;=10),AZ57-10,IF(AND(AY57&gt;=10,AZ57&gt;=20),MAX(0,20-AY57),0))))</f>
        <v>0</v>
      </c>
      <c r="BC57" s="33">
        <f t="shared" si="24"/>
        <v>0</v>
      </c>
      <c r="BD57" s="33">
        <f>IF(AND(AY57&lt;=30,AZ57&gt;=40),10,IF(AND(AY57&gt;=30,AZ57&lt;=40),AZ57-AY57,IF(AND(AY57&lt;=30,AZ57&lt;=40,AZ57&gt;=30),AZ57-30,IF(AND(AY57&gt;=30,AZ57&gt;=40),40-AY57,0))))</f>
        <v>0</v>
      </c>
      <c r="BE57" s="33"/>
      <c r="BF57" s="33">
        <f t="shared" ref="BF57:BF63" si="164">IF(AX57&gt;0, 1, 0)</f>
        <v>0</v>
      </c>
      <c r="BG57" s="28"/>
      <c r="BH57" s="32"/>
      <c r="BI57" s="32"/>
      <c r="BJ57" s="32"/>
      <c r="BK57" s="28"/>
      <c r="BL57" s="32"/>
      <c r="BM57" s="32"/>
      <c r="BN57" s="32"/>
      <c r="BO57" s="28"/>
      <c r="BP57" s="28">
        <f>IF(OR(BI57="YES",BL57="YES"), 1, 0)</f>
        <v>0</v>
      </c>
      <c r="BQ57" s="28"/>
      <c r="BR57" s="32"/>
      <c r="BS57" s="32"/>
      <c r="BT57" s="32"/>
      <c r="BU57" s="32"/>
      <c r="BV57" s="32"/>
      <c r="BW57" s="32"/>
      <c r="BX57" s="32"/>
    </row>
    <row r="58" spans="1:76" x14ac:dyDescent="0.35">
      <c r="A58" s="32"/>
      <c r="B58" s="32"/>
      <c r="C58" s="32"/>
      <c r="D58" s="32"/>
      <c r="E58" s="54" t="str">
        <f t="shared" ref="E58:E85" si="165">IF(A58= "","",1)</f>
        <v/>
      </c>
      <c r="F58" s="119"/>
      <c r="G58" s="32"/>
      <c r="H58" s="119"/>
      <c r="I58" s="98">
        <f t="shared" ref="I58:I59" si="166">IF(K58&gt;0, 1, 0)</f>
        <v>0</v>
      </c>
      <c r="J58" s="35"/>
      <c r="K58" s="32"/>
      <c r="L58" s="32"/>
      <c r="M58" s="32"/>
      <c r="N58" s="33">
        <f t="shared" ref="N58:N67" si="167">IF(AND(L58&lt;=10,M58&lt;=10),M58-L58,MAX(0,10-L58))</f>
        <v>0</v>
      </c>
      <c r="O58" s="33">
        <f t="shared" ref="O58:O67" si="168">IF(AND(L58&lt;=10,M58&gt;=20),10,IF(AND(L58&gt;=10,M58&lt;=20),M58-L58,IF(AND(L58&lt;=10,M58&lt;=20,M58&gt;=10),M58-10,IF(AND(L58&gt;=10,M58&gt;=20),MAX(0,20-L58),0))))</f>
        <v>0</v>
      </c>
      <c r="P58" s="33">
        <f t="shared" ref="P58:P67" si="169">IF(AND(L58&lt;=20,M58&gt;=30),10,IF(AND(L58&gt;=20,M58&lt;=30),M58-L58,IF(AND(L58&lt;=20,M58&lt;=30,M58&gt;=20),M58-20,IF(AND(L58&gt;=20,M58&gt;=30),30-L58,0))))</f>
        <v>0</v>
      </c>
      <c r="Q58" s="33">
        <f t="shared" ref="Q58:Q67" si="170">IF(AND(L58&lt;=30,M58&gt;=40),10,IF(AND(L58&gt;=30,M58&lt;=40),M58-L58,IF(AND(L58&lt;=30,M58&lt;=40,M58&gt;=30),M58-30,IF(AND(L58&gt;=30,M58&gt;=40),40-L58,0))))</f>
        <v>0</v>
      </c>
      <c r="R58" s="16"/>
      <c r="S58" s="16"/>
      <c r="T58" s="32"/>
      <c r="U58" s="32"/>
      <c r="V58" s="32"/>
      <c r="W58" s="33">
        <f t="shared" ref="W58:W85" si="171">IF(AND(U58&lt;=10,V58&lt;=10),V58-U58,MAX(0,10-U58))</f>
        <v>0</v>
      </c>
      <c r="X58" s="33">
        <f t="shared" ref="X58:X85" si="172">IF(AND(U58&lt;=10,V58&gt;=20),10,IF(AND(U58&gt;=10,V58&lt;=20),V58-U58,IF(AND(U58&lt;=10,V58&lt;=20,V58&gt;=10),V58-10,IF(AND(U58&gt;=10,V58&gt;=20),MAX(0,20-U58),0))))</f>
        <v>0</v>
      </c>
      <c r="Y58" s="33">
        <f t="shared" ref="Y58:Y85" si="173">IF(AND(U58&lt;=20,V58&gt;=30),10,IF(AND(U58&gt;=20,V58&lt;=30),V58-U58,IF(AND(U58&lt;=20,V58&lt;=30,V58&gt;=20),V58-20,IF(AND(U58&gt;=20,V58&gt;=30),30-U58,0))))</f>
        <v>0</v>
      </c>
      <c r="Z58" s="33">
        <f t="shared" ref="Z58:Z85" si="174">IF(AND(U58&lt;=30,V58&gt;=40),10,IF(AND(U58&gt;=30,V58&lt;=40),V58-U58,IF(AND(U58&lt;=30,V58&lt;=40,V58&gt;=30),V58-30,IF(AND(U58&gt;=30,V58&gt;=40),40-U58,0))))</f>
        <v>0</v>
      </c>
      <c r="AA58" s="33"/>
      <c r="AB58" s="33">
        <f t="shared" ref="AB58:AB85" si="175">IF(T58&gt;0, 1, 0)</f>
        <v>0</v>
      </c>
      <c r="AC58" s="26"/>
      <c r="AD58" s="32"/>
      <c r="AE58" s="32"/>
      <c r="AF58" s="32"/>
      <c r="AG58" s="33">
        <f t="shared" ref="AG58:AG85" si="176">IF(AND(AE58&lt;=10,AF58&lt;=10),AF58-AE58,MAX(0,10-AE58))</f>
        <v>0</v>
      </c>
      <c r="AH58" s="33">
        <f t="shared" ref="AH58:AH85" si="177">IF(AND(AE58&lt;=10,AF58&gt;=20),10,IF(AND(AE58&gt;=10,AF58&lt;=20),AF58-AE58,IF(AND(AE58&lt;=10,AF58&lt;=20,AF58&gt;=10),AF58-10,IF(AND(AE58&gt;=10,AF58&gt;=20),MAX(0,20-AE58),0))))</f>
        <v>0</v>
      </c>
      <c r="AI58" s="33">
        <f t="shared" ref="AI58:AI85" si="178">IF(AND(AE58&lt;=20,AF58&gt;=30),10,IF(AND(AE58&gt;=20,AF58&lt;=30),AF58-AE58,IF(AND(AE58&lt;=20,AF58&lt;=30,AF58&gt;=20),AF58-20,IF(AND(AE58&gt;=20,AF58&gt;=30),30-AE58,0))))</f>
        <v>0</v>
      </c>
      <c r="AJ58" s="33">
        <f t="shared" ref="AJ58:AJ85" si="179">IF(AND(AE58&lt;=30,AF58&gt;=40),10,IF(AND(AE58&gt;=30,AF58&lt;=40),AF58-AE58,IF(AND(AE58&lt;=30,AF58&lt;=40,AF58&gt;=30),AF58-30,IF(AND(AE58&gt;=30,AF58&gt;=40),40-AE58,0))))</f>
        <v>0</v>
      </c>
      <c r="AK58" s="33"/>
      <c r="AL58" s="33">
        <f t="shared" si="162"/>
        <v>0</v>
      </c>
      <c r="AM58" s="28"/>
      <c r="AN58" s="32"/>
      <c r="AO58" s="32"/>
      <c r="AP58" s="32"/>
      <c r="AQ58" s="33">
        <f t="shared" ref="AQ58:AQ85" si="180">IF(AND(AO58&lt;=10,AP58&lt;=10),AP58-AO58,MAX(0,10-AO58))</f>
        <v>0</v>
      </c>
      <c r="AR58" s="33">
        <f t="shared" ref="AR58:AR85" si="181">IF(AND(AO58&lt;=10,AP58&gt;=20),10,IF(AND(AO58&gt;=10,AP58&lt;=20),AP58-AO58,IF(AND(AO58&lt;=10,AP58&lt;=20,AP58&gt;=10),AP58-10,IF(AND(AO58&gt;=10,AP58&gt;=20),MAX(0,20-AO58),0))))</f>
        <v>0</v>
      </c>
      <c r="AS58" s="33">
        <f t="shared" ref="AS58:AS85" si="182">IF(AND(AO58&lt;=20,AP58&gt;=30),10,IF(AND(AO58&gt;=20,AP58&lt;=30),AP58-AO58,IF(AND(AO58&lt;=20,AP58&lt;=30,AP58&gt;=20),AP58-20,IF(AND(AO58&gt;=20,AP58&gt;=30),30-AO58,0))))</f>
        <v>0</v>
      </c>
      <c r="AT58" s="33">
        <f t="shared" ref="AT58:AT85" si="183">IF(AND(AO58&lt;=30,AP58&gt;=40),10,IF(AND(AO58&gt;=30,AP58&lt;=40),AP58-AO58,IF(AND(AO58&lt;=30,AP58&lt;=40,AP58&gt;=30),AP58-30,IF(AND(AO58&gt;=30,AP58&gt;=40),40-AO58,0))))</f>
        <v>0</v>
      </c>
      <c r="AU58" s="33"/>
      <c r="AV58" s="33">
        <f t="shared" si="163"/>
        <v>0</v>
      </c>
      <c r="AW58" s="28"/>
      <c r="AX58" s="32"/>
      <c r="AY58" s="32"/>
      <c r="AZ58" s="32"/>
      <c r="BA58" s="33">
        <f t="shared" ref="BA58:BA63" si="184">IF(AND(AY58&lt;=10,AZ58&lt;=10),AZ58-AY58,MAX(0,10-AY58))</f>
        <v>0</v>
      </c>
      <c r="BB58" s="33">
        <f t="shared" ref="BB58:BB63" si="185">IF(AND(AY58&lt;=10,AZ58&gt;=20),10,IF(AND(AY58&gt;=10,AZ58&lt;=20),AZ58-AY58,IF(AND(AY58&lt;=10,AZ58&lt;=20,AZ58&gt;=10),AZ58-10,IF(AND(AY58&gt;=10,AZ58&gt;=20),MAX(0,20-AY58),0))))</f>
        <v>0</v>
      </c>
      <c r="BC58" s="33">
        <f t="shared" ref="BC58:BC63" si="186">IF(AND(AY58&lt;=20,AZ58&gt;=30),10,IF(AND(AY58&gt;=20,AZ58&lt;=30),AZ58-AY58,IF(AND(AY58&lt;=20,AZ58&lt;=30,AZ58&gt;=20),AZ58-20,IF(AND(AY58&gt;=20,AZ58&gt;=30),30-AY58,0))))</f>
        <v>0</v>
      </c>
      <c r="BD58" s="33">
        <f t="shared" ref="BD58:BD63" si="187">IF(AND(AY58&lt;=30,AZ58&gt;=40),10,IF(AND(AY58&gt;=30,AZ58&lt;=40),AZ58-AY58,IF(AND(AY58&lt;=30,AZ58&lt;=40,AZ58&gt;=30),AZ58-30,IF(AND(AY58&gt;=30,AZ58&gt;=40),40-AY58,0))))</f>
        <v>0</v>
      </c>
      <c r="BE58" s="33"/>
      <c r="BF58" s="33">
        <f t="shared" si="164"/>
        <v>0</v>
      </c>
      <c r="BG58" s="28"/>
      <c r="BH58" s="32"/>
      <c r="BI58" s="32"/>
      <c r="BJ58" s="32"/>
      <c r="BK58" s="28"/>
      <c r="BL58" s="32"/>
      <c r="BM58" s="32"/>
      <c r="BN58" s="32"/>
      <c r="BO58" s="28"/>
      <c r="BP58" s="28">
        <f t="shared" ref="BP58:BP85" si="188">IF(OR(BI58="YES",BL58="YES"), 1, 0)</f>
        <v>0</v>
      </c>
      <c r="BQ58" s="28"/>
      <c r="BR58" s="32"/>
      <c r="BS58" s="32"/>
      <c r="BT58" s="32"/>
      <c r="BU58" s="32"/>
      <c r="BV58" s="32"/>
      <c r="BW58" s="32"/>
      <c r="BX58" s="32"/>
    </row>
    <row r="59" spans="1:76" x14ac:dyDescent="0.35">
      <c r="A59" s="32"/>
      <c r="B59" s="32"/>
      <c r="C59" s="32"/>
      <c r="D59" s="32"/>
      <c r="E59" s="54" t="str">
        <f t="shared" si="165"/>
        <v/>
      </c>
      <c r="F59" s="119"/>
      <c r="G59" s="32"/>
      <c r="H59" s="32"/>
      <c r="I59" s="98">
        <f t="shared" si="166"/>
        <v>0</v>
      </c>
      <c r="J59" s="35"/>
      <c r="K59" s="32"/>
      <c r="L59" s="32"/>
      <c r="M59" s="32"/>
      <c r="N59" s="33">
        <f t="shared" si="167"/>
        <v>0</v>
      </c>
      <c r="O59" s="33">
        <f t="shared" si="168"/>
        <v>0</v>
      </c>
      <c r="P59" s="33">
        <f t="shared" si="169"/>
        <v>0</v>
      </c>
      <c r="Q59" s="33">
        <f t="shared" si="170"/>
        <v>0</v>
      </c>
      <c r="R59" s="40"/>
      <c r="S59" s="16"/>
      <c r="T59" s="32"/>
      <c r="U59" s="32"/>
      <c r="V59" s="32"/>
      <c r="W59" s="33">
        <f t="shared" si="171"/>
        <v>0</v>
      </c>
      <c r="X59" s="33">
        <f t="shared" si="172"/>
        <v>0</v>
      </c>
      <c r="Y59" s="33">
        <f t="shared" si="173"/>
        <v>0</v>
      </c>
      <c r="Z59" s="33">
        <f t="shared" si="174"/>
        <v>0</v>
      </c>
      <c r="AA59" s="33"/>
      <c r="AB59" s="33">
        <f t="shared" si="175"/>
        <v>0</v>
      </c>
      <c r="AC59" s="26"/>
      <c r="AD59" s="32"/>
      <c r="AE59" s="32"/>
      <c r="AF59" s="32"/>
      <c r="AG59" s="33">
        <f t="shared" si="176"/>
        <v>0</v>
      </c>
      <c r="AH59" s="33">
        <f t="shared" si="177"/>
        <v>0</v>
      </c>
      <c r="AI59" s="33">
        <f t="shared" si="178"/>
        <v>0</v>
      </c>
      <c r="AJ59" s="33">
        <f t="shared" si="179"/>
        <v>0</v>
      </c>
      <c r="AK59" s="33"/>
      <c r="AL59" s="33">
        <f t="shared" si="162"/>
        <v>0</v>
      </c>
      <c r="AM59" s="28"/>
      <c r="AN59" s="32"/>
      <c r="AO59" s="32"/>
      <c r="AP59" s="32"/>
      <c r="AQ59" s="33">
        <f t="shared" si="180"/>
        <v>0</v>
      </c>
      <c r="AR59" s="33">
        <f t="shared" si="181"/>
        <v>0</v>
      </c>
      <c r="AS59" s="33">
        <f t="shared" si="182"/>
        <v>0</v>
      </c>
      <c r="AT59" s="33">
        <f t="shared" si="183"/>
        <v>0</v>
      </c>
      <c r="AU59" s="33"/>
      <c r="AV59" s="33">
        <f t="shared" si="163"/>
        <v>0</v>
      </c>
      <c r="AW59" s="28"/>
      <c r="AX59" s="32"/>
      <c r="AY59" s="32"/>
      <c r="AZ59" s="32"/>
      <c r="BA59" s="33">
        <f t="shared" si="184"/>
        <v>0</v>
      </c>
      <c r="BB59" s="33">
        <f t="shared" si="185"/>
        <v>0</v>
      </c>
      <c r="BC59" s="33">
        <f t="shared" si="186"/>
        <v>0</v>
      </c>
      <c r="BD59" s="33">
        <f t="shared" si="187"/>
        <v>0</v>
      </c>
      <c r="BE59" s="33"/>
      <c r="BF59" s="33">
        <f t="shared" si="164"/>
        <v>0</v>
      </c>
      <c r="BG59" s="28"/>
      <c r="BH59" s="32"/>
      <c r="BI59" s="32"/>
      <c r="BJ59" s="32"/>
      <c r="BK59" s="28"/>
      <c r="BL59" s="32"/>
      <c r="BM59" s="32"/>
      <c r="BN59" s="32"/>
      <c r="BO59" s="28"/>
      <c r="BP59" s="28">
        <f t="shared" si="188"/>
        <v>0</v>
      </c>
      <c r="BQ59" s="28"/>
      <c r="BR59" s="32"/>
      <c r="BS59" s="32"/>
      <c r="BT59" s="32"/>
      <c r="BU59" s="32"/>
      <c r="BV59" s="32"/>
      <c r="BW59" s="32"/>
      <c r="BX59" s="32"/>
    </row>
    <row r="60" spans="1:76" x14ac:dyDescent="0.35">
      <c r="A60" s="32"/>
      <c r="B60" s="32"/>
      <c r="C60" s="32"/>
      <c r="D60" s="32"/>
      <c r="E60" s="54" t="str">
        <f t="shared" si="165"/>
        <v/>
      </c>
      <c r="F60" s="119"/>
      <c r="G60" s="32"/>
      <c r="H60" s="32"/>
      <c r="I60" s="98">
        <f>IF(K60&gt;0, 1, 0)</f>
        <v>0</v>
      </c>
      <c r="J60" s="35"/>
      <c r="K60" s="32"/>
      <c r="L60" s="32"/>
      <c r="M60" s="32"/>
      <c r="N60" s="33">
        <f t="shared" si="167"/>
        <v>0</v>
      </c>
      <c r="O60" s="33">
        <f t="shared" si="168"/>
        <v>0</v>
      </c>
      <c r="P60" s="33">
        <f t="shared" si="169"/>
        <v>0</v>
      </c>
      <c r="Q60" s="33">
        <f t="shared" si="170"/>
        <v>0</v>
      </c>
      <c r="R60" s="40"/>
      <c r="S60" s="16"/>
      <c r="T60" s="32"/>
      <c r="U60" s="32"/>
      <c r="V60" s="32"/>
      <c r="W60" s="33">
        <f t="shared" si="171"/>
        <v>0</v>
      </c>
      <c r="X60" s="33">
        <f t="shared" si="172"/>
        <v>0</v>
      </c>
      <c r="Y60" s="33">
        <f t="shared" si="173"/>
        <v>0</v>
      </c>
      <c r="Z60" s="33">
        <f t="shared" si="174"/>
        <v>0</v>
      </c>
      <c r="AA60" s="33"/>
      <c r="AB60" s="33">
        <f t="shared" si="175"/>
        <v>0</v>
      </c>
      <c r="AC60" s="26"/>
      <c r="AD60" s="32"/>
      <c r="AE60" s="32"/>
      <c r="AF60" s="32"/>
      <c r="AG60" s="33">
        <f t="shared" si="176"/>
        <v>0</v>
      </c>
      <c r="AH60" s="33">
        <f t="shared" si="177"/>
        <v>0</v>
      </c>
      <c r="AI60" s="33">
        <f t="shared" si="178"/>
        <v>0</v>
      </c>
      <c r="AJ60" s="33">
        <f t="shared" si="179"/>
        <v>0</v>
      </c>
      <c r="AK60" s="33"/>
      <c r="AL60" s="33">
        <f t="shared" si="162"/>
        <v>0</v>
      </c>
      <c r="AM60" s="28"/>
      <c r="AN60" s="32"/>
      <c r="AO60" s="32"/>
      <c r="AP60" s="32"/>
      <c r="AQ60" s="33">
        <f t="shared" si="180"/>
        <v>0</v>
      </c>
      <c r="AR60" s="33">
        <f t="shared" si="181"/>
        <v>0</v>
      </c>
      <c r="AS60" s="33">
        <f t="shared" si="182"/>
        <v>0</v>
      </c>
      <c r="AT60" s="33">
        <f t="shared" si="183"/>
        <v>0</v>
      </c>
      <c r="AU60" s="33"/>
      <c r="AV60" s="33">
        <f t="shared" si="163"/>
        <v>0</v>
      </c>
      <c r="AW60" s="28"/>
      <c r="AX60" s="32"/>
      <c r="AY60" s="32"/>
      <c r="AZ60" s="32"/>
      <c r="BA60" s="33">
        <f t="shared" si="184"/>
        <v>0</v>
      </c>
      <c r="BB60" s="33">
        <f t="shared" si="185"/>
        <v>0</v>
      </c>
      <c r="BC60" s="33">
        <f t="shared" si="186"/>
        <v>0</v>
      </c>
      <c r="BD60" s="33">
        <f t="shared" si="187"/>
        <v>0</v>
      </c>
      <c r="BE60" s="33"/>
      <c r="BF60" s="33">
        <f t="shared" si="164"/>
        <v>0</v>
      </c>
      <c r="BG60" s="28"/>
      <c r="BH60" s="32"/>
      <c r="BI60" s="32"/>
      <c r="BJ60" s="32"/>
      <c r="BK60" s="28"/>
      <c r="BL60" s="32"/>
      <c r="BM60" s="32"/>
      <c r="BN60" s="32"/>
      <c r="BO60" s="28"/>
      <c r="BP60" s="28">
        <f t="shared" si="188"/>
        <v>0</v>
      </c>
      <c r="BQ60" s="28"/>
      <c r="BR60" s="32"/>
      <c r="BS60" s="32"/>
      <c r="BT60" s="32"/>
      <c r="BU60" s="32"/>
      <c r="BV60" s="32"/>
      <c r="BW60" s="32"/>
      <c r="BX60" s="32"/>
    </row>
    <row r="61" spans="1:76" x14ac:dyDescent="0.35">
      <c r="A61" s="32"/>
      <c r="B61" s="32"/>
      <c r="C61" s="32"/>
      <c r="D61" s="32"/>
      <c r="E61" s="54" t="str">
        <f t="shared" si="165"/>
        <v/>
      </c>
      <c r="F61" s="119"/>
      <c r="G61" s="32"/>
      <c r="H61" s="32"/>
      <c r="I61" s="98">
        <f t="shared" ref="I61:I85" si="189">IF(K61&gt;0, 1, 0)</f>
        <v>0</v>
      </c>
      <c r="J61" s="35"/>
      <c r="K61" s="32"/>
      <c r="L61" s="32"/>
      <c r="M61" s="32"/>
      <c r="N61" s="33">
        <f t="shared" si="167"/>
        <v>0</v>
      </c>
      <c r="O61" s="33">
        <f t="shared" si="168"/>
        <v>0</v>
      </c>
      <c r="P61" s="33">
        <f t="shared" si="169"/>
        <v>0</v>
      </c>
      <c r="Q61" s="33">
        <f t="shared" si="170"/>
        <v>0</v>
      </c>
      <c r="R61" s="40"/>
      <c r="S61" s="16"/>
      <c r="T61" s="32"/>
      <c r="U61" s="32"/>
      <c r="V61" s="32"/>
      <c r="W61" s="33">
        <f t="shared" si="171"/>
        <v>0</v>
      </c>
      <c r="X61" s="33">
        <f t="shared" si="172"/>
        <v>0</v>
      </c>
      <c r="Y61" s="33">
        <f t="shared" si="173"/>
        <v>0</v>
      </c>
      <c r="Z61" s="33">
        <f t="shared" si="174"/>
        <v>0</v>
      </c>
      <c r="AA61" s="33"/>
      <c r="AB61" s="33">
        <f t="shared" si="175"/>
        <v>0</v>
      </c>
      <c r="AC61" s="26"/>
      <c r="AD61" s="32"/>
      <c r="AE61" s="32"/>
      <c r="AF61" s="32"/>
      <c r="AG61" s="33">
        <f t="shared" si="176"/>
        <v>0</v>
      </c>
      <c r="AH61" s="33">
        <f t="shared" si="177"/>
        <v>0</v>
      </c>
      <c r="AI61" s="33">
        <f t="shared" si="178"/>
        <v>0</v>
      </c>
      <c r="AJ61" s="33">
        <f t="shared" si="179"/>
        <v>0</v>
      </c>
      <c r="AK61" s="33"/>
      <c r="AL61" s="33">
        <f t="shared" si="162"/>
        <v>0</v>
      </c>
      <c r="AM61" s="28"/>
      <c r="AN61" s="32"/>
      <c r="AO61" s="32"/>
      <c r="AP61" s="32"/>
      <c r="AQ61" s="33">
        <f t="shared" si="180"/>
        <v>0</v>
      </c>
      <c r="AR61" s="33">
        <f t="shared" si="181"/>
        <v>0</v>
      </c>
      <c r="AS61" s="33">
        <f t="shared" si="182"/>
        <v>0</v>
      </c>
      <c r="AT61" s="33">
        <f t="shared" si="183"/>
        <v>0</v>
      </c>
      <c r="AU61" s="33"/>
      <c r="AV61" s="33">
        <f t="shared" si="163"/>
        <v>0</v>
      </c>
      <c r="AW61" s="28"/>
      <c r="AX61" s="32"/>
      <c r="AY61" s="32"/>
      <c r="AZ61" s="32"/>
      <c r="BA61" s="33">
        <f t="shared" si="184"/>
        <v>0</v>
      </c>
      <c r="BB61" s="33">
        <f t="shared" si="185"/>
        <v>0</v>
      </c>
      <c r="BC61" s="33">
        <f t="shared" si="186"/>
        <v>0</v>
      </c>
      <c r="BD61" s="33">
        <f t="shared" si="187"/>
        <v>0</v>
      </c>
      <c r="BE61" s="33"/>
      <c r="BF61" s="33">
        <f t="shared" si="164"/>
        <v>0</v>
      </c>
      <c r="BG61" s="28"/>
      <c r="BH61" s="32"/>
      <c r="BI61" s="32"/>
      <c r="BJ61" s="32"/>
      <c r="BK61" s="28"/>
      <c r="BL61" s="32"/>
      <c r="BM61" s="32"/>
      <c r="BN61" s="32"/>
      <c r="BO61" s="28"/>
      <c r="BP61" s="28">
        <f t="shared" si="188"/>
        <v>0</v>
      </c>
      <c r="BQ61" s="28"/>
      <c r="BR61" s="149"/>
      <c r="BS61" s="149"/>
      <c r="BT61" s="149"/>
      <c r="BU61" s="149"/>
      <c r="BV61" s="149"/>
      <c r="BW61" s="149"/>
      <c r="BX61" s="149"/>
    </row>
    <row r="62" spans="1:76" x14ac:dyDescent="0.35">
      <c r="A62" s="32"/>
      <c r="B62" s="32"/>
      <c r="C62" s="32"/>
      <c r="D62" s="32"/>
      <c r="E62" s="54" t="str">
        <f t="shared" si="165"/>
        <v/>
      </c>
      <c r="F62" s="119"/>
      <c r="G62" s="32"/>
      <c r="H62" s="32"/>
      <c r="I62" s="98">
        <f t="shared" si="189"/>
        <v>0</v>
      </c>
      <c r="J62" s="35"/>
      <c r="K62" s="32"/>
      <c r="L62" s="32"/>
      <c r="M62" s="32"/>
      <c r="N62" s="33">
        <f t="shared" si="167"/>
        <v>0</v>
      </c>
      <c r="O62" s="33">
        <f t="shared" si="168"/>
        <v>0</v>
      </c>
      <c r="P62" s="33">
        <f t="shared" si="169"/>
        <v>0</v>
      </c>
      <c r="Q62" s="33">
        <f t="shared" si="170"/>
        <v>0</v>
      </c>
      <c r="R62" s="40"/>
      <c r="S62" s="16"/>
      <c r="T62" s="32"/>
      <c r="U62" s="32"/>
      <c r="V62" s="32"/>
      <c r="W62" s="33">
        <f t="shared" si="171"/>
        <v>0</v>
      </c>
      <c r="X62" s="33">
        <f t="shared" si="172"/>
        <v>0</v>
      </c>
      <c r="Y62" s="33">
        <f t="shared" si="173"/>
        <v>0</v>
      </c>
      <c r="Z62" s="33">
        <f t="shared" si="174"/>
        <v>0</v>
      </c>
      <c r="AA62" s="33"/>
      <c r="AB62" s="33">
        <f t="shared" si="175"/>
        <v>0</v>
      </c>
      <c r="AC62" s="26"/>
      <c r="AD62" s="32"/>
      <c r="AE62" s="32"/>
      <c r="AF62" s="32"/>
      <c r="AG62" s="33">
        <f t="shared" si="176"/>
        <v>0</v>
      </c>
      <c r="AH62" s="33">
        <f t="shared" si="177"/>
        <v>0</v>
      </c>
      <c r="AI62" s="33">
        <f t="shared" si="178"/>
        <v>0</v>
      </c>
      <c r="AJ62" s="33">
        <f t="shared" si="179"/>
        <v>0</v>
      </c>
      <c r="AK62" s="33"/>
      <c r="AL62" s="33">
        <f t="shared" si="162"/>
        <v>0</v>
      </c>
      <c r="AM62" s="28"/>
      <c r="AN62" s="32"/>
      <c r="AO62" s="32"/>
      <c r="AP62" s="32"/>
      <c r="AQ62" s="33">
        <f t="shared" si="180"/>
        <v>0</v>
      </c>
      <c r="AR62" s="33">
        <f t="shared" si="181"/>
        <v>0</v>
      </c>
      <c r="AS62" s="33">
        <f t="shared" si="182"/>
        <v>0</v>
      </c>
      <c r="AT62" s="33">
        <f t="shared" si="183"/>
        <v>0</v>
      </c>
      <c r="AU62" s="33"/>
      <c r="AV62" s="33">
        <f t="shared" si="163"/>
        <v>0</v>
      </c>
      <c r="AW62" s="28"/>
      <c r="AX62" s="32"/>
      <c r="AY62" s="32"/>
      <c r="AZ62" s="32"/>
      <c r="BA62" s="33">
        <f t="shared" si="184"/>
        <v>0</v>
      </c>
      <c r="BB62" s="33">
        <f t="shared" si="185"/>
        <v>0</v>
      </c>
      <c r="BC62" s="33">
        <f t="shared" si="186"/>
        <v>0</v>
      </c>
      <c r="BD62" s="33">
        <f t="shared" si="187"/>
        <v>0</v>
      </c>
      <c r="BE62" s="33"/>
      <c r="BF62" s="33">
        <f t="shared" si="164"/>
        <v>0</v>
      </c>
      <c r="BG62" s="28"/>
      <c r="BH62" s="32"/>
      <c r="BI62" s="32"/>
      <c r="BJ62" s="32"/>
      <c r="BK62" s="28"/>
      <c r="BL62" s="32"/>
      <c r="BM62" s="32"/>
      <c r="BN62" s="32"/>
      <c r="BO62" s="28"/>
      <c r="BP62" s="28">
        <f t="shared" si="188"/>
        <v>0</v>
      </c>
      <c r="BQ62" s="28"/>
      <c r="BR62" s="32"/>
      <c r="BS62" s="32"/>
      <c r="BT62" s="32"/>
      <c r="BU62" s="32"/>
      <c r="BV62" s="32"/>
      <c r="BW62" s="32"/>
      <c r="BX62" s="32"/>
    </row>
    <row r="63" spans="1:76" x14ac:dyDescent="0.35">
      <c r="A63" s="32"/>
      <c r="B63" s="32"/>
      <c r="C63" s="32"/>
      <c r="D63" s="32"/>
      <c r="E63" s="54" t="str">
        <f t="shared" si="165"/>
        <v/>
      </c>
      <c r="F63" s="119"/>
      <c r="G63" s="32"/>
      <c r="H63" s="32"/>
      <c r="I63" s="98">
        <f t="shared" si="189"/>
        <v>0</v>
      </c>
      <c r="J63" s="35"/>
      <c r="K63" s="32"/>
      <c r="L63" s="32"/>
      <c r="M63" s="32"/>
      <c r="N63" s="33">
        <f t="shared" si="167"/>
        <v>0</v>
      </c>
      <c r="O63" s="33">
        <f t="shared" si="168"/>
        <v>0</v>
      </c>
      <c r="P63" s="33">
        <f t="shared" si="169"/>
        <v>0</v>
      </c>
      <c r="Q63" s="33">
        <f t="shared" si="170"/>
        <v>0</v>
      </c>
      <c r="R63" s="40"/>
      <c r="S63" s="16"/>
      <c r="T63" s="32"/>
      <c r="U63" s="32"/>
      <c r="V63" s="32"/>
      <c r="W63" s="33">
        <f t="shared" si="171"/>
        <v>0</v>
      </c>
      <c r="X63" s="33">
        <f t="shared" si="172"/>
        <v>0</v>
      </c>
      <c r="Y63" s="33">
        <f t="shared" si="173"/>
        <v>0</v>
      </c>
      <c r="Z63" s="33">
        <f t="shared" si="174"/>
        <v>0</v>
      </c>
      <c r="AA63" s="33"/>
      <c r="AB63" s="33">
        <f t="shared" si="175"/>
        <v>0</v>
      </c>
      <c r="AC63" s="26"/>
      <c r="AD63" s="32"/>
      <c r="AE63" s="32"/>
      <c r="AF63" s="32"/>
      <c r="AG63" s="33">
        <f t="shared" si="176"/>
        <v>0</v>
      </c>
      <c r="AH63" s="33">
        <f t="shared" si="177"/>
        <v>0</v>
      </c>
      <c r="AI63" s="33">
        <f t="shared" si="178"/>
        <v>0</v>
      </c>
      <c r="AJ63" s="33">
        <f t="shared" si="179"/>
        <v>0</v>
      </c>
      <c r="AK63" s="33"/>
      <c r="AL63" s="33">
        <f t="shared" si="162"/>
        <v>0</v>
      </c>
      <c r="AM63" s="28"/>
      <c r="AN63" s="32"/>
      <c r="AO63" s="32"/>
      <c r="AP63" s="32"/>
      <c r="AQ63" s="33">
        <f t="shared" si="180"/>
        <v>0</v>
      </c>
      <c r="AR63" s="33">
        <f t="shared" si="181"/>
        <v>0</v>
      </c>
      <c r="AS63" s="33">
        <f t="shared" si="182"/>
        <v>0</v>
      </c>
      <c r="AT63" s="33">
        <f t="shared" si="183"/>
        <v>0</v>
      </c>
      <c r="AU63" s="33"/>
      <c r="AV63" s="33">
        <f t="shared" si="163"/>
        <v>0</v>
      </c>
      <c r="AW63" s="28"/>
      <c r="AX63" s="32"/>
      <c r="AY63" s="32"/>
      <c r="AZ63" s="32"/>
      <c r="BA63" s="33">
        <f t="shared" si="184"/>
        <v>0</v>
      </c>
      <c r="BB63" s="33">
        <f t="shared" si="185"/>
        <v>0</v>
      </c>
      <c r="BC63" s="33">
        <f t="shared" si="186"/>
        <v>0</v>
      </c>
      <c r="BD63" s="33">
        <f t="shared" si="187"/>
        <v>0</v>
      </c>
      <c r="BE63" s="33"/>
      <c r="BF63" s="33">
        <f t="shared" si="164"/>
        <v>0</v>
      </c>
      <c r="BG63" s="28"/>
      <c r="BH63" s="32"/>
      <c r="BI63" s="32"/>
      <c r="BJ63" s="32"/>
      <c r="BK63" s="28"/>
      <c r="BL63" s="32"/>
      <c r="BM63" s="32"/>
      <c r="BN63" s="32"/>
      <c r="BO63" s="28"/>
      <c r="BP63" s="28">
        <f t="shared" si="188"/>
        <v>0</v>
      </c>
      <c r="BQ63" s="28"/>
      <c r="BR63" s="32"/>
      <c r="BS63" s="32"/>
      <c r="BT63" s="32"/>
      <c r="BU63" s="32"/>
      <c r="BV63" s="32"/>
      <c r="BW63" s="32"/>
      <c r="BX63" s="32"/>
    </row>
    <row r="64" spans="1:76" x14ac:dyDescent="0.35">
      <c r="A64" s="32"/>
      <c r="B64" s="32"/>
      <c r="C64" s="32"/>
      <c r="D64" s="32"/>
      <c r="E64" s="54" t="str">
        <f t="shared" si="165"/>
        <v/>
      </c>
      <c r="F64" s="119"/>
      <c r="G64" s="32"/>
      <c r="H64" s="32"/>
      <c r="I64" s="98">
        <f t="shared" si="189"/>
        <v>0</v>
      </c>
      <c r="J64" s="35"/>
      <c r="K64" s="32"/>
      <c r="L64" s="32"/>
      <c r="M64" s="32"/>
      <c r="N64" s="33">
        <f t="shared" si="167"/>
        <v>0</v>
      </c>
      <c r="O64" s="33">
        <f t="shared" si="168"/>
        <v>0</v>
      </c>
      <c r="P64" s="33">
        <f t="shared" si="169"/>
        <v>0</v>
      </c>
      <c r="Q64" s="33">
        <f t="shared" si="170"/>
        <v>0</v>
      </c>
      <c r="R64" s="40"/>
      <c r="S64" s="16"/>
      <c r="T64" s="32"/>
      <c r="U64" s="32"/>
      <c r="V64" s="32"/>
      <c r="W64" s="33">
        <f t="shared" si="171"/>
        <v>0</v>
      </c>
      <c r="X64" s="33">
        <f t="shared" si="172"/>
        <v>0</v>
      </c>
      <c r="Y64" s="33">
        <f t="shared" si="173"/>
        <v>0</v>
      </c>
      <c r="Z64" s="33">
        <f t="shared" si="174"/>
        <v>0</v>
      </c>
      <c r="AA64" s="33"/>
      <c r="AB64" s="33">
        <f t="shared" si="175"/>
        <v>0</v>
      </c>
      <c r="AC64" s="26"/>
      <c r="AD64" s="32"/>
      <c r="AE64" s="32"/>
      <c r="AF64" s="32"/>
      <c r="AG64" s="33">
        <f t="shared" si="176"/>
        <v>0</v>
      </c>
      <c r="AH64" s="33">
        <f t="shared" si="177"/>
        <v>0</v>
      </c>
      <c r="AI64" s="33">
        <f t="shared" si="178"/>
        <v>0</v>
      </c>
      <c r="AJ64" s="33">
        <f t="shared" si="179"/>
        <v>0</v>
      </c>
      <c r="AK64" s="33"/>
      <c r="AL64" s="33">
        <f t="shared" si="162"/>
        <v>0</v>
      </c>
      <c r="AM64" s="28"/>
      <c r="AN64" s="32"/>
      <c r="AO64" s="32"/>
      <c r="AP64" s="32"/>
      <c r="AQ64" s="33">
        <f t="shared" si="180"/>
        <v>0</v>
      </c>
      <c r="AR64" s="33">
        <f t="shared" si="181"/>
        <v>0</v>
      </c>
      <c r="AS64" s="33">
        <f t="shared" si="182"/>
        <v>0</v>
      </c>
      <c r="AT64" s="33">
        <f t="shared" si="183"/>
        <v>0</v>
      </c>
      <c r="AU64" s="33"/>
      <c r="AV64" s="33">
        <f t="shared" si="163"/>
        <v>0</v>
      </c>
      <c r="AW64" s="28"/>
      <c r="AX64" s="32"/>
      <c r="AY64" s="32"/>
      <c r="AZ64" s="32"/>
      <c r="BA64" s="33">
        <f>IF(AND(AY64&lt;=10,AZ64&lt;=10),AZ64-AY64,MAX(0,10-AY64))</f>
        <v>0</v>
      </c>
      <c r="BB64" s="33">
        <f>IF(AND(AY64&lt;=10,AZ64&gt;=20),10,IF(AND(AY64&gt;=10,AZ64&lt;=20),AZ64-AY64,IF(AND(AY64&lt;=10,AZ64&lt;=20,AZ64&gt;=10),AZ64-10,IF(AND(AY64&gt;=10,AZ64&gt;=20),MAX(0,20-AY64),0))))</f>
        <v>0</v>
      </c>
      <c r="BC64" s="33">
        <f>IF(AND(AY64&lt;=20,AZ64&gt;=30),10,IF(AND(AY64&gt;=20,AZ64&lt;=30),AZ64-AY64,IF(AND(AY64&lt;=20,AZ64&lt;=30,AZ64&gt;=20),AZ64-20,IF(AND(AY64&gt;=20,AZ64&gt;=30),30-AY64,0))))</f>
        <v>0</v>
      </c>
      <c r="BD64" s="33">
        <f>IF(AND(AY64&lt;=30,AZ64&gt;=40),10,IF(AND(AY64&gt;=30,AZ64&lt;=40),AZ64-AY64,IF(AND(AY64&lt;=30,AZ64&lt;=40,AZ64&gt;=30),AZ64-30,IF(AND(AY64&gt;=30,AZ64&gt;=40),40-AY64,0))))</f>
        <v>0</v>
      </c>
      <c r="BE64" s="33"/>
      <c r="BF64" s="33">
        <f>IF(AX64&gt;0, 1, 0)</f>
        <v>0</v>
      </c>
      <c r="BG64" s="28"/>
      <c r="BH64" s="32"/>
      <c r="BI64" s="32"/>
      <c r="BJ64" s="32"/>
      <c r="BK64" s="28"/>
      <c r="BL64" s="32"/>
      <c r="BM64" s="32"/>
      <c r="BN64" s="32"/>
      <c r="BO64" s="28"/>
      <c r="BP64" s="28">
        <f t="shared" si="188"/>
        <v>0</v>
      </c>
      <c r="BQ64" s="28"/>
      <c r="BR64" s="32"/>
      <c r="BS64" s="32"/>
      <c r="BT64" s="32"/>
      <c r="BU64" s="32"/>
      <c r="BV64" s="32"/>
      <c r="BW64" s="32"/>
      <c r="BX64" s="32"/>
    </row>
    <row r="65" spans="1:76" x14ac:dyDescent="0.35">
      <c r="A65" s="32"/>
      <c r="B65" s="32"/>
      <c r="C65" s="32"/>
      <c r="D65" s="32"/>
      <c r="E65" s="54" t="str">
        <f t="shared" si="165"/>
        <v/>
      </c>
      <c r="F65" s="119"/>
      <c r="G65" s="32"/>
      <c r="H65" s="32"/>
      <c r="I65" s="98">
        <f t="shared" si="189"/>
        <v>0</v>
      </c>
      <c r="J65" s="35"/>
      <c r="K65" s="32"/>
      <c r="L65" s="32"/>
      <c r="M65" s="32"/>
      <c r="N65" s="33">
        <f t="shared" si="167"/>
        <v>0</v>
      </c>
      <c r="O65" s="33">
        <f t="shared" si="168"/>
        <v>0</v>
      </c>
      <c r="P65" s="33">
        <f t="shared" si="169"/>
        <v>0</v>
      </c>
      <c r="Q65" s="33">
        <f t="shared" si="170"/>
        <v>0</v>
      </c>
      <c r="R65" s="40"/>
      <c r="S65" s="16"/>
      <c r="T65" s="32"/>
      <c r="U65" s="32"/>
      <c r="V65" s="32"/>
      <c r="W65" s="33">
        <f t="shared" si="171"/>
        <v>0</v>
      </c>
      <c r="X65" s="33">
        <f t="shared" si="172"/>
        <v>0</v>
      </c>
      <c r="Y65" s="33">
        <f t="shared" si="173"/>
        <v>0</v>
      </c>
      <c r="Z65" s="33">
        <f t="shared" si="174"/>
        <v>0</v>
      </c>
      <c r="AA65" s="33"/>
      <c r="AB65" s="33">
        <f t="shared" si="175"/>
        <v>0</v>
      </c>
      <c r="AC65" s="26"/>
      <c r="AD65" s="32"/>
      <c r="AE65" s="32"/>
      <c r="AF65" s="32"/>
      <c r="AG65" s="33">
        <f t="shared" si="176"/>
        <v>0</v>
      </c>
      <c r="AH65" s="33">
        <f t="shared" si="177"/>
        <v>0</v>
      </c>
      <c r="AI65" s="33">
        <f t="shared" si="178"/>
        <v>0</v>
      </c>
      <c r="AJ65" s="33">
        <f t="shared" si="179"/>
        <v>0</v>
      </c>
      <c r="AK65" s="33"/>
      <c r="AL65" s="33">
        <f t="shared" si="162"/>
        <v>0</v>
      </c>
      <c r="AM65" s="28"/>
      <c r="AN65" s="32"/>
      <c r="AO65" s="32"/>
      <c r="AP65" s="32"/>
      <c r="AQ65" s="33">
        <f t="shared" si="180"/>
        <v>0</v>
      </c>
      <c r="AR65" s="33">
        <f t="shared" si="181"/>
        <v>0</v>
      </c>
      <c r="AS65" s="33">
        <f t="shared" si="182"/>
        <v>0</v>
      </c>
      <c r="AT65" s="33">
        <f t="shared" si="183"/>
        <v>0</v>
      </c>
      <c r="AU65" s="33"/>
      <c r="AV65" s="33">
        <f t="shared" si="163"/>
        <v>0</v>
      </c>
      <c r="AW65" s="28"/>
      <c r="AX65" s="32"/>
      <c r="AY65" s="32"/>
      <c r="AZ65" s="32"/>
      <c r="BA65" s="33">
        <f t="shared" ref="BA65" si="190">IF(AND(AY65&lt;=10,AZ65&lt;=10),AZ65-AY65,MAX(0,10-AY65))</f>
        <v>0</v>
      </c>
      <c r="BB65" s="33">
        <f t="shared" ref="BB65" si="191">IF(AND(AY65&lt;=10,AZ65&gt;=20),10,IF(AND(AY65&gt;=10,AZ65&lt;=20),AZ65-AY65,IF(AND(AY65&lt;=10,AZ65&lt;=20,AZ65&gt;=10),AZ65-10,IF(AND(AY65&gt;=10,AZ65&gt;=20),MAX(0,20-AY65),0))))</f>
        <v>0</v>
      </c>
      <c r="BC65" s="33">
        <f t="shared" ref="BC65" si="192">IF(AND(AY65&lt;=20,AZ65&gt;=30),10,IF(AND(AY65&gt;=20,AZ65&lt;=30),AZ65-AY65,IF(AND(AY65&lt;=20,AZ65&lt;=30,AZ65&gt;=20),AZ65-20,IF(AND(AY65&gt;=20,AZ65&gt;=30),30-AY65,0))))</f>
        <v>0</v>
      </c>
      <c r="BD65" s="33">
        <f t="shared" ref="BD65" si="193">IF(AND(AY65&lt;=30,AZ65&gt;=40),10,IF(AND(AY65&gt;=30,AZ65&lt;=40),AZ65-AY65,IF(AND(AY65&lt;=30,AZ65&lt;=40,AZ65&gt;=30),AZ65-30,IF(AND(AY65&gt;=30,AZ65&gt;=40),40-AY65,0))))</f>
        <v>0</v>
      </c>
      <c r="BE65" s="33"/>
      <c r="BF65" s="33">
        <f t="shared" ref="BF65" si="194">IF(AX65&gt;0, 1, 0)</f>
        <v>0</v>
      </c>
      <c r="BG65" s="28"/>
      <c r="BH65" s="32"/>
      <c r="BI65" s="32"/>
      <c r="BJ65" s="32"/>
      <c r="BK65" s="28"/>
      <c r="BL65" s="32"/>
      <c r="BM65" s="32"/>
      <c r="BN65" s="32"/>
      <c r="BO65" s="28"/>
      <c r="BP65" s="28">
        <f t="shared" si="188"/>
        <v>0</v>
      </c>
      <c r="BQ65" s="28"/>
      <c r="BR65" s="149"/>
      <c r="BS65" s="149"/>
      <c r="BT65" s="149"/>
      <c r="BU65" s="149"/>
      <c r="BV65" s="149"/>
      <c r="BW65" s="149"/>
      <c r="BX65" s="149"/>
    </row>
    <row r="66" spans="1:76" x14ac:dyDescent="0.35">
      <c r="A66" s="32"/>
      <c r="B66" s="32"/>
      <c r="C66" s="32"/>
      <c r="D66" s="32"/>
      <c r="E66" s="54" t="str">
        <f t="shared" si="165"/>
        <v/>
      </c>
      <c r="F66" s="119"/>
      <c r="G66" s="32"/>
      <c r="H66" s="32"/>
      <c r="I66" s="98">
        <f t="shared" si="189"/>
        <v>0</v>
      </c>
      <c r="J66" s="35"/>
      <c r="K66" s="32"/>
      <c r="L66" s="32"/>
      <c r="M66" s="32"/>
      <c r="N66" s="33">
        <f t="shared" si="167"/>
        <v>0</v>
      </c>
      <c r="O66" s="33">
        <f t="shared" si="168"/>
        <v>0</v>
      </c>
      <c r="P66" s="33">
        <f t="shared" si="169"/>
        <v>0</v>
      </c>
      <c r="Q66" s="33">
        <f t="shared" si="170"/>
        <v>0</v>
      </c>
      <c r="R66" s="40"/>
      <c r="S66" s="16"/>
      <c r="T66" s="32"/>
      <c r="U66" s="32"/>
      <c r="V66" s="32"/>
      <c r="W66" s="33">
        <f t="shared" si="171"/>
        <v>0</v>
      </c>
      <c r="X66" s="33">
        <f t="shared" si="172"/>
        <v>0</v>
      </c>
      <c r="Y66" s="33">
        <f t="shared" si="173"/>
        <v>0</v>
      </c>
      <c r="Z66" s="33">
        <f t="shared" si="174"/>
        <v>0</v>
      </c>
      <c r="AA66" s="33"/>
      <c r="AB66" s="33">
        <f t="shared" si="175"/>
        <v>0</v>
      </c>
      <c r="AC66" s="26"/>
      <c r="AD66" s="32"/>
      <c r="AE66" s="32"/>
      <c r="AF66" s="32"/>
      <c r="AG66" s="33">
        <f t="shared" si="176"/>
        <v>0</v>
      </c>
      <c r="AH66" s="33">
        <f t="shared" si="177"/>
        <v>0</v>
      </c>
      <c r="AI66" s="33">
        <f t="shared" si="178"/>
        <v>0</v>
      </c>
      <c r="AJ66" s="33">
        <f t="shared" si="179"/>
        <v>0</v>
      </c>
      <c r="AK66" s="33"/>
      <c r="AL66" s="33">
        <f t="shared" si="162"/>
        <v>0</v>
      </c>
      <c r="AM66" s="28"/>
      <c r="AN66" s="32"/>
      <c r="AO66" s="32"/>
      <c r="AP66" s="32"/>
      <c r="AQ66" s="33">
        <f t="shared" si="180"/>
        <v>0</v>
      </c>
      <c r="AR66" s="33">
        <f t="shared" si="181"/>
        <v>0</v>
      </c>
      <c r="AS66" s="33">
        <f t="shared" si="182"/>
        <v>0</v>
      </c>
      <c r="AT66" s="33">
        <f t="shared" si="183"/>
        <v>0</v>
      </c>
      <c r="AU66" s="33"/>
      <c r="AV66" s="33">
        <f t="shared" si="163"/>
        <v>0</v>
      </c>
      <c r="AW66" s="28"/>
      <c r="AX66" s="32"/>
      <c r="AY66" s="32"/>
      <c r="AZ66" s="32"/>
      <c r="BA66" s="33">
        <f>IF(AND(AY66&lt;=10,AZ66&lt;=10),AZ66-AY66,MAX(0,10-AY66))</f>
        <v>0</v>
      </c>
      <c r="BB66" s="33">
        <f>IF(AND(AY66&lt;=10,AZ66&gt;=20),10,IF(AND(AY66&gt;=10,AZ66&lt;=20),AZ66-AY66,IF(AND(AY66&lt;=10,AZ66&lt;=20,AZ66&gt;=10),AZ66-10,IF(AND(AY66&gt;=10,AZ66&gt;=20),MAX(0,20-AY66),0))))</f>
        <v>0</v>
      </c>
      <c r="BC66" s="33">
        <f>IF(AND(AY66&lt;=20,AZ66&gt;=30),10,IF(AND(AY66&gt;=20,AZ66&lt;=30),AZ66-AY66,IF(AND(AY66&lt;=20,AZ66&lt;=30,AZ66&gt;=20),AZ66-20,IF(AND(AY66&gt;=20,AZ66&gt;=30),30-AY66,0))))</f>
        <v>0</v>
      </c>
      <c r="BD66" s="33">
        <f>IF(AND(AY66&lt;=30,AZ66&gt;=40),10,IF(AND(AY66&gt;=30,AZ66&lt;=40),AZ66-AY66,IF(AND(AY66&lt;=30,AZ66&lt;=40,AZ66&gt;=30),AZ66-30,IF(AND(AY66&gt;=30,AZ66&gt;=40),40-AY66,0))))</f>
        <v>0</v>
      </c>
      <c r="BE66" s="33"/>
      <c r="BF66" s="33">
        <f>IF(AX66&gt;0, 1, 0)</f>
        <v>0</v>
      </c>
      <c r="BG66" s="28"/>
      <c r="BH66" s="32"/>
      <c r="BI66" s="32"/>
      <c r="BJ66" s="32"/>
      <c r="BK66" s="28"/>
      <c r="BL66" s="32"/>
      <c r="BM66" s="32"/>
      <c r="BN66" s="32"/>
      <c r="BO66" s="28"/>
      <c r="BP66" s="28">
        <f t="shared" si="188"/>
        <v>0</v>
      </c>
      <c r="BQ66" s="28"/>
      <c r="BR66" s="32"/>
      <c r="BS66" s="32"/>
      <c r="BT66" s="32"/>
      <c r="BU66" s="32"/>
      <c r="BV66" s="32"/>
      <c r="BW66" s="32"/>
      <c r="BX66" s="32"/>
    </row>
    <row r="67" spans="1:76" x14ac:dyDescent="0.35">
      <c r="A67" s="32"/>
      <c r="B67" s="32"/>
      <c r="C67" s="32"/>
      <c r="D67" s="32"/>
      <c r="E67" s="54" t="str">
        <f t="shared" si="165"/>
        <v/>
      </c>
      <c r="F67" s="119"/>
      <c r="G67" s="32"/>
      <c r="H67" s="32"/>
      <c r="I67" s="98">
        <f t="shared" si="189"/>
        <v>0</v>
      </c>
      <c r="J67" s="35"/>
      <c r="K67" s="32"/>
      <c r="L67" s="32"/>
      <c r="M67" s="32"/>
      <c r="N67" s="33">
        <f t="shared" si="167"/>
        <v>0</v>
      </c>
      <c r="O67" s="33">
        <f t="shared" si="168"/>
        <v>0</v>
      </c>
      <c r="P67" s="33">
        <f t="shared" si="169"/>
        <v>0</v>
      </c>
      <c r="Q67" s="33">
        <f t="shared" si="170"/>
        <v>0</v>
      </c>
      <c r="R67" s="40"/>
      <c r="S67" s="16"/>
      <c r="T67" s="32"/>
      <c r="U67" s="32"/>
      <c r="V67" s="32"/>
      <c r="W67" s="33">
        <f t="shared" si="171"/>
        <v>0</v>
      </c>
      <c r="X67" s="33">
        <f t="shared" si="172"/>
        <v>0</v>
      </c>
      <c r="Y67" s="33">
        <f t="shared" si="173"/>
        <v>0</v>
      </c>
      <c r="Z67" s="33">
        <f t="shared" si="174"/>
        <v>0</v>
      </c>
      <c r="AA67" s="33"/>
      <c r="AB67" s="33">
        <f t="shared" si="175"/>
        <v>0</v>
      </c>
      <c r="AC67" s="26"/>
      <c r="AD67" s="32"/>
      <c r="AE67" s="32"/>
      <c r="AF67" s="32"/>
      <c r="AG67" s="33">
        <f t="shared" si="176"/>
        <v>0</v>
      </c>
      <c r="AH67" s="33">
        <f t="shared" si="177"/>
        <v>0</v>
      </c>
      <c r="AI67" s="33">
        <f t="shared" si="178"/>
        <v>0</v>
      </c>
      <c r="AJ67" s="33">
        <f t="shared" si="179"/>
        <v>0</v>
      </c>
      <c r="AK67" s="33"/>
      <c r="AL67" s="33">
        <f t="shared" si="162"/>
        <v>0</v>
      </c>
      <c r="AM67" s="28"/>
      <c r="AN67" s="32"/>
      <c r="AO67" s="32"/>
      <c r="AP67" s="32"/>
      <c r="AQ67" s="33">
        <f t="shared" si="180"/>
        <v>0</v>
      </c>
      <c r="AR67" s="33">
        <f t="shared" si="181"/>
        <v>0</v>
      </c>
      <c r="AS67" s="33">
        <f t="shared" si="182"/>
        <v>0</v>
      </c>
      <c r="AT67" s="33">
        <f t="shared" si="183"/>
        <v>0</v>
      </c>
      <c r="AU67" s="33"/>
      <c r="AV67" s="33">
        <f t="shared" si="163"/>
        <v>0</v>
      </c>
      <c r="AW67" s="28"/>
      <c r="AX67" s="32"/>
      <c r="AY67" s="32"/>
      <c r="AZ67" s="32"/>
      <c r="BA67" s="33">
        <f t="shared" ref="BA67:BA85" si="195">IF(AND(AY67&lt;=10,AZ67&lt;=10),AZ67-AY67,MAX(0,10-AY67))</f>
        <v>0</v>
      </c>
      <c r="BB67" s="33">
        <f t="shared" ref="BB67:BB85" si="196">IF(AND(AY67&lt;=10,AZ67&gt;=20),10,IF(AND(AY67&gt;=10,AZ67&lt;=20),AZ67-AY67,IF(AND(AY67&lt;=10,AZ67&lt;=20,AZ67&gt;=10),AZ67-10,IF(AND(AY67&gt;=10,AZ67&gt;=20),MAX(0,20-AY67),0))))</f>
        <v>0</v>
      </c>
      <c r="BC67" s="33">
        <f t="shared" ref="BC67:BC85" si="197">IF(AND(AY67&lt;=20,AZ67&gt;=30),10,IF(AND(AY67&gt;=20,AZ67&lt;=30),AZ67-AY67,IF(AND(AY67&lt;=20,AZ67&lt;=30,AZ67&gt;=20),AZ67-20,IF(AND(AY67&gt;=20,AZ67&gt;=30),30-AY67,0))))</f>
        <v>0</v>
      </c>
      <c r="BD67" s="33">
        <f t="shared" ref="BD67:BD85" si="198">IF(AND(AY67&lt;=30,AZ67&gt;=40),10,IF(AND(AY67&gt;=30,AZ67&lt;=40),AZ67-AY67,IF(AND(AY67&lt;=30,AZ67&lt;=40,AZ67&gt;=30),AZ67-30,IF(AND(AY67&gt;=30,AZ67&gt;=40),40-AY67,0))))</f>
        <v>0</v>
      </c>
      <c r="BE67" s="33"/>
      <c r="BF67" s="33">
        <f t="shared" ref="BF67:BF85" si="199">IF(AX67&gt;0, 1, 0)</f>
        <v>0</v>
      </c>
      <c r="BG67" s="28"/>
      <c r="BH67" s="32"/>
      <c r="BI67" s="32"/>
      <c r="BJ67" s="32"/>
      <c r="BK67" s="28"/>
      <c r="BL67" s="32"/>
      <c r="BM67" s="32"/>
      <c r="BN67" s="32"/>
      <c r="BO67" s="28"/>
      <c r="BP67" s="28">
        <f t="shared" si="188"/>
        <v>0</v>
      </c>
      <c r="BQ67" s="28"/>
      <c r="BR67" s="149"/>
      <c r="BS67" s="149"/>
      <c r="BT67" s="149"/>
      <c r="BU67" s="149"/>
      <c r="BV67" s="149"/>
      <c r="BW67" s="149"/>
      <c r="BX67" s="149"/>
    </row>
    <row r="68" spans="1:76" x14ac:dyDescent="0.35">
      <c r="A68" s="32"/>
      <c r="B68" s="32"/>
      <c r="C68" s="32"/>
      <c r="D68" s="32"/>
      <c r="E68" s="54" t="str">
        <f t="shared" si="165"/>
        <v/>
      </c>
      <c r="F68" s="119"/>
      <c r="G68" s="32"/>
      <c r="H68" s="32"/>
      <c r="I68" s="98">
        <f t="shared" si="189"/>
        <v>0</v>
      </c>
      <c r="J68" s="35"/>
      <c r="K68" s="32"/>
      <c r="L68" s="32"/>
      <c r="M68" s="32"/>
      <c r="N68" s="33">
        <f>IF(AND(L68&lt;=10,M68&lt;=10),M68-L68,MAX(0,10-L68))</f>
        <v>0</v>
      </c>
      <c r="O68" s="33">
        <f>IF(AND(L68&lt;=10,M68&gt;=20),10,IF(AND(L68&gt;=10,M68&lt;=20),M68-L68,IF(AND(L68&lt;=10,M68&lt;=20,M68&gt;=10),M68-10,IF(AND(L68&gt;=10,M68&gt;=20),MAX(0,20-L68),0))))</f>
        <v>0</v>
      </c>
      <c r="P68" s="33">
        <f>IF(AND(L68&lt;=20,M68&gt;=30),10,IF(AND(L68&gt;=20,M68&lt;=30),M68-L68,IF(AND(L68&lt;=20,M68&lt;=30,M68&gt;=20),M68-20,IF(AND(L68&gt;=20,M68&gt;=30),30-L68,0))))</f>
        <v>0</v>
      </c>
      <c r="Q68" s="33">
        <f>IF(AND(L68&lt;=30,M68&gt;=40),10,IF(AND(L68&gt;=30,M68&lt;=40),M68-L68,IF(AND(L68&lt;=30,M68&lt;=40,M68&gt;=30),M68-30,IF(AND(L68&gt;=30,M68&gt;=40),40-L68,0))))</f>
        <v>0</v>
      </c>
      <c r="R68" s="40"/>
      <c r="S68" s="16"/>
      <c r="T68" s="32"/>
      <c r="U68" s="32"/>
      <c r="V68" s="32"/>
      <c r="W68" s="33">
        <f t="shared" si="171"/>
        <v>0</v>
      </c>
      <c r="X68" s="33">
        <f t="shared" si="172"/>
        <v>0</v>
      </c>
      <c r="Y68" s="33">
        <f t="shared" si="173"/>
        <v>0</v>
      </c>
      <c r="Z68" s="33">
        <f t="shared" si="174"/>
        <v>0</v>
      </c>
      <c r="AA68" s="33"/>
      <c r="AB68" s="33">
        <f t="shared" si="175"/>
        <v>0</v>
      </c>
      <c r="AC68" s="26"/>
      <c r="AD68" s="32"/>
      <c r="AE68" s="32"/>
      <c r="AF68" s="32"/>
      <c r="AG68" s="33">
        <f t="shared" si="176"/>
        <v>0</v>
      </c>
      <c r="AH68" s="33">
        <f t="shared" si="177"/>
        <v>0</v>
      </c>
      <c r="AI68" s="33">
        <f t="shared" si="178"/>
        <v>0</v>
      </c>
      <c r="AJ68" s="33">
        <f t="shared" si="179"/>
        <v>0</v>
      </c>
      <c r="AK68" s="33"/>
      <c r="AL68" s="33">
        <f t="shared" si="162"/>
        <v>0</v>
      </c>
      <c r="AM68" s="28"/>
      <c r="AN68" s="32"/>
      <c r="AO68" s="32"/>
      <c r="AP68" s="32"/>
      <c r="AQ68" s="33">
        <f t="shared" si="180"/>
        <v>0</v>
      </c>
      <c r="AR68" s="33">
        <f t="shared" si="181"/>
        <v>0</v>
      </c>
      <c r="AS68" s="33">
        <f t="shared" si="182"/>
        <v>0</v>
      </c>
      <c r="AT68" s="33">
        <f t="shared" si="183"/>
        <v>0</v>
      </c>
      <c r="AU68" s="33"/>
      <c r="AV68" s="33">
        <f t="shared" si="163"/>
        <v>0</v>
      </c>
      <c r="AW68" s="28"/>
      <c r="AX68" s="32"/>
      <c r="AY68" s="32"/>
      <c r="AZ68" s="32"/>
      <c r="BA68" s="33">
        <f t="shared" si="195"/>
        <v>0</v>
      </c>
      <c r="BB68" s="33">
        <f t="shared" si="196"/>
        <v>0</v>
      </c>
      <c r="BC68" s="33">
        <f t="shared" si="197"/>
        <v>0</v>
      </c>
      <c r="BD68" s="33">
        <f t="shared" si="198"/>
        <v>0</v>
      </c>
      <c r="BE68" s="33"/>
      <c r="BF68" s="33">
        <f t="shared" si="199"/>
        <v>0</v>
      </c>
      <c r="BG68" s="28"/>
      <c r="BH68" s="32"/>
      <c r="BI68" s="32"/>
      <c r="BJ68" s="32"/>
      <c r="BK68" s="28"/>
      <c r="BL68" s="32"/>
      <c r="BM68" s="32"/>
      <c r="BN68" s="32"/>
      <c r="BO68" s="28"/>
      <c r="BP68" s="28">
        <f t="shared" si="188"/>
        <v>0</v>
      </c>
      <c r="BQ68" s="28"/>
      <c r="BR68" s="32"/>
      <c r="BS68" s="32"/>
      <c r="BT68" s="32"/>
      <c r="BU68" s="32"/>
      <c r="BV68" s="32"/>
      <c r="BW68" s="32"/>
      <c r="BX68" s="32"/>
    </row>
    <row r="69" spans="1:76" x14ac:dyDescent="0.35">
      <c r="A69" s="32"/>
      <c r="B69" s="32"/>
      <c r="C69" s="32"/>
      <c r="D69" s="32"/>
      <c r="E69" s="54" t="str">
        <f t="shared" si="165"/>
        <v/>
      </c>
      <c r="F69" s="119"/>
      <c r="G69" s="32"/>
      <c r="H69" s="32"/>
      <c r="I69" s="98">
        <f t="shared" si="189"/>
        <v>0</v>
      </c>
      <c r="J69" s="35"/>
      <c r="K69" s="32"/>
      <c r="L69" s="32"/>
      <c r="M69" s="32"/>
      <c r="N69" s="33">
        <f>IF(AND(L69&lt;=10,M69&lt;=10),M69-L69,MAX(0,10-L69))</f>
        <v>0</v>
      </c>
      <c r="O69" s="33">
        <f>IF(AND(L69&lt;=10,M69&gt;=20),10,IF(AND(L69&gt;=10,M69&lt;=20),M69-L69,IF(AND(L69&lt;=10,M69&lt;=20,M69&gt;=10),M69-10,IF(AND(L69&gt;=10,M69&gt;=20),MAX(0,20-L69),0))))</f>
        <v>0</v>
      </c>
      <c r="P69" s="33">
        <f>IF(AND(L69&lt;=20,M69&gt;=30),10,IF(AND(L69&gt;=20,M69&lt;=30),M69-L69,IF(AND(L69&lt;=20,M69&lt;=30,M69&gt;=20),M69-20,IF(AND(L69&gt;=20,M69&gt;=30),30-L69,0))))</f>
        <v>0</v>
      </c>
      <c r="Q69" s="33">
        <f>IF(AND(L69&lt;=30,M69&gt;=40),10,IF(AND(L69&gt;=30,M69&lt;=40),M69-L69,IF(AND(L69&lt;=30,M69&lt;=40,M69&gt;=30),M69-30,IF(AND(L69&gt;=30,M69&gt;=40),40-L69,0))))</f>
        <v>0</v>
      </c>
      <c r="R69" s="40"/>
      <c r="S69" s="16"/>
      <c r="T69" s="32"/>
      <c r="U69" s="32"/>
      <c r="V69" s="32"/>
      <c r="W69" s="33">
        <f t="shared" si="171"/>
        <v>0</v>
      </c>
      <c r="X69" s="33">
        <f t="shared" si="172"/>
        <v>0</v>
      </c>
      <c r="Y69" s="33">
        <f t="shared" si="173"/>
        <v>0</v>
      </c>
      <c r="Z69" s="33">
        <f t="shared" si="174"/>
        <v>0</v>
      </c>
      <c r="AA69" s="33"/>
      <c r="AB69" s="33">
        <f t="shared" si="175"/>
        <v>0</v>
      </c>
      <c r="AC69" s="26"/>
      <c r="AD69" s="32"/>
      <c r="AE69" s="32"/>
      <c r="AF69" s="32"/>
      <c r="AG69" s="33">
        <f t="shared" si="176"/>
        <v>0</v>
      </c>
      <c r="AH69" s="33">
        <f t="shared" si="177"/>
        <v>0</v>
      </c>
      <c r="AI69" s="33">
        <f t="shared" si="178"/>
        <v>0</v>
      </c>
      <c r="AJ69" s="33">
        <f t="shared" si="179"/>
        <v>0</v>
      </c>
      <c r="AK69" s="33"/>
      <c r="AL69" s="33">
        <f t="shared" si="162"/>
        <v>0</v>
      </c>
      <c r="AM69" s="28"/>
      <c r="AN69" s="32"/>
      <c r="AO69" s="32"/>
      <c r="AP69" s="32"/>
      <c r="AQ69" s="33">
        <f t="shared" si="180"/>
        <v>0</v>
      </c>
      <c r="AR69" s="33">
        <f t="shared" si="181"/>
        <v>0</v>
      </c>
      <c r="AS69" s="33">
        <f t="shared" si="182"/>
        <v>0</v>
      </c>
      <c r="AT69" s="33">
        <f t="shared" si="183"/>
        <v>0</v>
      </c>
      <c r="AU69" s="33"/>
      <c r="AV69" s="33">
        <f t="shared" si="163"/>
        <v>0</v>
      </c>
      <c r="AW69" s="28"/>
      <c r="AX69" s="32"/>
      <c r="AY69" s="32"/>
      <c r="AZ69" s="32"/>
      <c r="BA69" s="33">
        <f t="shared" si="195"/>
        <v>0</v>
      </c>
      <c r="BB69" s="33">
        <f t="shared" si="196"/>
        <v>0</v>
      </c>
      <c r="BC69" s="33">
        <f t="shared" si="197"/>
        <v>0</v>
      </c>
      <c r="BD69" s="33">
        <f t="shared" si="198"/>
        <v>0</v>
      </c>
      <c r="BE69" s="33"/>
      <c r="BF69" s="33">
        <f t="shared" si="199"/>
        <v>0</v>
      </c>
      <c r="BG69" s="28"/>
      <c r="BH69" s="32"/>
      <c r="BI69" s="32"/>
      <c r="BJ69" s="32"/>
      <c r="BK69" s="28"/>
      <c r="BL69" s="32"/>
      <c r="BM69" s="32"/>
      <c r="BN69" s="32"/>
      <c r="BO69" s="28"/>
      <c r="BP69" s="28">
        <f t="shared" si="188"/>
        <v>0</v>
      </c>
      <c r="BQ69" s="28"/>
      <c r="BR69" s="32"/>
      <c r="BS69" s="32"/>
      <c r="BT69" s="32"/>
      <c r="BU69" s="32"/>
      <c r="BV69" s="32"/>
      <c r="BW69" s="32"/>
      <c r="BX69" s="32"/>
    </row>
    <row r="70" spans="1:76" x14ac:dyDescent="0.35">
      <c r="A70" s="32"/>
      <c r="B70" s="32"/>
      <c r="C70" s="32"/>
      <c r="D70" s="32"/>
      <c r="E70" s="54" t="str">
        <f t="shared" si="165"/>
        <v/>
      </c>
      <c r="F70" s="119"/>
      <c r="G70" s="32"/>
      <c r="H70" s="32"/>
      <c r="I70" s="98">
        <f t="shared" si="189"/>
        <v>0</v>
      </c>
      <c r="J70" s="35"/>
      <c r="K70" s="32"/>
      <c r="L70" s="32"/>
      <c r="M70" s="32"/>
      <c r="N70" s="33">
        <f t="shared" ref="N70:N85" si="200">IF(AND(L70&lt;=10,M70&lt;=10),M70-L70,MAX(0,10-L70))</f>
        <v>0</v>
      </c>
      <c r="O70" s="33">
        <f t="shared" ref="O70:O85" si="201">IF(AND(L70&lt;=10,M70&gt;=20),10,IF(AND(L70&gt;=10,M70&lt;=20),M70-L70,IF(AND(L70&lt;=10,M70&lt;=20,M70&gt;=10),M70-10,IF(AND(L70&gt;=10,M70&gt;=20),MAX(0,20-L70),0))))</f>
        <v>0</v>
      </c>
      <c r="P70" s="33">
        <f t="shared" ref="P70:P85" si="202">IF(AND(L70&lt;=20,M70&gt;=30),10,IF(AND(L70&gt;=20,M70&lt;=30),M70-L70,IF(AND(L70&lt;=20,M70&lt;=30,M70&gt;=20),M70-20,IF(AND(L70&gt;=20,M70&gt;=30),30-L70,0))))</f>
        <v>0</v>
      </c>
      <c r="Q70" s="33">
        <f t="shared" ref="Q70:Q85" si="203">IF(AND(L70&lt;=30,M70&gt;=40),10,IF(AND(L70&gt;=30,M70&lt;=40),M70-L70,IF(AND(L70&lt;=30,M70&lt;=40,M70&gt;=30),M70-30,IF(AND(L70&gt;=30,M70&gt;=40),40-L70,0))))</f>
        <v>0</v>
      </c>
      <c r="R70" s="40"/>
      <c r="S70" s="16"/>
      <c r="T70" s="32"/>
      <c r="U70" s="32"/>
      <c r="V70" s="32"/>
      <c r="W70" s="33">
        <f t="shared" si="171"/>
        <v>0</v>
      </c>
      <c r="X70" s="33">
        <f t="shared" si="172"/>
        <v>0</v>
      </c>
      <c r="Y70" s="33">
        <f t="shared" si="173"/>
        <v>0</v>
      </c>
      <c r="Z70" s="33">
        <f t="shared" si="174"/>
        <v>0</v>
      </c>
      <c r="AA70" s="33"/>
      <c r="AB70" s="33">
        <f t="shared" si="175"/>
        <v>0</v>
      </c>
      <c r="AC70" s="26"/>
      <c r="AD70" s="32"/>
      <c r="AE70" s="32"/>
      <c r="AF70" s="32"/>
      <c r="AG70" s="33">
        <f t="shared" si="176"/>
        <v>0</v>
      </c>
      <c r="AH70" s="33">
        <f t="shared" si="177"/>
        <v>0</v>
      </c>
      <c r="AI70" s="33">
        <f t="shared" si="178"/>
        <v>0</v>
      </c>
      <c r="AJ70" s="33">
        <f t="shared" si="179"/>
        <v>0</v>
      </c>
      <c r="AK70" s="33"/>
      <c r="AL70" s="33">
        <f t="shared" si="162"/>
        <v>0</v>
      </c>
      <c r="AM70" s="28"/>
      <c r="AN70" s="32"/>
      <c r="AO70" s="32"/>
      <c r="AP70" s="32"/>
      <c r="AQ70" s="33">
        <f t="shared" si="180"/>
        <v>0</v>
      </c>
      <c r="AR70" s="33">
        <f t="shared" si="181"/>
        <v>0</v>
      </c>
      <c r="AS70" s="33">
        <f t="shared" si="182"/>
        <v>0</v>
      </c>
      <c r="AT70" s="33">
        <f t="shared" si="183"/>
        <v>0</v>
      </c>
      <c r="AU70" s="33"/>
      <c r="AV70" s="33">
        <f t="shared" si="163"/>
        <v>0</v>
      </c>
      <c r="AW70" s="28"/>
      <c r="AX70" s="32"/>
      <c r="AY70" s="32"/>
      <c r="AZ70" s="32"/>
      <c r="BA70" s="33">
        <f t="shared" si="195"/>
        <v>0</v>
      </c>
      <c r="BB70" s="33">
        <f t="shared" si="196"/>
        <v>0</v>
      </c>
      <c r="BC70" s="33">
        <f t="shared" si="197"/>
        <v>0</v>
      </c>
      <c r="BD70" s="33">
        <f t="shared" si="198"/>
        <v>0</v>
      </c>
      <c r="BE70" s="33"/>
      <c r="BF70" s="33">
        <f t="shared" si="199"/>
        <v>0</v>
      </c>
      <c r="BG70" s="28"/>
      <c r="BH70" s="32"/>
      <c r="BI70" s="32"/>
      <c r="BJ70" s="32"/>
      <c r="BK70" s="28"/>
      <c r="BL70" s="32"/>
      <c r="BM70" s="32"/>
      <c r="BN70" s="32"/>
      <c r="BO70" s="28"/>
      <c r="BP70" s="28">
        <f t="shared" si="188"/>
        <v>0</v>
      </c>
      <c r="BQ70" s="28"/>
      <c r="BR70" s="32"/>
      <c r="BS70" s="32"/>
      <c r="BT70" s="32"/>
      <c r="BU70" s="32"/>
      <c r="BV70" s="32"/>
      <c r="BW70" s="32"/>
      <c r="BX70" s="32"/>
    </row>
    <row r="71" spans="1:76" x14ac:dyDescent="0.35">
      <c r="A71" s="32"/>
      <c r="B71" s="32"/>
      <c r="C71" s="32"/>
      <c r="D71" s="32"/>
      <c r="E71" s="54" t="str">
        <f t="shared" si="165"/>
        <v/>
      </c>
      <c r="F71" s="119"/>
      <c r="G71" s="32"/>
      <c r="H71" s="32"/>
      <c r="I71" s="98">
        <f t="shared" si="189"/>
        <v>0</v>
      </c>
      <c r="J71" s="35"/>
      <c r="K71" s="32"/>
      <c r="L71" s="32"/>
      <c r="M71" s="32"/>
      <c r="N71" s="33">
        <f t="shared" si="200"/>
        <v>0</v>
      </c>
      <c r="O71" s="33">
        <f t="shared" si="201"/>
        <v>0</v>
      </c>
      <c r="P71" s="33">
        <f t="shared" si="202"/>
        <v>0</v>
      </c>
      <c r="Q71" s="33">
        <f t="shared" si="203"/>
        <v>0</v>
      </c>
      <c r="R71" s="40"/>
      <c r="S71" s="16"/>
      <c r="T71" s="32"/>
      <c r="U71" s="32"/>
      <c r="V71" s="32"/>
      <c r="W71" s="33">
        <f t="shared" si="171"/>
        <v>0</v>
      </c>
      <c r="X71" s="33">
        <f t="shared" si="172"/>
        <v>0</v>
      </c>
      <c r="Y71" s="33">
        <f t="shared" si="173"/>
        <v>0</v>
      </c>
      <c r="Z71" s="33">
        <f t="shared" si="174"/>
        <v>0</v>
      </c>
      <c r="AA71" s="33"/>
      <c r="AB71" s="33">
        <f t="shared" si="175"/>
        <v>0</v>
      </c>
      <c r="AC71" s="26"/>
      <c r="AD71" s="32"/>
      <c r="AE71" s="32"/>
      <c r="AF71" s="32"/>
      <c r="AG71" s="33">
        <f t="shared" si="176"/>
        <v>0</v>
      </c>
      <c r="AH71" s="33">
        <f t="shared" si="177"/>
        <v>0</v>
      </c>
      <c r="AI71" s="33">
        <f t="shared" si="178"/>
        <v>0</v>
      </c>
      <c r="AJ71" s="33">
        <f t="shared" si="179"/>
        <v>0</v>
      </c>
      <c r="AK71" s="33"/>
      <c r="AL71" s="33">
        <f t="shared" si="162"/>
        <v>0</v>
      </c>
      <c r="AM71" s="28"/>
      <c r="AN71" s="32"/>
      <c r="AO71" s="32"/>
      <c r="AP71" s="32"/>
      <c r="AQ71" s="33">
        <f t="shared" si="180"/>
        <v>0</v>
      </c>
      <c r="AR71" s="33">
        <f t="shared" si="181"/>
        <v>0</v>
      </c>
      <c r="AS71" s="33">
        <f t="shared" si="182"/>
        <v>0</v>
      </c>
      <c r="AT71" s="33">
        <f t="shared" si="183"/>
        <v>0</v>
      </c>
      <c r="AU71" s="33"/>
      <c r="AV71" s="33">
        <f t="shared" si="163"/>
        <v>0</v>
      </c>
      <c r="AW71" s="28"/>
      <c r="AX71" s="32"/>
      <c r="AY71" s="32"/>
      <c r="AZ71" s="32"/>
      <c r="BA71" s="33">
        <f t="shared" si="195"/>
        <v>0</v>
      </c>
      <c r="BB71" s="33">
        <f t="shared" si="196"/>
        <v>0</v>
      </c>
      <c r="BC71" s="33">
        <f t="shared" si="197"/>
        <v>0</v>
      </c>
      <c r="BD71" s="33">
        <f t="shared" si="198"/>
        <v>0</v>
      </c>
      <c r="BE71" s="33"/>
      <c r="BF71" s="33">
        <f t="shared" si="199"/>
        <v>0</v>
      </c>
      <c r="BG71" s="28"/>
      <c r="BH71" s="32"/>
      <c r="BI71" s="32"/>
      <c r="BJ71" s="32"/>
      <c r="BK71" s="28"/>
      <c r="BL71" s="32"/>
      <c r="BM71" s="32"/>
      <c r="BN71" s="32"/>
      <c r="BO71" s="28"/>
      <c r="BP71" s="28">
        <f t="shared" si="188"/>
        <v>0</v>
      </c>
      <c r="BQ71" s="28"/>
      <c r="BR71" s="149"/>
      <c r="BS71" s="149"/>
      <c r="BT71" s="149"/>
      <c r="BU71" s="149"/>
      <c r="BV71" s="149"/>
      <c r="BW71" s="149"/>
      <c r="BX71" s="149"/>
    </row>
    <row r="72" spans="1:76" x14ac:dyDescent="0.35">
      <c r="A72" s="32"/>
      <c r="B72" s="32"/>
      <c r="C72" s="32"/>
      <c r="D72" s="32"/>
      <c r="E72" s="54" t="str">
        <f t="shared" si="165"/>
        <v/>
      </c>
      <c r="F72" s="119"/>
      <c r="G72" s="32"/>
      <c r="H72" s="32"/>
      <c r="I72" s="98">
        <f t="shared" si="189"/>
        <v>0</v>
      </c>
      <c r="J72" s="35"/>
      <c r="K72" s="32"/>
      <c r="L72" s="32"/>
      <c r="M72" s="32"/>
      <c r="N72" s="33">
        <f t="shared" si="200"/>
        <v>0</v>
      </c>
      <c r="O72" s="33">
        <f t="shared" si="201"/>
        <v>0</v>
      </c>
      <c r="P72" s="33">
        <f t="shared" si="202"/>
        <v>0</v>
      </c>
      <c r="Q72" s="33">
        <f t="shared" si="203"/>
        <v>0</v>
      </c>
      <c r="R72" s="40"/>
      <c r="S72" s="16"/>
      <c r="T72" s="32"/>
      <c r="U72" s="32"/>
      <c r="V72" s="32"/>
      <c r="W72" s="33">
        <f t="shared" si="171"/>
        <v>0</v>
      </c>
      <c r="X72" s="33">
        <f t="shared" si="172"/>
        <v>0</v>
      </c>
      <c r="Y72" s="33">
        <f t="shared" si="173"/>
        <v>0</v>
      </c>
      <c r="Z72" s="33">
        <f t="shared" si="174"/>
        <v>0</v>
      </c>
      <c r="AA72" s="33"/>
      <c r="AB72" s="33">
        <f t="shared" si="175"/>
        <v>0</v>
      </c>
      <c r="AC72" s="26"/>
      <c r="AD72" s="32"/>
      <c r="AE72" s="32"/>
      <c r="AF72" s="32"/>
      <c r="AG72" s="33">
        <f t="shared" si="176"/>
        <v>0</v>
      </c>
      <c r="AH72" s="33">
        <f t="shared" si="177"/>
        <v>0</v>
      </c>
      <c r="AI72" s="33">
        <f t="shared" si="178"/>
        <v>0</v>
      </c>
      <c r="AJ72" s="33">
        <f t="shared" si="179"/>
        <v>0</v>
      </c>
      <c r="AK72" s="33"/>
      <c r="AL72" s="33">
        <f t="shared" si="162"/>
        <v>0</v>
      </c>
      <c r="AM72" s="28"/>
      <c r="AN72" s="32"/>
      <c r="AO72" s="32"/>
      <c r="AP72" s="32"/>
      <c r="AQ72" s="33">
        <f t="shared" si="180"/>
        <v>0</v>
      </c>
      <c r="AR72" s="33">
        <f t="shared" si="181"/>
        <v>0</v>
      </c>
      <c r="AS72" s="33">
        <f t="shared" si="182"/>
        <v>0</v>
      </c>
      <c r="AT72" s="33">
        <f t="shared" si="183"/>
        <v>0</v>
      </c>
      <c r="AU72" s="33"/>
      <c r="AV72" s="33">
        <f t="shared" si="163"/>
        <v>0</v>
      </c>
      <c r="AW72" s="28"/>
      <c r="AX72" s="32"/>
      <c r="AY72" s="32"/>
      <c r="AZ72" s="32"/>
      <c r="BA72" s="33">
        <f t="shared" si="195"/>
        <v>0</v>
      </c>
      <c r="BB72" s="33">
        <f t="shared" si="196"/>
        <v>0</v>
      </c>
      <c r="BC72" s="33">
        <f t="shared" si="197"/>
        <v>0</v>
      </c>
      <c r="BD72" s="33">
        <f t="shared" si="198"/>
        <v>0</v>
      </c>
      <c r="BE72" s="33"/>
      <c r="BF72" s="33">
        <f t="shared" si="199"/>
        <v>0</v>
      </c>
      <c r="BG72" s="28"/>
      <c r="BH72" s="32"/>
      <c r="BI72" s="32"/>
      <c r="BJ72" s="32"/>
      <c r="BK72" s="28"/>
      <c r="BL72" s="32"/>
      <c r="BM72" s="32"/>
      <c r="BN72" s="32"/>
      <c r="BO72" s="28"/>
      <c r="BP72" s="28">
        <f t="shared" si="188"/>
        <v>0</v>
      </c>
      <c r="BQ72" s="28"/>
      <c r="BR72" s="32"/>
      <c r="BS72" s="32"/>
      <c r="BT72" s="32"/>
      <c r="BU72" s="32"/>
      <c r="BV72" s="32"/>
      <c r="BW72" s="32"/>
      <c r="BX72" s="32"/>
    </row>
    <row r="73" spans="1:76" x14ac:dyDescent="0.35">
      <c r="A73" s="32"/>
      <c r="B73" s="32"/>
      <c r="C73" s="32"/>
      <c r="D73" s="32"/>
      <c r="E73" s="54" t="str">
        <f t="shared" si="165"/>
        <v/>
      </c>
      <c r="F73" s="119"/>
      <c r="G73" s="32"/>
      <c r="H73" s="32"/>
      <c r="I73" s="98">
        <f t="shared" si="189"/>
        <v>0</v>
      </c>
      <c r="J73" s="35"/>
      <c r="K73" s="32"/>
      <c r="L73" s="32"/>
      <c r="M73" s="32"/>
      <c r="N73" s="33">
        <f t="shared" si="200"/>
        <v>0</v>
      </c>
      <c r="O73" s="33">
        <f t="shared" si="201"/>
        <v>0</v>
      </c>
      <c r="P73" s="33">
        <f t="shared" si="202"/>
        <v>0</v>
      </c>
      <c r="Q73" s="33">
        <f t="shared" si="203"/>
        <v>0</v>
      </c>
      <c r="R73" s="40"/>
      <c r="S73" s="16"/>
      <c r="T73" s="32"/>
      <c r="U73" s="32"/>
      <c r="V73" s="32"/>
      <c r="W73" s="33">
        <f t="shared" si="171"/>
        <v>0</v>
      </c>
      <c r="X73" s="33">
        <f t="shared" si="172"/>
        <v>0</v>
      </c>
      <c r="Y73" s="33">
        <f t="shared" si="173"/>
        <v>0</v>
      </c>
      <c r="Z73" s="33">
        <f t="shared" si="174"/>
        <v>0</v>
      </c>
      <c r="AA73" s="33"/>
      <c r="AB73" s="33">
        <f t="shared" si="175"/>
        <v>0</v>
      </c>
      <c r="AC73" s="26"/>
      <c r="AD73" s="32"/>
      <c r="AE73" s="32"/>
      <c r="AF73" s="32"/>
      <c r="AG73" s="33">
        <f t="shared" si="176"/>
        <v>0</v>
      </c>
      <c r="AH73" s="33">
        <f t="shared" si="177"/>
        <v>0</v>
      </c>
      <c r="AI73" s="33">
        <f t="shared" si="178"/>
        <v>0</v>
      </c>
      <c r="AJ73" s="33">
        <f t="shared" si="179"/>
        <v>0</v>
      </c>
      <c r="AK73" s="33"/>
      <c r="AL73" s="33">
        <f t="shared" si="162"/>
        <v>0</v>
      </c>
      <c r="AM73" s="28"/>
      <c r="AN73" s="32"/>
      <c r="AO73" s="32"/>
      <c r="AP73" s="32"/>
      <c r="AQ73" s="33">
        <f t="shared" si="180"/>
        <v>0</v>
      </c>
      <c r="AR73" s="33">
        <f t="shared" si="181"/>
        <v>0</v>
      </c>
      <c r="AS73" s="33">
        <f t="shared" si="182"/>
        <v>0</v>
      </c>
      <c r="AT73" s="33">
        <f t="shared" si="183"/>
        <v>0</v>
      </c>
      <c r="AU73" s="33"/>
      <c r="AV73" s="33">
        <f t="shared" si="163"/>
        <v>0</v>
      </c>
      <c r="AW73" s="28"/>
      <c r="AX73" s="32"/>
      <c r="AY73" s="32"/>
      <c r="AZ73" s="32"/>
      <c r="BA73" s="33">
        <f t="shared" si="195"/>
        <v>0</v>
      </c>
      <c r="BB73" s="33">
        <f t="shared" si="196"/>
        <v>0</v>
      </c>
      <c r="BC73" s="33">
        <f t="shared" si="197"/>
        <v>0</v>
      </c>
      <c r="BD73" s="33">
        <f t="shared" si="198"/>
        <v>0</v>
      </c>
      <c r="BE73" s="33"/>
      <c r="BF73" s="33">
        <f t="shared" si="199"/>
        <v>0</v>
      </c>
      <c r="BG73" s="28"/>
      <c r="BH73" s="32"/>
      <c r="BI73" s="32"/>
      <c r="BJ73" s="32"/>
      <c r="BK73" s="28"/>
      <c r="BL73" s="32"/>
      <c r="BM73" s="32"/>
      <c r="BN73" s="32"/>
      <c r="BO73" s="28"/>
      <c r="BP73" s="28">
        <f t="shared" si="188"/>
        <v>0</v>
      </c>
      <c r="BQ73" s="28"/>
      <c r="BR73" s="32"/>
      <c r="BS73" s="32"/>
      <c r="BT73" s="32"/>
      <c r="BU73" s="32"/>
      <c r="BV73" s="32"/>
      <c r="BW73" s="32"/>
      <c r="BX73" s="32"/>
    </row>
    <row r="74" spans="1:76" x14ac:dyDescent="0.35">
      <c r="A74" s="32"/>
      <c r="B74" s="32"/>
      <c r="C74" s="32"/>
      <c r="D74" s="32"/>
      <c r="E74" s="54" t="str">
        <f t="shared" si="165"/>
        <v/>
      </c>
      <c r="F74" s="119"/>
      <c r="G74" s="32"/>
      <c r="H74" s="32"/>
      <c r="I74" s="98">
        <f t="shared" si="189"/>
        <v>0</v>
      </c>
      <c r="J74" s="35"/>
      <c r="K74" s="32"/>
      <c r="L74" s="32"/>
      <c r="M74" s="32"/>
      <c r="N74" s="33">
        <f t="shared" si="200"/>
        <v>0</v>
      </c>
      <c r="O74" s="33">
        <f t="shared" si="201"/>
        <v>0</v>
      </c>
      <c r="P74" s="33">
        <f t="shared" si="202"/>
        <v>0</v>
      </c>
      <c r="Q74" s="33">
        <f t="shared" si="203"/>
        <v>0</v>
      </c>
      <c r="R74" s="40"/>
      <c r="S74" s="16"/>
      <c r="T74" s="32"/>
      <c r="U74" s="32"/>
      <c r="V74" s="32"/>
      <c r="W74" s="33">
        <f t="shared" si="171"/>
        <v>0</v>
      </c>
      <c r="X74" s="33">
        <f t="shared" si="172"/>
        <v>0</v>
      </c>
      <c r="Y74" s="33">
        <f t="shared" si="173"/>
        <v>0</v>
      </c>
      <c r="Z74" s="33">
        <f t="shared" si="174"/>
        <v>0</v>
      </c>
      <c r="AA74" s="33"/>
      <c r="AB74" s="33">
        <f t="shared" si="175"/>
        <v>0</v>
      </c>
      <c r="AC74" s="26"/>
      <c r="AD74" s="32"/>
      <c r="AE74" s="32"/>
      <c r="AF74" s="32"/>
      <c r="AG74" s="33">
        <f t="shared" si="176"/>
        <v>0</v>
      </c>
      <c r="AH74" s="33">
        <f t="shared" si="177"/>
        <v>0</v>
      </c>
      <c r="AI74" s="33">
        <f t="shared" si="178"/>
        <v>0</v>
      </c>
      <c r="AJ74" s="33">
        <f t="shared" si="179"/>
        <v>0</v>
      </c>
      <c r="AK74" s="33"/>
      <c r="AL74" s="33">
        <f t="shared" si="162"/>
        <v>0</v>
      </c>
      <c r="AM74" s="28"/>
      <c r="AN74" s="32"/>
      <c r="AO74" s="32"/>
      <c r="AP74" s="32"/>
      <c r="AQ74" s="33">
        <f t="shared" si="180"/>
        <v>0</v>
      </c>
      <c r="AR74" s="33">
        <f t="shared" si="181"/>
        <v>0</v>
      </c>
      <c r="AS74" s="33">
        <f t="shared" si="182"/>
        <v>0</v>
      </c>
      <c r="AT74" s="33">
        <f t="shared" si="183"/>
        <v>0</v>
      </c>
      <c r="AU74" s="33"/>
      <c r="AV74" s="33">
        <f t="shared" si="163"/>
        <v>0</v>
      </c>
      <c r="AW74" s="28"/>
      <c r="AX74" s="32"/>
      <c r="AY74" s="32"/>
      <c r="AZ74" s="32"/>
      <c r="BA74" s="33">
        <f t="shared" si="195"/>
        <v>0</v>
      </c>
      <c r="BB74" s="33">
        <f t="shared" si="196"/>
        <v>0</v>
      </c>
      <c r="BC74" s="33">
        <f t="shared" si="197"/>
        <v>0</v>
      </c>
      <c r="BD74" s="33">
        <f t="shared" si="198"/>
        <v>0</v>
      </c>
      <c r="BE74" s="33"/>
      <c r="BF74" s="33">
        <f t="shared" si="199"/>
        <v>0</v>
      </c>
      <c r="BG74" s="28"/>
      <c r="BH74" s="32"/>
      <c r="BI74" s="32"/>
      <c r="BJ74" s="32"/>
      <c r="BK74" s="28"/>
      <c r="BL74" s="32"/>
      <c r="BM74" s="32"/>
      <c r="BN74" s="32"/>
      <c r="BO74" s="28"/>
      <c r="BP74" s="28">
        <f t="shared" si="188"/>
        <v>0</v>
      </c>
      <c r="BQ74" s="28"/>
      <c r="BR74" s="149"/>
      <c r="BS74" s="149"/>
      <c r="BT74" s="149"/>
      <c r="BU74" s="149"/>
      <c r="BV74" s="149"/>
      <c r="BW74" s="149"/>
      <c r="BX74" s="149"/>
    </row>
    <row r="75" spans="1:76" x14ac:dyDescent="0.35">
      <c r="A75" s="32"/>
      <c r="B75" s="32"/>
      <c r="C75" s="32"/>
      <c r="D75" s="32"/>
      <c r="E75" s="54" t="str">
        <f t="shared" si="165"/>
        <v/>
      </c>
      <c r="F75" s="119"/>
      <c r="G75" s="32"/>
      <c r="H75" s="32"/>
      <c r="I75" s="98">
        <f t="shared" si="189"/>
        <v>0</v>
      </c>
      <c r="J75" s="35"/>
      <c r="K75" s="32"/>
      <c r="L75" s="32"/>
      <c r="M75" s="32"/>
      <c r="N75" s="33">
        <f t="shared" si="200"/>
        <v>0</v>
      </c>
      <c r="O75" s="33">
        <f t="shared" si="201"/>
        <v>0</v>
      </c>
      <c r="P75" s="33">
        <f t="shared" si="202"/>
        <v>0</v>
      </c>
      <c r="Q75" s="33">
        <f t="shared" si="203"/>
        <v>0</v>
      </c>
      <c r="R75" s="40"/>
      <c r="S75" s="16"/>
      <c r="T75" s="32"/>
      <c r="U75" s="32"/>
      <c r="V75" s="32"/>
      <c r="W75" s="33">
        <f t="shared" si="171"/>
        <v>0</v>
      </c>
      <c r="X75" s="33">
        <f t="shared" si="172"/>
        <v>0</v>
      </c>
      <c r="Y75" s="33">
        <f t="shared" si="173"/>
        <v>0</v>
      </c>
      <c r="Z75" s="33">
        <f t="shared" si="174"/>
        <v>0</v>
      </c>
      <c r="AA75" s="33"/>
      <c r="AB75" s="33">
        <f t="shared" si="175"/>
        <v>0</v>
      </c>
      <c r="AC75" s="26"/>
      <c r="AD75" s="32"/>
      <c r="AE75" s="32"/>
      <c r="AF75" s="32"/>
      <c r="AG75" s="33">
        <f t="shared" si="176"/>
        <v>0</v>
      </c>
      <c r="AH75" s="33">
        <f t="shared" si="177"/>
        <v>0</v>
      </c>
      <c r="AI75" s="33">
        <f t="shared" si="178"/>
        <v>0</v>
      </c>
      <c r="AJ75" s="33">
        <f t="shared" si="179"/>
        <v>0</v>
      </c>
      <c r="AK75" s="33"/>
      <c r="AL75" s="33">
        <f t="shared" si="162"/>
        <v>0</v>
      </c>
      <c r="AM75" s="28"/>
      <c r="AN75" s="32"/>
      <c r="AO75" s="32"/>
      <c r="AP75" s="32"/>
      <c r="AQ75" s="33">
        <f t="shared" si="180"/>
        <v>0</v>
      </c>
      <c r="AR75" s="33">
        <f t="shared" si="181"/>
        <v>0</v>
      </c>
      <c r="AS75" s="33">
        <f t="shared" si="182"/>
        <v>0</v>
      </c>
      <c r="AT75" s="33">
        <f t="shared" si="183"/>
        <v>0</v>
      </c>
      <c r="AU75" s="33"/>
      <c r="AV75" s="33">
        <f t="shared" si="163"/>
        <v>0</v>
      </c>
      <c r="AW75" s="28"/>
      <c r="AX75" s="32"/>
      <c r="AY75" s="32"/>
      <c r="AZ75" s="32"/>
      <c r="BA75" s="33">
        <f t="shared" si="195"/>
        <v>0</v>
      </c>
      <c r="BB75" s="33">
        <f t="shared" si="196"/>
        <v>0</v>
      </c>
      <c r="BC75" s="33">
        <f t="shared" si="197"/>
        <v>0</v>
      </c>
      <c r="BD75" s="33">
        <f t="shared" si="198"/>
        <v>0</v>
      </c>
      <c r="BE75" s="33"/>
      <c r="BF75" s="33">
        <f t="shared" si="199"/>
        <v>0</v>
      </c>
      <c r="BG75" s="28"/>
      <c r="BH75" s="32"/>
      <c r="BI75" s="32"/>
      <c r="BJ75" s="32"/>
      <c r="BK75" s="28"/>
      <c r="BL75" s="32"/>
      <c r="BM75" s="32"/>
      <c r="BN75" s="32"/>
      <c r="BO75" s="28"/>
      <c r="BP75" s="28">
        <f t="shared" si="188"/>
        <v>0</v>
      </c>
      <c r="BQ75" s="28"/>
      <c r="BR75" s="149"/>
      <c r="BS75" s="149"/>
      <c r="BT75" s="149"/>
      <c r="BU75" s="149"/>
      <c r="BV75" s="149"/>
      <c r="BW75" s="149"/>
      <c r="BX75" s="149"/>
    </row>
    <row r="76" spans="1:76" x14ac:dyDescent="0.35">
      <c r="A76" s="32"/>
      <c r="B76" s="32"/>
      <c r="C76" s="32"/>
      <c r="D76" s="32"/>
      <c r="E76" s="54" t="str">
        <f t="shared" si="165"/>
        <v/>
      </c>
      <c r="F76" s="119"/>
      <c r="G76" s="32"/>
      <c r="H76" s="32"/>
      <c r="I76" s="98">
        <f t="shared" si="189"/>
        <v>0</v>
      </c>
      <c r="J76" s="35"/>
      <c r="K76" s="32"/>
      <c r="L76" s="32"/>
      <c r="M76" s="32"/>
      <c r="N76" s="33">
        <f t="shared" si="200"/>
        <v>0</v>
      </c>
      <c r="O76" s="33">
        <f t="shared" si="201"/>
        <v>0</v>
      </c>
      <c r="P76" s="33">
        <f t="shared" si="202"/>
        <v>0</v>
      </c>
      <c r="Q76" s="33">
        <f t="shared" si="203"/>
        <v>0</v>
      </c>
      <c r="R76" s="40"/>
      <c r="S76" s="16"/>
      <c r="T76" s="32"/>
      <c r="U76" s="32"/>
      <c r="V76" s="32"/>
      <c r="W76" s="33">
        <f t="shared" si="171"/>
        <v>0</v>
      </c>
      <c r="X76" s="33">
        <f t="shared" si="172"/>
        <v>0</v>
      </c>
      <c r="Y76" s="33">
        <f t="shared" si="173"/>
        <v>0</v>
      </c>
      <c r="Z76" s="33">
        <f t="shared" si="174"/>
        <v>0</v>
      </c>
      <c r="AA76" s="33"/>
      <c r="AB76" s="33">
        <f t="shared" si="175"/>
        <v>0</v>
      </c>
      <c r="AC76" s="26"/>
      <c r="AD76" s="32"/>
      <c r="AE76" s="32"/>
      <c r="AF76" s="32"/>
      <c r="AG76" s="33">
        <f t="shared" si="176"/>
        <v>0</v>
      </c>
      <c r="AH76" s="33">
        <f t="shared" si="177"/>
        <v>0</v>
      </c>
      <c r="AI76" s="33">
        <f t="shared" si="178"/>
        <v>0</v>
      </c>
      <c r="AJ76" s="33">
        <f t="shared" si="179"/>
        <v>0</v>
      </c>
      <c r="AK76" s="33"/>
      <c r="AL76" s="33">
        <f t="shared" si="162"/>
        <v>0</v>
      </c>
      <c r="AM76" s="28"/>
      <c r="AN76" s="32"/>
      <c r="AO76" s="32"/>
      <c r="AP76" s="32"/>
      <c r="AQ76" s="33">
        <f t="shared" si="180"/>
        <v>0</v>
      </c>
      <c r="AR76" s="33">
        <f t="shared" si="181"/>
        <v>0</v>
      </c>
      <c r="AS76" s="33">
        <f t="shared" si="182"/>
        <v>0</v>
      </c>
      <c r="AT76" s="33">
        <f t="shared" si="183"/>
        <v>0</v>
      </c>
      <c r="AU76" s="33"/>
      <c r="AV76" s="33">
        <f t="shared" si="163"/>
        <v>0</v>
      </c>
      <c r="AW76" s="28"/>
      <c r="AX76" s="32"/>
      <c r="AY76" s="32"/>
      <c r="AZ76" s="32"/>
      <c r="BA76" s="33">
        <f t="shared" si="195"/>
        <v>0</v>
      </c>
      <c r="BB76" s="33">
        <f t="shared" si="196"/>
        <v>0</v>
      </c>
      <c r="BC76" s="33">
        <f t="shared" si="197"/>
        <v>0</v>
      </c>
      <c r="BD76" s="33">
        <f t="shared" si="198"/>
        <v>0</v>
      </c>
      <c r="BE76" s="33"/>
      <c r="BF76" s="33">
        <f t="shared" si="199"/>
        <v>0</v>
      </c>
      <c r="BG76" s="28"/>
      <c r="BH76" s="32"/>
      <c r="BI76" s="32"/>
      <c r="BJ76" s="32"/>
      <c r="BK76" s="28"/>
      <c r="BL76" s="32"/>
      <c r="BM76" s="32"/>
      <c r="BN76" s="32"/>
      <c r="BO76" s="28"/>
      <c r="BP76" s="28">
        <f t="shared" si="188"/>
        <v>0</v>
      </c>
      <c r="BQ76" s="28"/>
      <c r="BR76" s="32"/>
      <c r="BS76" s="32"/>
      <c r="BT76" s="32"/>
      <c r="BU76" s="32"/>
      <c r="BV76" s="32"/>
      <c r="BW76" s="32"/>
      <c r="BX76" s="32"/>
    </row>
    <row r="77" spans="1:76" x14ac:dyDescent="0.35">
      <c r="A77" s="32"/>
      <c r="B77" s="32"/>
      <c r="C77" s="32"/>
      <c r="D77" s="32"/>
      <c r="E77" s="54" t="str">
        <f t="shared" si="165"/>
        <v/>
      </c>
      <c r="F77" s="119"/>
      <c r="G77" s="32"/>
      <c r="H77" s="32"/>
      <c r="I77" s="98">
        <f t="shared" si="189"/>
        <v>0</v>
      </c>
      <c r="J77" s="35"/>
      <c r="K77" s="32"/>
      <c r="L77" s="32"/>
      <c r="M77" s="32"/>
      <c r="N77" s="33">
        <f t="shared" si="200"/>
        <v>0</v>
      </c>
      <c r="O77" s="33">
        <f t="shared" si="201"/>
        <v>0</v>
      </c>
      <c r="P77" s="33">
        <f t="shared" si="202"/>
        <v>0</v>
      </c>
      <c r="Q77" s="33">
        <f t="shared" si="203"/>
        <v>0</v>
      </c>
      <c r="R77" s="40"/>
      <c r="S77" s="16"/>
      <c r="T77" s="32"/>
      <c r="U77" s="32"/>
      <c r="V77" s="32"/>
      <c r="W77" s="33">
        <f t="shared" si="171"/>
        <v>0</v>
      </c>
      <c r="X77" s="33">
        <f t="shared" si="172"/>
        <v>0</v>
      </c>
      <c r="Y77" s="33">
        <f t="shared" si="173"/>
        <v>0</v>
      </c>
      <c r="Z77" s="33">
        <f t="shared" si="174"/>
        <v>0</v>
      </c>
      <c r="AA77" s="33"/>
      <c r="AB77" s="33">
        <f t="shared" si="175"/>
        <v>0</v>
      </c>
      <c r="AC77" s="26"/>
      <c r="AD77" s="32"/>
      <c r="AE77" s="32"/>
      <c r="AF77" s="32"/>
      <c r="AG77" s="33">
        <f t="shared" si="176"/>
        <v>0</v>
      </c>
      <c r="AH77" s="33">
        <f t="shared" si="177"/>
        <v>0</v>
      </c>
      <c r="AI77" s="33">
        <f t="shared" si="178"/>
        <v>0</v>
      </c>
      <c r="AJ77" s="33">
        <f t="shared" si="179"/>
        <v>0</v>
      </c>
      <c r="AK77" s="33"/>
      <c r="AL77" s="33">
        <f t="shared" si="162"/>
        <v>0</v>
      </c>
      <c r="AM77" s="28"/>
      <c r="AN77" s="32"/>
      <c r="AO77" s="32"/>
      <c r="AP77" s="32"/>
      <c r="AQ77" s="33">
        <f t="shared" si="180"/>
        <v>0</v>
      </c>
      <c r="AR77" s="33">
        <f t="shared" si="181"/>
        <v>0</v>
      </c>
      <c r="AS77" s="33">
        <f t="shared" si="182"/>
        <v>0</v>
      </c>
      <c r="AT77" s="33">
        <f t="shared" si="183"/>
        <v>0</v>
      </c>
      <c r="AU77" s="33"/>
      <c r="AV77" s="33">
        <f t="shared" si="163"/>
        <v>0</v>
      </c>
      <c r="AW77" s="28"/>
      <c r="AX77" s="32"/>
      <c r="AY77" s="32"/>
      <c r="AZ77" s="32"/>
      <c r="BA77" s="33">
        <f t="shared" si="195"/>
        <v>0</v>
      </c>
      <c r="BB77" s="33">
        <f t="shared" si="196"/>
        <v>0</v>
      </c>
      <c r="BC77" s="33">
        <f t="shared" si="197"/>
        <v>0</v>
      </c>
      <c r="BD77" s="33">
        <f t="shared" si="198"/>
        <v>0</v>
      </c>
      <c r="BE77" s="33"/>
      <c r="BF77" s="33">
        <f t="shared" si="199"/>
        <v>0</v>
      </c>
      <c r="BG77" s="28"/>
      <c r="BH77" s="32"/>
      <c r="BI77" s="32"/>
      <c r="BJ77" s="32"/>
      <c r="BK77" s="28"/>
      <c r="BL77" s="32"/>
      <c r="BM77" s="32"/>
      <c r="BN77" s="32"/>
      <c r="BO77" s="28"/>
      <c r="BP77" s="28">
        <f t="shared" si="188"/>
        <v>0</v>
      </c>
      <c r="BQ77" s="28"/>
      <c r="BR77" s="149"/>
      <c r="BS77" s="149"/>
      <c r="BT77" s="149"/>
      <c r="BU77" s="149"/>
      <c r="BV77" s="149"/>
      <c r="BW77" s="149"/>
      <c r="BX77" s="149"/>
    </row>
    <row r="78" spans="1:76" x14ac:dyDescent="0.35">
      <c r="A78" s="32"/>
      <c r="B78" s="32"/>
      <c r="C78" s="32"/>
      <c r="D78" s="32"/>
      <c r="E78" s="54" t="str">
        <f t="shared" si="165"/>
        <v/>
      </c>
      <c r="F78" s="119"/>
      <c r="G78" s="32"/>
      <c r="H78" s="32"/>
      <c r="I78" s="98">
        <f t="shared" si="189"/>
        <v>0</v>
      </c>
      <c r="J78" s="35"/>
      <c r="K78" s="32"/>
      <c r="L78" s="32"/>
      <c r="M78" s="32"/>
      <c r="N78" s="33">
        <f t="shared" si="200"/>
        <v>0</v>
      </c>
      <c r="O78" s="33">
        <f t="shared" si="201"/>
        <v>0</v>
      </c>
      <c r="P78" s="33">
        <f t="shared" si="202"/>
        <v>0</v>
      </c>
      <c r="Q78" s="33">
        <f t="shared" si="203"/>
        <v>0</v>
      </c>
      <c r="R78" s="40"/>
      <c r="S78" s="16"/>
      <c r="T78" s="32"/>
      <c r="U78" s="32"/>
      <c r="V78" s="32"/>
      <c r="W78" s="33">
        <f t="shared" si="171"/>
        <v>0</v>
      </c>
      <c r="X78" s="33">
        <f t="shared" si="172"/>
        <v>0</v>
      </c>
      <c r="Y78" s="33">
        <f t="shared" si="173"/>
        <v>0</v>
      </c>
      <c r="Z78" s="33">
        <f t="shared" si="174"/>
        <v>0</v>
      </c>
      <c r="AA78" s="33"/>
      <c r="AB78" s="33">
        <f t="shared" si="175"/>
        <v>0</v>
      </c>
      <c r="AC78" s="26"/>
      <c r="AD78" s="32"/>
      <c r="AE78" s="32"/>
      <c r="AF78" s="32"/>
      <c r="AG78" s="33">
        <f t="shared" si="176"/>
        <v>0</v>
      </c>
      <c r="AH78" s="33">
        <f t="shared" si="177"/>
        <v>0</v>
      </c>
      <c r="AI78" s="33">
        <f t="shared" si="178"/>
        <v>0</v>
      </c>
      <c r="AJ78" s="33">
        <f t="shared" si="179"/>
        <v>0</v>
      </c>
      <c r="AK78" s="33"/>
      <c r="AL78" s="33">
        <f t="shared" si="162"/>
        <v>0</v>
      </c>
      <c r="AM78" s="28"/>
      <c r="AN78" s="32"/>
      <c r="AO78" s="32"/>
      <c r="AP78" s="32"/>
      <c r="AQ78" s="33">
        <f t="shared" si="180"/>
        <v>0</v>
      </c>
      <c r="AR78" s="33">
        <f t="shared" si="181"/>
        <v>0</v>
      </c>
      <c r="AS78" s="33">
        <f t="shared" si="182"/>
        <v>0</v>
      </c>
      <c r="AT78" s="33">
        <f t="shared" si="183"/>
        <v>0</v>
      </c>
      <c r="AU78" s="33"/>
      <c r="AV78" s="33">
        <f t="shared" si="163"/>
        <v>0</v>
      </c>
      <c r="AW78" s="28"/>
      <c r="AX78" s="32"/>
      <c r="AY78" s="32"/>
      <c r="AZ78" s="32"/>
      <c r="BA78" s="33">
        <f t="shared" si="195"/>
        <v>0</v>
      </c>
      <c r="BB78" s="33">
        <f t="shared" si="196"/>
        <v>0</v>
      </c>
      <c r="BC78" s="33">
        <f t="shared" si="197"/>
        <v>0</v>
      </c>
      <c r="BD78" s="33">
        <f t="shared" si="198"/>
        <v>0</v>
      </c>
      <c r="BE78" s="33"/>
      <c r="BF78" s="33">
        <f t="shared" si="199"/>
        <v>0</v>
      </c>
      <c r="BG78" s="28"/>
      <c r="BH78" s="32"/>
      <c r="BI78" s="32"/>
      <c r="BJ78" s="32"/>
      <c r="BK78" s="28"/>
      <c r="BL78" s="32"/>
      <c r="BM78" s="32"/>
      <c r="BN78" s="32"/>
      <c r="BO78" s="28"/>
      <c r="BP78" s="28">
        <f t="shared" si="188"/>
        <v>0</v>
      </c>
      <c r="BQ78" s="28"/>
      <c r="BR78" s="32"/>
      <c r="BS78" s="32"/>
      <c r="BT78" s="32"/>
      <c r="BU78" s="32"/>
      <c r="BV78" s="32"/>
      <c r="BW78" s="32"/>
      <c r="BX78" s="32"/>
    </row>
    <row r="79" spans="1:76" x14ac:dyDescent="0.35">
      <c r="A79" s="32"/>
      <c r="B79" s="32"/>
      <c r="C79" s="32"/>
      <c r="D79" s="32"/>
      <c r="E79" s="54" t="str">
        <f t="shared" si="165"/>
        <v/>
      </c>
      <c r="F79" s="119"/>
      <c r="G79" s="32"/>
      <c r="H79" s="32"/>
      <c r="I79" s="98">
        <f t="shared" si="189"/>
        <v>0</v>
      </c>
      <c r="J79" s="35"/>
      <c r="K79" s="32"/>
      <c r="L79" s="32"/>
      <c r="M79" s="32"/>
      <c r="N79" s="33">
        <f t="shared" si="200"/>
        <v>0</v>
      </c>
      <c r="O79" s="33">
        <f t="shared" si="201"/>
        <v>0</v>
      </c>
      <c r="P79" s="33">
        <f t="shared" si="202"/>
        <v>0</v>
      </c>
      <c r="Q79" s="33">
        <f t="shared" si="203"/>
        <v>0</v>
      </c>
      <c r="R79" s="40"/>
      <c r="S79" s="16"/>
      <c r="T79" s="32"/>
      <c r="U79" s="32"/>
      <c r="V79" s="32"/>
      <c r="W79" s="33">
        <f t="shared" si="171"/>
        <v>0</v>
      </c>
      <c r="X79" s="33">
        <f t="shared" si="172"/>
        <v>0</v>
      </c>
      <c r="Y79" s="33">
        <f t="shared" si="173"/>
        <v>0</v>
      </c>
      <c r="Z79" s="33">
        <f t="shared" si="174"/>
        <v>0</v>
      </c>
      <c r="AA79" s="33"/>
      <c r="AB79" s="33">
        <f t="shared" si="175"/>
        <v>0</v>
      </c>
      <c r="AC79" s="26"/>
      <c r="AD79" s="32"/>
      <c r="AE79" s="32"/>
      <c r="AF79" s="32"/>
      <c r="AG79" s="33">
        <f t="shared" si="176"/>
        <v>0</v>
      </c>
      <c r="AH79" s="33">
        <f t="shared" si="177"/>
        <v>0</v>
      </c>
      <c r="AI79" s="33">
        <f t="shared" si="178"/>
        <v>0</v>
      </c>
      <c r="AJ79" s="33">
        <f t="shared" si="179"/>
        <v>0</v>
      </c>
      <c r="AK79" s="33"/>
      <c r="AL79" s="33">
        <f t="shared" si="162"/>
        <v>0</v>
      </c>
      <c r="AM79" s="28"/>
      <c r="AN79" s="32"/>
      <c r="AO79" s="32"/>
      <c r="AP79" s="32"/>
      <c r="AQ79" s="33">
        <f t="shared" si="180"/>
        <v>0</v>
      </c>
      <c r="AR79" s="33">
        <f t="shared" si="181"/>
        <v>0</v>
      </c>
      <c r="AS79" s="33">
        <f t="shared" si="182"/>
        <v>0</v>
      </c>
      <c r="AT79" s="33">
        <f t="shared" si="183"/>
        <v>0</v>
      </c>
      <c r="AU79" s="33"/>
      <c r="AV79" s="33">
        <f t="shared" si="163"/>
        <v>0</v>
      </c>
      <c r="AW79" s="28"/>
      <c r="AX79" s="32"/>
      <c r="AY79" s="32"/>
      <c r="AZ79" s="32"/>
      <c r="BA79" s="33">
        <f t="shared" si="195"/>
        <v>0</v>
      </c>
      <c r="BB79" s="33">
        <f t="shared" si="196"/>
        <v>0</v>
      </c>
      <c r="BC79" s="33">
        <f t="shared" si="197"/>
        <v>0</v>
      </c>
      <c r="BD79" s="33">
        <f t="shared" si="198"/>
        <v>0</v>
      </c>
      <c r="BE79" s="33"/>
      <c r="BF79" s="33">
        <f t="shared" si="199"/>
        <v>0</v>
      </c>
      <c r="BG79" s="28"/>
      <c r="BH79" s="32"/>
      <c r="BI79" s="32"/>
      <c r="BJ79" s="32"/>
      <c r="BK79" s="28"/>
      <c r="BL79" s="32"/>
      <c r="BM79" s="32"/>
      <c r="BN79" s="32"/>
      <c r="BO79" s="28"/>
      <c r="BP79" s="28">
        <f t="shared" si="188"/>
        <v>0</v>
      </c>
      <c r="BQ79" s="28"/>
      <c r="BR79" s="32"/>
      <c r="BS79" s="32"/>
      <c r="BT79" s="32"/>
      <c r="BU79" s="32"/>
      <c r="BV79" s="32"/>
      <c r="BW79" s="32"/>
      <c r="BX79" s="32"/>
    </row>
    <row r="80" spans="1:76" x14ac:dyDescent="0.35">
      <c r="A80" s="32"/>
      <c r="B80" s="32"/>
      <c r="C80" s="32"/>
      <c r="D80" s="32"/>
      <c r="E80" s="54" t="str">
        <f t="shared" si="165"/>
        <v/>
      </c>
      <c r="F80" s="119"/>
      <c r="G80" s="32"/>
      <c r="H80" s="32"/>
      <c r="I80" s="98">
        <f t="shared" si="189"/>
        <v>0</v>
      </c>
      <c r="J80" s="35"/>
      <c r="K80" s="32"/>
      <c r="L80" s="32"/>
      <c r="M80" s="32"/>
      <c r="N80" s="33">
        <f t="shared" si="200"/>
        <v>0</v>
      </c>
      <c r="O80" s="33">
        <f t="shared" si="201"/>
        <v>0</v>
      </c>
      <c r="P80" s="33">
        <f t="shared" si="202"/>
        <v>0</v>
      </c>
      <c r="Q80" s="33">
        <f t="shared" si="203"/>
        <v>0</v>
      </c>
      <c r="R80" s="40"/>
      <c r="S80" s="16"/>
      <c r="T80" s="32"/>
      <c r="U80" s="32"/>
      <c r="V80" s="32"/>
      <c r="W80" s="33">
        <f t="shared" si="171"/>
        <v>0</v>
      </c>
      <c r="X80" s="33">
        <f t="shared" si="172"/>
        <v>0</v>
      </c>
      <c r="Y80" s="33">
        <f t="shared" si="173"/>
        <v>0</v>
      </c>
      <c r="Z80" s="33">
        <f t="shared" si="174"/>
        <v>0</v>
      </c>
      <c r="AA80" s="33"/>
      <c r="AB80" s="33">
        <f t="shared" si="175"/>
        <v>0</v>
      </c>
      <c r="AC80" s="26"/>
      <c r="AD80" s="32"/>
      <c r="AE80" s="32"/>
      <c r="AF80" s="32"/>
      <c r="AG80" s="33">
        <f t="shared" si="176"/>
        <v>0</v>
      </c>
      <c r="AH80" s="33">
        <f t="shared" si="177"/>
        <v>0</v>
      </c>
      <c r="AI80" s="33">
        <f t="shared" si="178"/>
        <v>0</v>
      </c>
      <c r="AJ80" s="33">
        <f t="shared" si="179"/>
        <v>0</v>
      </c>
      <c r="AK80" s="33"/>
      <c r="AL80" s="33">
        <f t="shared" si="162"/>
        <v>0</v>
      </c>
      <c r="AM80" s="28"/>
      <c r="AN80" s="32"/>
      <c r="AO80" s="32"/>
      <c r="AP80" s="32"/>
      <c r="AQ80" s="33">
        <f t="shared" si="180"/>
        <v>0</v>
      </c>
      <c r="AR80" s="33">
        <f t="shared" si="181"/>
        <v>0</v>
      </c>
      <c r="AS80" s="33">
        <f t="shared" si="182"/>
        <v>0</v>
      </c>
      <c r="AT80" s="33">
        <f t="shared" si="183"/>
        <v>0</v>
      </c>
      <c r="AU80" s="33"/>
      <c r="AV80" s="33">
        <f t="shared" si="163"/>
        <v>0</v>
      </c>
      <c r="AW80" s="28"/>
      <c r="AX80" s="32"/>
      <c r="AY80" s="32"/>
      <c r="AZ80" s="32"/>
      <c r="BA80" s="33">
        <f t="shared" si="195"/>
        <v>0</v>
      </c>
      <c r="BB80" s="33">
        <f t="shared" si="196"/>
        <v>0</v>
      </c>
      <c r="BC80" s="33">
        <f t="shared" si="197"/>
        <v>0</v>
      </c>
      <c r="BD80" s="33">
        <f t="shared" si="198"/>
        <v>0</v>
      </c>
      <c r="BE80" s="33"/>
      <c r="BF80" s="33">
        <f t="shared" si="199"/>
        <v>0</v>
      </c>
      <c r="BG80" s="28"/>
      <c r="BH80" s="32"/>
      <c r="BI80" s="32"/>
      <c r="BJ80" s="32"/>
      <c r="BK80" s="28"/>
      <c r="BL80" s="32"/>
      <c r="BM80" s="32"/>
      <c r="BN80" s="32"/>
      <c r="BO80" s="28"/>
      <c r="BP80" s="28">
        <f t="shared" si="188"/>
        <v>0</v>
      </c>
      <c r="BQ80" s="28"/>
      <c r="BR80" s="32"/>
      <c r="BS80" s="32"/>
      <c r="BT80" s="32"/>
      <c r="BU80" s="32"/>
      <c r="BV80" s="32"/>
      <c r="BW80" s="32"/>
      <c r="BX80" s="32"/>
    </row>
    <row r="81" spans="1:76" x14ac:dyDescent="0.35">
      <c r="A81" s="32"/>
      <c r="B81" s="32"/>
      <c r="C81" s="32"/>
      <c r="D81" s="32"/>
      <c r="E81" s="54" t="str">
        <f t="shared" si="165"/>
        <v/>
      </c>
      <c r="F81" s="119"/>
      <c r="G81" s="32"/>
      <c r="H81" s="32"/>
      <c r="I81" s="98">
        <f t="shared" si="189"/>
        <v>0</v>
      </c>
      <c r="J81" s="35"/>
      <c r="K81" s="32"/>
      <c r="L81" s="32"/>
      <c r="M81" s="32"/>
      <c r="N81" s="33">
        <f t="shared" si="200"/>
        <v>0</v>
      </c>
      <c r="O81" s="33">
        <f t="shared" si="201"/>
        <v>0</v>
      </c>
      <c r="P81" s="33">
        <f t="shared" si="202"/>
        <v>0</v>
      </c>
      <c r="Q81" s="33">
        <f t="shared" si="203"/>
        <v>0</v>
      </c>
      <c r="R81" s="40"/>
      <c r="S81" s="16"/>
      <c r="T81" s="32"/>
      <c r="U81" s="32"/>
      <c r="V81" s="32"/>
      <c r="W81" s="33">
        <f t="shared" si="171"/>
        <v>0</v>
      </c>
      <c r="X81" s="33">
        <f t="shared" si="172"/>
        <v>0</v>
      </c>
      <c r="Y81" s="33">
        <f t="shared" si="173"/>
        <v>0</v>
      </c>
      <c r="Z81" s="33">
        <f t="shared" si="174"/>
        <v>0</v>
      </c>
      <c r="AA81" s="33"/>
      <c r="AB81" s="33">
        <f t="shared" si="175"/>
        <v>0</v>
      </c>
      <c r="AC81" s="26"/>
      <c r="AD81" s="32"/>
      <c r="AE81" s="32"/>
      <c r="AF81" s="32"/>
      <c r="AG81" s="33">
        <f t="shared" si="176"/>
        <v>0</v>
      </c>
      <c r="AH81" s="33">
        <f t="shared" si="177"/>
        <v>0</v>
      </c>
      <c r="AI81" s="33">
        <f t="shared" si="178"/>
        <v>0</v>
      </c>
      <c r="AJ81" s="33">
        <f t="shared" si="179"/>
        <v>0</v>
      </c>
      <c r="AK81" s="33"/>
      <c r="AL81" s="33">
        <f t="shared" si="162"/>
        <v>0</v>
      </c>
      <c r="AM81" s="28"/>
      <c r="AN81" s="32"/>
      <c r="AO81" s="32"/>
      <c r="AP81" s="32"/>
      <c r="AQ81" s="33">
        <f t="shared" si="180"/>
        <v>0</v>
      </c>
      <c r="AR81" s="33">
        <f t="shared" si="181"/>
        <v>0</v>
      </c>
      <c r="AS81" s="33">
        <f t="shared" si="182"/>
        <v>0</v>
      </c>
      <c r="AT81" s="33">
        <f t="shared" si="183"/>
        <v>0</v>
      </c>
      <c r="AU81" s="33"/>
      <c r="AV81" s="33">
        <f t="shared" si="163"/>
        <v>0</v>
      </c>
      <c r="AW81" s="28"/>
      <c r="AX81" s="32"/>
      <c r="AY81" s="32"/>
      <c r="AZ81" s="32"/>
      <c r="BA81" s="33">
        <f t="shared" si="195"/>
        <v>0</v>
      </c>
      <c r="BB81" s="33">
        <f t="shared" si="196"/>
        <v>0</v>
      </c>
      <c r="BC81" s="33">
        <f t="shared" si="197"/>
        <v>0</v>
      </c>
      <c r="BD81" s="33">
        <f t="shared" si="198"/>
        <v>0</v>
      </c>
      <c r="BE81" s="33"/>
      <c r="BF81" s="33">
        <f t="shared" si="199"/>
        <v>0</v>
      </c>
      <c r="BG81" s="28"/>
      <c r="BH81" s="32"/>
      <c r="BI81" s="32"/>
      <c r="BJ81" s="32"/>
      <c r="BK81" s="28"/>
      <c r="BL81" s="32"/>
      <c r="BM81" s="32"/>
      <c r="BN81" s="32"/>
      <c r="BO81" s="28"/>
      <c r="BP81" s="28">
        <f t="shared" si="188"/>
        <v>0</v>
      </c>
      <c r="BQ81" s="28"/>
      <c r="BR81" s="149"/>
      <c r="BS81" s="149"/>
      <c r="BT81" s="149"/>
      <c r="BU81" s="149"/>
      <c r="BV81" s="149"/>
      <c r="BW81" s="149"/>
      <c r="BX81" s="149"/>
    </row>
    <row r="82" spans="1:76" x14ac:dyDescent="0.35">
      <c r="A82" s="32"/>
      <c r="B82" s="32"/>
      <c r="C82" s="32"/>
      <c r="D82" s="32"/>
      <c r="E82" s="54" t="str">
        <f t="shared" si="165"/>
        <v/>
      </c>
      <c r="F82" s="119"/>
      <c r="G82" s="32"/>
      <c r="H82" s="32"/>
      <c r="I82" s="98">
        <f t="shared" si="189"/>
        <v>0</v>
      </c>
      <c r="J82" s="35"/>
      <c r="K82" s="32"/>
      <c r="L82" s="32"/>
      <c r="M82" s="32"/>
      <c r="N82" s="33">
        <f t="shared" si="200"/>
        <v>0</v>
      </c>
      <c r="O82" s="33">
        <f t="shared" si="201"/>
        <v>0</v>
      </c>
      <c r="P82" s="33">
        <f t="shared" si="202"/>
        <v>0</v>
      </c>
      <c r="Q82" s="33">
        <f t="shared" si="203"/>
        <v>0</v>
      </c>
      <c r="R82" s="40"/>
      <c r="S82" s="16"/>
      <c r="T82" s="32"/>
      <c r="U82" s="32"/>
      <c r="V82" s="32"/>
      <c r="W82" s="33">
        <f t="shared" si="171"/>
        <v>0</v>
      </c>
      <c r="X82" s="33">
        <f t="shared" si="172"/>
        <v>0</v>
      </c>
      <c r="Y82" s="33">
        <f t="shared" si="173"/>
        <v>0</v>
      </c>
      <c r="Z82" s="33">
        <f t="shared" si="174"/>
        <v>0</v>
      </c>
      <c r="AA82" s="33"/>
      <c r="AB82" s="33">
        <f t="shared" si="175"/>
        <v>0</v>
      </c>
      <c r="AC82" s="26"/>
      <c r="AD82" s="32"/>
      <c r="AE82" s="32"/>
      <c r="AF82" s="32"/>
      <c r="AG82" s="33">
        <f t="shared" si="176"/>
        <v>0</v>
      </c>
      <c r="AH82" s="33">
        <f t="shared" si="177"/>
        <v>0</v>
      </c>
      <c r="AI82" s="33">
        <f t="shared" si="178"/>
        <v>0</v>
      </c>
      <c r="AJ82" s="33">
        <f t="shared" si="179"/>
        <v>0</v>
      </c>
      <c r="AK82" s="33"/>
      <c r="AL82" s="33">
        <f t="shared" si="162"/>
        <v>0</v>
      </c>
      <c r="AM82" s="28"/>
      <c r="AN82" s="32"/>
      <c r="AO82" s="32"/>
      <c r="AP82" s="32"/>
      <c r="AQ82" s="33">
        <f t="shared" si="180"/>
        <v>0</v>
      </c>
      <c r="AR82" s="33">
        <f t="shared" si="181"/>
        <v>0</v>
      </c>
      <c r="AS82" s="33">
        <f t="shared" si="182"/>
        <v>0</v>
      </c>
      <c r="AT82" s="33">
        <f t="shared" si="183"/>
        <v>0</v>
      </c>
      <c r="AU82" s="33"/>
      <c r="AV82" s="33">
        <f t="shared" si="163"/>
        <v>0</v>
      </c>
      <c r="AW82" s="28"/>
      <c r="AX82" s="32"/>
      <c r="AY82" s="32"/>
      <c r="AZ82" s="32"/>
      <c r="BA82" s="33">
        <f t="shared" si="195"/>
        <v>0</v>
      </c>
      <c r="BB82" s="33">
        <f t="shared" si="196"/>
        <v>0</v>
      </c>
      <c r="BC82" s="33">
        <f t="shared" si="197"/>
        <v>0</v>
      </c>
      <c r="BD82" s="33">
        <f t="shared" si="198"/>
        <v>0</v>
      </c>
      <c r="BE82" s="33"/>
      <c r="BF82" s="33">
        <f t="shared" si="199"/>
        <v>0</v>
      </c>
      <c r="BG82" s="28"/>
      <c r="BH82" s="32"/>
      <c r="BI82" s="32"/>
      <c r="BJ82" s="32"/>
      <c r="BK82" s="28"/>
      <c r="BL82" s="32"/>
      <c r="BM82" s="32"/>
      <c r="BN82" s="32"/>
      <c r="BO82" s="28"/>
      <c r="BP82" s="28">
        <f t="shared" si="188"/>
        <v>0</v>
      </c>
      <c r="BQ82" s="28"/>
      <c r="BR82" s="32"/>
      <c r="BS82" s="32"/>
      <c r="BT82" s="32"/>
      <c r="BU82" s="32"/>
      <c r="BV82" s="32"/>
      <c r="BW82" s="32"/>
      <c r="BX82" s="32"/>
    </row>
    <row r="83" spans="1:76" x14ac:dyDescent="0.35">
      <c r="A83" s="32"/>
      <c r="B83" s="32"/>
      <c r="C83" s="32"/>
      <c r="D83" s="32"/>
      <c r="E83" s="54" t="str">
        <f t="shared" si="165"/>
        <v/>
      </c>
      <c r="F83" s="119"/>
      <c r="G83" s="32"/>
      <c r="H83" s="32"/>
      <c r="I83" s="98">
        <f t="shared" si="189"/>
        <v>0</v>
      </c>
      <c r="J83" s="35"/>
      <c r="K83" s="32"/>
      <c r="L83" s="32"/>
      <c r="M83" s="32"/>
      <c r="N83" s="33">
        <f t="shared" si="200"/>
        <v>0</v>
      </c>
      <c r="O83" s="33">
        <f t="shared" si="201"/>
        <v>0</v>
      </c>
      <c r="P83" s="33">
        <f t="shared" si="202"/>
        <v>0</v>
      </c>
      <c r="Q83" s="33">
        <f t="shared" si="203"/>
        <v>0</v>
      </c>
      <c r="R83" s="40"/>
      <c r="S83" s="16"/>
      <c r="T83" s="32"/>
      <c r="U83" s="32"/>
      <c r="V83" s="32"/>
      <c r="W83" s="33">
        <f t="shared" si="171"/>
        <v>0</v>
      </c>
      <c r="X83" s="33">
        <f t="shared" si="172"/>
        <v>0</v>
      </c>
      <c r="Y83" s="33">
        <f t="shared" si="173"/>
        <v>0</v>
      </c>
      <c r="Z83" s="33">
        <f t="shared" si="174"/>
        <v>0</v>
      </c>
      <c r="AA83" s="33"/>
      <c r="AB83" s="33">
        <f t="shared" si="175"/>
        <v>0</v>
      </c>
      <c r="AC83" s="26"/>
      <c r="AD83" s="32"/>
      <c r="AE83" s="32"/>
      <c r="AF83" s="32"/>
      <c r="AG83" s="33">
        <f t="shared" si="176"/>
        <v>0</v>
      </c>
      <c r="AH83" s="33">
        <f t="shared" si="177"/>
        <v>0</v>
      </c>
      <c r="AI83" s="33">
        <f t="shared" si="178"/>
        <v>0</v>
      </c>
      <c r="AJ83" s="33">
        <f t="shared" si="179"/>
        <v>0</v>
      </c>
      <c r="AK83" s="33"/>
      <c r="AL83" s="33">
        <f t="shared" si="162"/>
        <v>0</v>
      </c>
      <c r="AM83" s="28"/>
      <c r="AN83" s="32"/>
      <c r="AO83" s="32"/>
      <c r="AP83" s="32"/>
      <c r="AQ83" s="33">
        <f t="shared" si="180"/>
        <v>0</v>
      </c>
      <c r="AR83" s="33">
        <f t="shared" si="181"/>
        <v>0</v>
      </c>
      <c r="AS83" s="33">
        <f t="shared" si="182"/>
        <v>0</v>
      </c>
      <c r="AT83" s="33">
        <f t="shared" si="183"/>
        <v>0</v>
      </c>
      <c r="AU83" s="33"/>
      <c r="AV83" s="33">
        <f t="shared" si="163"/>
        <v>0</v>
      </c>
      <c r="AW83" s="28"/>
      <c r="AX83" s="32"/>
      <c r="AY83" s="32"/>
      <c r="AZ83" s="32"/>
      <c r="BA83" s="33">
        <f t="shared" si="195"/>
        <v>0</v>
      </c>
      <c r="BB83" s="33">
        <f t="shared" si="196"/>
        <v>0</v>
      </c>
      <c r="BC83" s="33">
        <f t="shared" si="197"/>
        <v>0</v>
      </c>
      <c r="BD83" s="33">
        <f t="shared" si="198"/>
        <v>0</v>
      </c>
      <c r="BE83" s="33"/>
      <c r="BF83" s="33">
        <f t="shared" si="199"/>
        <v>0</v>
      </c>
      <c r="BG83" s="28"/>
      <c r="BH83" s="32"/>
      <c r="BI83" s="32"/>
      <c r="BJ83" s="32"/>
      <c r="BK83" s="28"/>
      <c r="BL83" s="32"/>
      <c r="BM83" s="32"/>
      <c r="BN83" s="32"/>
      <c r="BO83" s="28"/>
      <c r="BP83" s="28">
        <f t="shared" si="188"/>
        <v>0</v>
      </c>
      <c r="BQ83" s="28"/>
      <c r="BR83" s="32"/>
      <c r="BS83" s="32"/>
      <c r="BT83" s="32"/>
      <c r="BU83" s="32"/>
      <c r="BV83" s="32"/>
      <c r="BW83" s="32"/>
      <c r="BX83" s="32"/>
    </row>
    <row r="84" spans="1:76" x14ac:dyDescent="0.35">
      <c r="A84" s="32"/>
      <c r="B84" s="32"/>
      <c r="C84" s="32"/>
      <c r="D84" s="32"/>
      <c r="E84" s="54" t="str">
        <f t="shared" si="165"/>
        <v/>
      </c>
      <c r="F84" s="119"/>
      <c r="G84" s="32"/>
      <c r="H84" s="32"/>
      <c r="I84" s="98">
        <f t="shared" si="189"/>
        <v>0</v>
      </c>
      <c r="J84" s="35"/>
      <c r="K84" s="32"/>
      <c r="L84" s="32"/>
      <c r="M84" s="32"/>
      <c r="N84" s="33">
        <f t="shared" si="200"/>
        <v>0</v>
      </c>
      <c r="O84" s="33">
        <f t="shared" si="201"/>
        <v>0</v>
      </c>
      <c r="P84" s="33">
        <f t="shared" si="202"/>
        <v>0</v>
      </c>
      <c r="Q84" s="33">
        <f t="shared" si="203"/>
        <v>0</v>
      </c>
      <c r="R84" s="40"/>
      <c r="S84" s="16"/>
      <c r="T84" s="32"/>
      <c r="U84" s="32"/>
      <c r="V84" s="32"/>
      <c r="W84" s="33">
        <f t="shared" si="171"/>
        <v>0</v>
      </c>
      <c r="X84" s="33">
        <f t="shared" si="172"/>
        <v>0</v>
      </c>
      <c r="Y84" s="33">
        <f t="shared" si="173"/>
        <v>0</v>
      </c>
      <c r="Z84" s="33">
        <f t="shared" si="174"/>
        <v>0</v>
      </c>
      <c r="AA84" s="33"/>
      <c r="AB84" s="33">
        <f t="shared" si="175"/>
        <v>0</v>
      </c>
      <c r="AC84" s="26"/>
      <c r="AD84" s="32"/>
      <c r="AE84" s="32"/>
      <c r="AF84" s="32"/>
      <c r="AG84" s="33">
        <f t="shared" si="176"/>
        <v>0</v>
      </c>
      <c r="AH84" s="33">
        <f t="shared" si="177"/>
        <v>0</v>
      </c>
      <c r="AI84" s="33">
        <f t="shared" si="178"/>
        <v>0</v>
      </c>
      <c r="AJ84" s="33">
        <f t="shared" si="179"/>
        <v>0</v>
      </c>
      <c r="AK84" s="33"/>
      <c r="AL84" s="33">
        <f t="shared" si="162"/>
        <v>0</v>
      </c>
      <c r="AM84" s="28"/>
      <c r="AN84" s="32"/>
      <c r="AO84" s="32"/>
      <c r="AP84" s="32"/>
      <c r="AQ84" s="33">
        <f t="shared" si="180"/>
        <v>0</v>
      </c>
      <c r="AR84" s="33">
        <f t="shared" si="181"/>
        <v>0</v>
      </c>
      <c r="AS84" s="33">
        <f t="shared" si="182"/>
        <v>0</v>
      </c>
      <c r="AT84" s="33">
        <f t="shared" si="183"/>
        <v>0</v>
      </c>
      <c r="AU84" s="33"/>
      <c r="AV84" s="33">
        <f t="shared" si="163"/>
        <v>0</v>
      </c>
      <c r="AW84" s="28"/>
      <c r="AX84" s="32"/>
      <c r="AY84" s="32"/>
      <c r="AZ84" s="32"/>
      <c r="BA84" s="33">
        <f t="shared" si="195"/>
        <v>0</v>
      </c>
      <c r="BB84" s="33">
        <f t="shared" si="196"/>
        <v>0</v>
      </c>
      <c r="BC84" s="33">
        <f t="shared" si="197"/>
        <v>0</v>
      </c>
      <c r="BD84" s="33">
        <f t="shared" si="198"/>
        <v>0</v>
      </c>
      <c r="BE84" s="33"/>
      <c r="BF84" s="33">
        <f t="shared" si="199"/>
        <v>0</v>
      </c>
      <c r="BG84" s="28"/>
      <c r="BH84" s="32"/>
      <c r="BI84" s="32"/>
      <c r="BJ84" s="32"/>
      <c r="BK84" s="28"/>
      <c r="BL84" s="32"/>
      <c r="BM84" s="32"/>
      <c r="BN84" s="32"/>
      <c r="BO84" s="28"/>
      <c r="BP84" s="28">
        <f t="shared" si="188"/>
        <v>0</v>
      </c>
      <c r="BQ84" s="28"/>
      <c r="BR84" s="149"/>
      <c r="BS84" s="149"/>
      <c r="BT84" s="149"/>
      <c r="BU84" s="149"/>
      <c r="BV84" s="149"/>
      <c r="BW84" s="149"/>
      <c r="BX84" s="149"/>
    </row>
    <row r="85" spans="1:76" x14ac:dyDescent="0.35">
      <c r="A85" s="32"/>
      <c r="B85" s="32"/>
      <c r="C85" s="32"/>
      <c r="D85" s="32"/>
      <c r="E85" s="54" t="str">
        <f t="shared" si="165"/>
        <v/>
      </c>
      <c r="F85" s="119"/>
      <c r="G85" s="32"/>
      <c r="H85" s="32"/>
      <c r="I85" s="98">
        <f t="shared" si="189"/>
        <v>0</v>
      </c>
      <c r="J85" s="35"/>
      <c r="K85" s="32"/>
      <c r="L85" s="32"/>
      <c r="M85" s="32"/>
      <c r="N85" s="33">
        <f t="shared" si="200"/>
        <v>0</v>
      </c>
      <c r="O85" s="33">
        <f t="shared" si="201"/>
        <v>0</v>
      </c>
      <c r="P85" s="33">
        <f t="shared" si="202"/>
        <v>0</v>
      </c>
      <c r="Q85" s="33">
        <f t="shared" si="203"/>
        <v>0</v>
      </c>
      <c r="R85" s="40"/>
      <c r="S85" s="16"/>
      <c r="T85" s="32"/>
      <c r="U85" s="32"/>
      <c r="V85" s="32"/>
      <c r="W85" s="33">
        <f t="shared" si="171"/>
        <v>0</v>
      </c>
      <c r="X85" s="33">
        <f t="shared" si="172"/>
        <v>0</v>
      </c>
      <c r="Y85" s="33">
        <f t="shared" si="173"/>
        <v>0</v>
      </c>
      <c r="Z85" s="33">
        <f t="shared" si="174"/>
        <v>0</v>
      </c>
      <c r="AA85" s="33"/>
      <c r="AB85" s="33">
        <f t="shared" si="175"/>
        <v>0</v>
      </c>
      <c r="AC85" s="26"/>
      <c r="AD85" s="32"/>
      <c r="AE85" s="32"/>
      <c r="AF85" s="32"/>
      <c r="AG85" s="33">
        <f t="shared" si="176"/>
        <v>0</v>
      </c>
      <c r="AH85" s="33">
        <f t="shared" si="177"/>
        <v>0</v>
      </c>
      <c r="AI85" s="33">
        <f t="shared" si="178"/>
        <v>0</v>
      </c>
      <c r="AJ85" s="33">
        <f t="shared" si="179"/>
        <v>0</v>
      </c>
      <c r="AK85" s="33"/>
      <c r="AL85" s="33">
        <f t="shared" si="162"/>
        <v>0</v>
      </c>
      <c r="AM85" s="28"/>
      <c r="AN85" s="32"/>
      <c r="AO85" s="32"/>
      <c r="AP85" s="32"/>
      <c r="AQ85" s="33">
        <f t="shared" si="180"/>
        <v>0</v>
      </c>
      <c r="AR85" s="33">
        <f t="shared" si="181"/>
        <v>0</v>
      </c>
      <c r="AS85" s="33">
        <f t="shared" si="182"/>
        <v>0</v>
      </c>
      <c r="AT85" s="33">
        <f t="shared" si="183"/>
        <v>0</v>
      </c>
      <c r="AU85" s="33"/>
      <c r="AV85" s="33">
        <f t="shared" si="163"/>
        <v>0</v>
      </c>
      <c r="AW85" s="28"/>
      <c r="AX85" s="32"/>
      <c r="AY85" s="32"/>
      <c r="AZ85" s="32"/>
      <c r="BA85" s="33">
        <f t="shared" si="195"/>
        <v>0</v>
      </c>
      <c r="BB85" s="33">
        <f t="shared" si="196"/>
        <v>0</v>
      </c>
      <c r="BC85" s="33">
        <f t="shared" si="197"/>
        <v>0</v>
      </c>
      <c r="BD85" s="33">
        <f t="shared" si="198"/>
        <v>0</v>
      </c>
      <c r="BE85" s="33"/>
      <c r="BF85" s="33">
        <f t="shared" si="199"/>
        <v>0</v>
      </c>
      <c r="BG85" s="28"/>
      <c r="BH85" s="32"/>
      <c r="BI85" s="32"/>
      <c r="BJ85" s="32"/>
      <c r="BK85" s="28"/>
      <c r="BL85" s="32"/>
      <c r="BM85" s="32"/>
      <c r="BN85" s="32"/>
      <c r="BO85" s="28"/>
      <c r="BP85" s="28">
        <f t="shared" si="188"/>
        <v>0</v>
      </c>
      <c r="BQ85" s="28"/>
      <c r="BR85" s="32"/>
      <c r="BS85" s="32"/>
      <c r="BT85" s="32"/>
      <c r="BU85" s="32"/>
      <c r="BV85" s="32"/>
      <c r="BW85" s="32"/>
      <c r="BX85" s="32"/>
    </row>
    <row r="86" spans="1:76" x14ac:dyDescent="0.35">
      <c r="A86" s="32"/>
      <c r="B86" s="32"/>
      <c r="C86" s="32"/>
      <c r="D86" s="32"/>
      <c r="E86" s="54" t="str">
        <f t="shared" si="3"/>
        <v/>
      </c>
      <c r="F86" s="119"/>
      <c r="G86" s="32"/>
      <c r="H86" s="32"/>
      <c r="I86" s="98">
        <f t="shared" si="4"/>
        <v>0</v>
      </c>
      <c r="J86" s="35"/>
      <c r="K86" s="32"/>
      <c r="L86" s="32"/>
      <c r="M86" s="32"/>
      <c r="N86" s="33">
        <f t="shared" si="5"/>
        <v>0</v>
      </c>
      <c r="O86" s="33">
        <f t="shared" si="6"/>
        <v>0</v>
      </c>
      <c r="P86" s="33">
        <f t="shared" si="7"/>
        <v>0</v>
      </c>
      <c r="Q86" s="33">
        <f t="shared" si="8"/>
        <v>0</v>
      </c>
      <c r="R86" s="40"/>
      <c r="S86" s="16"/>
      <c r="T86" s="32"/>
      <c r="U86" s="32"/>
      <c r="V86" s="32"/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A86" s="33"/>
      <c r="AB86" s="33">
        <f t="shared" si="13"/>
        <v>0</v>
      </c>
      <c r="AC86" s="26"/>
      <c r="AD86" s="32"/>
      <c r="AE86" s="32"/>
      <c r="AF86" s="32"/>
      <c r="AG86" s="33">
        <f t="shared" si="14"/>
        <v>0</v>
      </c>
      <c r="AH86" s="33">
        <f t="shared" si="15"/>
        <v>0</v>
      </c>
      <c r="AI86" s="33">
        <f t="shared" si="16"/>
        <v>0</v>
      </c>
      <c r="AJ86" s="33">
        <f t="shared" si="17"/>
        <v>0</v>
      </c>
      <c r="AK86" s="33"/>
      <c r="AL86" s="33">
        <f t="shared" si="0"/>
        <v>0</v>
      </c>
      <c r="AM86" s="28"/>
      <c r="AN86" s="32"/>
      <c r="AO86" s="32"/>
      <c r="AP86" s="32"/>
      <c r="AQ86" s="33">
        <f t="shared" si="18"/>
        <v>0</v>
      </c>
      <c r="AR86" s="33">
        <f t="shared" si="19"/>
        <v>0</v>
      </c>
      <c r="AS86" s="33">
        <f t="shared" si="20"/>
        <v>0</v>
      </c>
      <c r="AT86" s="33">
        <f t="shared" si="21"/>
        <v>0</v>
      </c>
      <c r="AU86" s="33"/>
      <c r="AV86" s="33">
        <f t="shared" si="1"/>
        <v>0</v>
      </c>
      <c r="AW86" s="28"/>
      <c r="AX86" s="32"/>
      <c r="AY86" s="32"/>
      <c r="AZ86" s="32"/>
      <c r="BA86" s="33">
        <f t="shared" si="22"/>
        <v>0</v>
      </c>
      <c r="BB86" s="33">
        <f t="shared" si="23"/>
        <v>0</v>
      </c>
      <c r="BC86" s="33">
        <f t="shared" si="24"/>
        <v>0</v>
      </c>
      <c r="BD86" s="33">
        <f t="shared" si="25"/>
        <v>0</v>
      </c>
      <c r="BE86" s="33"/>
      <c r="BF86" s="33">
        <f t="shared" si="2"/>
        <v>0</v>
      </c>
      <c r="BG86" s="28"/>
      <c r="BH86" s="32"/>
      <c r="BI86" s="32"/>
      <c r="BJ86" s="32"/>
      <c r="BK86" s="28"/>
      <c r="BL86" s="32"/>
      <c r="BM86" s="32"/>
      <c r="BN86" s="32"/>
      <c r="BO86" s="28"/>
      <c r="BP86" s="28">
        <f t="shared" si="26"/>
        <v>0</v>
      </c>
      <c r="BQ86" s="28"/>
      <c r="BR86" s="32"/>
      <c r="BS86" s="32"/>
      <c r="BT86" s="32"/>
      <c r="BU86" s="32"/>
      <c r="BV86" s="32"/>
      <c r="BW86" s="32"/>
      <c r="BX86" s="32"/>
    </row>
    <row r="87" spans="1:76" x14ac:dyDescent="0.35">
      <c r="A87" s="32"/>
      <c r="B87" s="32"/>
      <c r="C87" s="32"/>
      <c r="D87" s="32"/>
      <c r="E87" s="54" t="str">
        <f t="shared" ref="E87" si="204">IF(A87= "","",1)</f>
        <v/>
      </c>
      <c r="F87" s="119"/>
      <c r="G87" s="32"/>
      <c r="H87" s="32"/>
      <c r="I87" s="98">
        <f t="shared" ref="I87" si="205">IF(K87&gt;0, 1, 0)</f>
        <v>0</v>
      </c>
      <c r="J87" s="35"/>
      <c r="K87" s="32"/>
      <c r="L87" s="32"/>
      <c r="M87" s="32"/>
      <c r="N87" s="33">
        <f t="shared" ref="N87" si="206">IF(AND(L87&lt;=10,M87&lt;=10),M87-L87,MAX(0,10-L87))</f>
        <v>0</v>
      </c>
      <c r="O87" s="33">
        <f t="shared" ref="O87" si="207">IF(AND(L87&lt;=10,M87&gt;=20),10,IF(AND(L87&gt;=10,M87&lt;=20),M87-L87,IF(AND(L87&lt;=10,M87&lt;=20,M87&gt;=10),M87-10,IF(AND(L87&gt;=10,M87&gt;=20),MAX(0,20-L87),0))))</f>
        <v>0</v>
      </c>
      <c r="P87" s="33">
        <f t="shared" ref="P87" si="208">IF(AND(L87&lt;=20,M87&gt;=30),10,IF(AND(L87&gt;=20,M87&lt;=30),M87-L87,IF(AND(L87&lt;=20,M87&lt;=30,M87&gt;=20),M87-20,IF(AND(L87&gt;=20,M87&gt;=30),30-L87,0))))</f>
        <v>0</v>
      </c>
      <c r="Q87" s="33">
        <f t="shared" ref="Q87" si="209">IF(AND(L87&lt;=30,M87&gt;=40),10,IF(AND(L87&gt;=30,M87&lt;=40),M87-L87,IF(AND(L87&lt;=30,M87&lt;=40,M87&gt;=30),M87-30,IF(AND(L87&gt;=30,M87&gt;=40),40-L87,0))))</f>
        <v>0</v>
      </c>
      <c r="R87" s="40"/>
      <c r="S87" s="16"/>
      <c r="T87" s="32"/>
      <c r="U87" s="32"/>
      <c r="V87" s="32"/>
      <c r="W87" s="33">
        <f t="shared" ref="W87" si="210">IF(AND(U87&lt;=10,V87&lt;=10),V87-U87,MAX(0,10-U87))</f>
        <v>0</v>
      </c>
      <c r="X87" s="33">
        <f t="shared" ref="X87" si="211">IF(AND(U87&lt;=10,V87&gt;=20),10,IF(AND(U87&gt;=10,V87&lt;=20),V87-U87,IF(AND(U87&lt;=10,V87&lt;=20,V87&gt;=10),V87-10,IF(AND(U87&gt;=10,V87&gt;=20),MAX(0,20-U87),0))))</f>
        <v>0</v>
      </c>
      <c r="Y87" s="33">
        <f t="shared" ref="Y87" si="212">IF(AND(U87&lt;=20,V87&gt;=30),10,IF(AND(U87&gt;=20,V87&lt;=30),V87-U87,IF(AND(U87&lt;=20,V87&lt;=30,V87&gt;=20),V87-20,IF(AND(U87&gt;=20,V87&gt;=30),30-U87,0))))</f>
        <v>0</v>
      </c>
      <c r="Z87" s="33">
        <f t="shared" ref="Z87" si="213">IF(AND(U87&lt;=30,V87&gt;=40),10,IF(AND(U87&gt;=30,V87&lt;=40),V87-U87,IF(AND(U87&lt;=30,V87&lt;=40,V87&gt;=30),V87-30,IF(AND(U87&gt;=30,V87&gt;=40),40-U87,0))))</f>
        <v>0</v>
      </c>
      <c r="AA87" s="33"/>
      <c r="AB87" s="33">
        <f t="shared" ref="AB87" si="214">IF(T87&gt;0, 1, 0)</f>
        <v>0</v>
      </c>
      <c r="AC87" s="26"/>
      <c r="AD87" s="32"/>
      <c r="AE87" s="32"/>
      <c r="AF87" s="32"/>
      <c r="AG87" s="33">
        <f t="shared" ref="AG87" si="215">IF(AND(AE87&lt;=10,AF87&lt;=10),AF87-AE87,MAX(0,10-AE87))</f>
        <v>0</v>
      </c>
      <c r="AH87" s="33">
        <f t="shared" ref="AH87" si="216">IF(AND(AE87&lt;=10,AF87&gt;=20),10,IF(AND(AE87&gt;=10,AF87&lt;=20),AF87-AE87,IF(AND(AE87&lt;=10,AF87&lt;=20,AF87&gt;=10),AF87-10,IF(AND(AE87&gt;=10,AF87&gt;=20),MAX(0,20-AE87),0))))</f>
        <v>0</v>
      </c>
      <c r="AI87" s="33">
        <f t="shared" ref="AI87" si="217">IF(AND(AE87&lt;=20,AF87&gt;=30),10,IF(AND(AE87&gt;=20,AF87&lt;=30),AF87-AE87,IF(AND(AE87&lt;=20,AF87&lt;=30,AF87&gt;=20),AF87-20,IF(AND(AE87&gt;=20,AF87&gt;=30),30-AE87,0))))</f>
        <v>0</v>
      </c>
      <c r="AJ87" s="33">
        <f t="shared" ref="AJ87" si="218">IF(AND(AE87&lt;=30,AF87&gt;=40),10,IF(AND(AE87&gt;=30,AF87&lt;=40),AF87-AE87,IF(AND(AE87&lt;=30,AF87&lt;=40,AF87&gt;=30),AF87-30,IF(AND(AE87&gt;=30,AF87&gt;=40),40-AE87,0))))</f>
        <v>0</v>
      </c>
      <c r="AK87" s="33"/>
      <c r="AL87" s="33">
        <f t="shared" ref="AL87" si="219">IF(AD87&gt;0, 1, 0)</f>
        <v>0</v>
      </c>
      <c r="AM87" s="28"/>
      <c r="AN87" s="32"/>
      <c r="AO87" s="32"/>
      <c r="AP87" s="32"/>
      <c r="AQ87" s="33">
        <f t="shared" ref="AQ87" si="220">IF(AND(AO87&lt;=10,AP87&lt;=10),AP87-AO87,MAX(0,10-AO87))</f>
        <v>0</v>
      </c>
      <c r="AR87" s="33">
        <f t="shared" ref="AR87" si="221">IF(AND(AO87&lt;=10,AP87&gt;=20),10,IF(AND(AO87&gt;=10,AP87&lt;=20),AP87-AO87,IF(AND(AO87&lt;=10,AP87&lt;=20,AP87&gt;=10),AP87-10,IF(AND(AO87&gt;=10,AP87&gt;=20),MAX(0,20-AO87),0))))</f>
        <v>0</v>
      </c>
      <c r="AS87" s="33">
        <f t="shared" ref="AS87" si="222">IF(AND(AO87&lt;=20,AP87&gt;=30),10,IF(AND(AO87&gt;=20,AP87&lt;=30),AP87-AO87,IF(AND(AO87&lt;=20,AP87&lt;=30,AP87&gt;=20),AP87-20,IF(AND(AO87&gt;=20,AP87&gt;=30),30-AO87,0))))</f>
        <v>0</v>
      </c>
      <c r="AT87" s="33">
        <f t="shared" ref="AT87" si="223">IF(AND(AO87&lt;=30,AP87&gt;=40),10,IF(AND(AO87&gt;=30,AP87&lt;=40),AP87-AO87,IF(AND(AO87&lt;=30,AP87&lt;=40,AP87&gt;=30),AP87-30,IF(AND(AO87&gt;=30,AP87&gt;=40),40-AO87,0))))</f>
        <v>0</v>
      </c>
      <c r="AU87" s="33"/>
      <c r="AV87" s="33">
        <f t="shared" ref="AV87" si="224">IF(AN87&gt;0, 1, 0)</f>
        <v>0</v>
      </c>
      <c r="AW87" s="28"/>
      <c r="AX87" s="32"/>
      <c r="AY87" s="32"/>
      <c r="AZ87" s="32"/>
      <c r="BA87" s="33">
        <f t="shared" ref="BA87" si="225">IF(AND(AY87&lt;=10,AZ87&lt;=10),AZ87-AY87,MAX(0,10-AY87))</f>
        <v>0</v>
      </c>
      <c r="BB87" s="33">
        <f t="shared" ref="BB87" si="226">IF(AND(AY87&lt;=10,AZ87&gt;=20),10,IF(AND(AY87&gt;=10,AZ87&lt;=20),AZ87-AY87,IF(AND(AY87&lt;=10,AZ87&lt;=20,AZ87&gt;=10),AZ87-10,IF(AND(AY87&gt;=10,AZ87&gt;=20),MAX(0,20-AY87),0))))</f>
        <v>0</v>
      </c>
      <c r="BC87" s="33">
        <f t="shared" ref="BC87" si="227">IF(AND(AY87&lt;=20,AZ87&gt;=30),10,IF(AND(AY87&gt;=20,AZ87&lt;=30),AZ87-AY87,IF(AND(AY87&lt;=20,AZ87&lt;=30,AZ87&gt;=20),AZ87-20,IF(AND(AY87&gt;=20,AZ87&gt;=30),30-AY87,0))))</f>
        <v>0</v>
      </c>
      <c r="BD87" s="33">
        <f t="shared" ref="BD87" si="228">IF(AND(AY87&lt;=30,AZ87&gt;=40),10,IF(AND(AY87&gt;=30,AZ87&lt;=40),AZ87-AY87,IF(AND(AY87&lt;=30,AZ87&lt;=40,AZ87&gt;=30),AZ87-30,IF(AND(AY87&gt;=30,AZ87&gt;=40),40-AY87,0))))</f>
        <v>0</v>
      </c>
      <c r="BE87" s="33"/>
      <c r="BF87" s="33">
        <f t="shared" ref="BF87" si="229">IF(AX87&gt;0, 1, 0)</f>
        <v>0</v>
      </c>
      <c r="BG87" s="28"/>
      <c r="BH87" s="32"/>
      <c r="BI87" s="32"/>
      <c r="BJ87" s="32"/>
      <c r="BK87" s="28"/>
      <c r="BL87" s="32"/>
      <c r="BM87" s="32"/>
      <c r="BN87" s="32"/>
      <c r="BO87" s="28"/>
      <c r="BP87" s="28">
        <f t="shared" ref="BP87" si="230">IF(OR(BI87="YES",BL87="YES"), 1, 0)</f>
        <v>0</v>
      </c>
      <c r="BQ87" s="28"/>
      <c r="BR87" s="32"/>
      <c r="BS87" s="32"/>
      <c r="BT87" s="32"/>
      <c r="BU87" s="32"/>
      <c r="BV87" s="32"/>
      <c r="BW87" s="32"/>
      <c r="BX87" s="32"/>
    </row>
    <row r="88" spans="1:76" x14ac:dyDescent="0.35">
      <c r="A88" s="32"/>
      <c r="B88" s="32"/>
      <c r="C88" s="32"/>
      <c r="D88" s="32"/>
      <c r="E88" s="54" t="str">
        <f t="shared" si="3"/>
        <v/>
      </c>
      <c r="F88" s="119"/>
      <c r="G88" s="32"/>
      <c r="H88" s="32"/>
      <c r="I88" s="98">
        <f t="shared" si="4"/>
        <v>0</v>
      </c>
      <c r="J88" s="35"/>
      <c r="K88" s="32"/>
      <c r="L88" s="32"/>
      <c r="M88" s="32"/>
      <c r="N88" s="33">
        <f t="shared" si="5"/>
        <v>0</v>
      </c>
      <c r="O88" s="33">
        <f t="shared" si="6"/>
        <v>0</v>
      </c>
      <c r="P88" s="33">
        <f t="shared" si="7"/>
        <v>0</v>
      </c>
      <c r="Q88" s="33">
        <f t="shared" si="8"/>
        <v>0</v>
      </c>
      <c r="R88" s="40"/>
      <c r="S88" s="16"/>
      <c r="T88" s="32"/>
      <c r="U88" s="32"/>
      <c r="V88" s="32"/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A88" s="33"/>
      <c r="AB88" s="33">
        <f t="shared" si="13"/>
        <v>0</v>
      </c>
      <c r="AC88" s="26"/>
      <c r="AD88" s="32"/>
      <c r="AE88" s="32"/>
      <c r="AF88" s="32"/>
      <c r="AG88" s="33">
        <f t="shared" si="14"/>
        <v>0</v>
      </c>
      <c r="AH88" s="33">
        <f t="shared" si="15"/>
        <v>0</v>
      </c>
      <c r="AI88" s="33">
        <f t="shared" si="16"/>
        <v>0</v>
      </c>
      <c r="AJ88" s="33">
        <f t="shared" si="17"/>
        <v>0</v>
      </c>
      <c r="AK88" s="33"/>
      <c r="AL88" s="33">
        <f t="shared" si="0"/>
        <v>0</v>
      </c>
      <c r="AM88" s="28"/>
      <c r="AN88" s="32"/>
      <c r="AO88" s="32"/>
      <c r="AP88" s="32"/>
      <c r="AQ88" s="33">
        <f t="shared" si="18"/>
        <v>0</v>
      </c>
      <c r="AR88" s="33">
        <f t="shared" si="19"/>
        <v>0</v>
      </c>
      <c r="AS88" s="33">
        <f t="shared" si="20"/>
        <v>0</v>
      </c>
      <c r="AT88" s="33">
        <f t="shared" si="21"/>
        <v>0</v>
      </c>
      <c r="AU88" s="33"/>
      <c r="AV88" s="33">
        <f t="shared" si="1"/>
        <v>0</v>
      </c>
      <c r="AW88" s="28"/>
      <c r="AX88" s="32"/>
      <c r="AY88" s="32"/>
      <c r="AZ88" s="32"/>
      <c r="BA88" s="33">
        <f t="shared" si="22"/>
        <v>0</v>
      </c>
      <c r="BB88" s="33">
        <f t="shared" si="23"/>
        <v>0</v>
      </c>
      <c r="BC88" s="33">
        <f t="shared" si="24"/>
        <v>0</v>
      </c>
      <c r="BD88" s="33">
        <f t="shared" si="25"/>
        <v>0</v>
      </c>
      <c r="BE88" s="33"/>
      <c r="BF88" s="33">
        <f t="shared" si="2"/>
        <v>0</v>
      </c>
      <c r="BG88" s="28"/>
      <c r="BH88" s="32"/>
      <c r="BI88" s="32"/>
      <c r="BJ88" s="32"/>
      <c r="BK88" s="28"/>
      <c r="BL88" s="32"/>
      <c r="BM88" s="32"/>
      <c r="BN88" s="32"/>
      <c r="BO88" s="28"/>
      <c r="BP88" s="28">
        <f t="shared" si="26"/>
        <v>0</v>
      </c>
      <c r="BQ88" s="28"/>
      <c r="BR88" s="32"/>
      <c r="BS88" s="32"/>
      <c r="BT88" s="32"/>
      <c r="BU88" s="32"/>
      <c r="BV88" s="32"/>
      <c r="BW88" s="32"/>
      <c r="BX88" s="32"/>
    </row>
    <row r="89" spans="1:76" x14ac:dyDescent="0.35">
      <c r="A89" s="32"/>
      <c r="B89" s="32"/>
      <c r="C89" s="32"/>
      <c r="D89" s="32"/>
      <c r="E89" s="54" t="str">
        <f t="shared" si="3"/>
        <v/>
      </c>
      <c r="F89" s="119"/>
      <c r="G89" s="32"/>
      <c r="H89" s="32"/>
      <c r="I89" s="98">
        <f t="shared" si="4"/>
        <v>0</v>
      </c>
      <c r="J89" s="35"/>
      <c r="K89" s="32"/>
      <c r="L89" s="32"/>
      <c r="M89" s="32"/>
      <c r="N89" s="33">
        <f t="shared" si="5"/>
        <v>0</v>
      </c>
      <c r="O89" s="33">
        <f t="shared" si="6"/>
        <v>0</v>
      </c>
      <c r="P89" s="33">
        <f t="shared" si="7"/>
        <v>0</v>
      </c>
      <c r="Q89" s="33">
        <f t="shared" si="8"/>
        <v>0</v>
      </c>
      <c r="R89" s="17"/>
      <c r="S89" s="40"/>
      <c r="T89" s="32"/>
      <c r="U89" s="32"/>
      <c r="V89" s="32"/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A89" s="33"/>
      <c r="AB89" s="33">
        <f t="shared" si="13"/>
        <v>0</v>
      </c>
      <c r="AC89" s="26"/>
      <c r="AD89" s="32"/>
      <c r="AE89" s="32"/>
      <c r="AF89" s="32"/>
      <c r="AG89" s="33">
        <f t="shared" si="14"/>
        <v>0</v>
      </c>
      <c r="AH89" s="33">
        <f t="shared" si="15"/>
        <v>0</v>
      </c>
      <c r="AI89" s="33">
        <f t="shared" si="16"/>
        <v>0</v>
      </c>
      <c r="AJ89" s="33">
        <f t="shared" si="17"/>
        <v>0</v>
      </c>
      <c r="AK89" s="33"/>
      <c r="AL89" s="33">
        <f t="shared" si="0"/>
        <v>0</v>
      </c>
      <c r="AM89" s="28"/>
      <c r="AN89" s="32"/>
      <c r="AO89" s="32"/>
      <c r="AP89" s="32"/>
      <c r="AQ89" s="33">
        <f t="shared" si="18"/>
        <v>0</v>
      </c>
      <c r="AR89" s="33">
        <f t="shared" si="19"/>
        <v>0</v>
      </c>
      <c r="AS89" s="33">
        <f t="shared" si="20"/>
        <v>0</v>
      </c>
      <c r="AT89" s="33">
        <f t="shared" si="21"/>
        <v>0</v>
      </c>
      <c r="AU89" s="33"/>
      <c r="AV89" s="33">
        <f t="shared" si="1"/>
        <v>0</v>
      </c>
      <c r="AW89" s="28"/>
      <c r="AX89" s="32"/>
      <c r="AY89" s="32"/>
      <c r="AZ89" s="32"/>
      <c r="BA89" s="33">
        <f t="shared" si="22"/>
        <v>0</v>
      </c>
      <c r="BB89" s="33">
        <f t="shared" si="23"/>
        <v>0</v>
      </c>
      <c r="BC89" s="33">
        <f t="shared" si="24"/>
        <v>0</v>
      </c>
      <c r="BD89" s="33">
        <f t="shared" si="25"/>
        <v>0</v>
      </c>
      <c r="BE89" s="33"/>
      <c r="BF89" s="33">
        <f t="shared" si="2"/>
        <v>0</v>
      </c>
      <c r="BG89" s="28"/>
      <c r="BH89" s="32"/>
      <c r="BI89" s="32"/>
      <c r="BJ89" s="32"/>
      <c r="BK89" s="28"/>
      <c r="BL89" s="32"/>
      <c r="BM89" s="32"/>
      <c r="BN89" s="32"/>
      <c r="BO89" s="28"/>
      <c r="BP89" s="28">
        <f t="shared" si="26"/>
        <v>0</v>
      </c>
      <c r="BQ89" s="28"/>
      <c r="BR89" s="32"/>
      <c r="BS89" s="32"/>
      <c r="BT89" s="32"/>
      <c r="BU89" s="32"/>
      <c r="BV89" s="32"/>
      <c r="BW89" s="32"/>
      <c r="BX89" s="32"/>
    </row>
    <row r="90" spans="1:76" x14ac:dyDescent="0.35">
      <c r="A90" s="32"/>
      <c r="B90" s="32"/>
      <c r="C90" s="32"/>
      <c r="D90" s="32"/>
      <c r="E90" s="54" t="str">
        <f t="shared" si="3"/>
        <v/>
      </c>
      <c r="F90" s="119"/>
      <c r="G90" s="32"/>
      <c r="H90" s="32"/>
      <c r="I90" s="98">
        <f t="shared" si="4"/>
        <v>0</v>
      </c>
      <c r="J90" s="35"/>
      <c r="K90" s="32"/>
      <c r="L90" s="32"/>
      <c r="M90" s="32"/>
      <c r="N90" s="33">
        <f t="shared" si="5"/>
        <v>0</v>
      </c>
      <c r="O90" s="33">
        <f t="shared" si="6"/>
        <v>0</v>
      </c>
      <c r="P90" s="33">
        <f t="shared" si="7"/>
        <v>0</v>
      </c>
      <c r="Q90" s="33">
        <f t="shared" si="8"/>
        <v>0</v>
      </c>
      <c r="R90" s="16"/>
      <c r="S90" s="16"/>
      <c r="T90" s="32"/>
      <c r="U90" s="32"/>
      <c r="V90" s="32"/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A90" s="33"/>
      <c r="AB90" s="33">
        <f t="shared" si="13"/>
        <v>0</v>
      </c>
      <c r="AC90" s="26"/>
      <c r="AD90" s="32"/>
      <c r="AE90" s="32"/>
      <c r="AF90" s="32"/>
      <c r="AG90" s="33">
        <f t="shared" si="14"/>
        <v>0</v>
      </c>
      <c r="AH90" s="33">
        <f t="shared" si="15"/>
        <v>0</v>
      </c>
      <c r="AI90" s="33">
        <f t="shared" si="16"/>
        <v>0</v>
      </c>
      <c r="AJ90" s="33">
        <f t="shared" si="17"/>
        <v>0</v>
      </c>
      <c r="AK90" s="33"/>
      <c r="AL90" s="33">
        <f t="shared" si="0"/>
        <v>0</v>
      </c>
      <c r="AM90" s="28"/>
      <c r="AN90" s="32"/>
      <c r="AO90" s="32"/>
      <c r="AP90" s="32"/>
      <c r="AQ90" s="33">
        <f t="shared" si="18"/>
        <v>0</v>
      </c>
      <c r="AR90" s="33">
        <f t="shared" si="19"/>
        <v>0</v>
      </c>
      <c r="AS90" s="33">
        <f t="shared" si="20"/>
        <v>0</v>
      </c>
      <c r="AT90" s="33">
        <f t="shared" si="21"/>
        <v>0</v>
      </c>
      <c r="AU90" s="33"/>
      <c r="AV90" s="33">
        <f t="shared" si="1"/>
        <v>0</v>
      </c>
      <c r="AW90" s="28"/>
      <c r="AX90" s="32"/>
      <c r="AY90" s="32"/>
      <c r="AZ90" s="32"/>
      <c r="BA90" s="33">
        <f t="shared" si="22"/>
        <v>0</v>
      </c>
      <c r="BB90" s="33">
        <f t="shared" si="23"/>
        <v>0</v>
      </c>
      <c r="BC90" s="33">
        <f t="shared" si="24"/>
        <v>0</v>
      </c>
      <c r="BD90" s="33">
        <f t="shared" si="25"/>
        <v>0</v>
      </c>
      <c r="BE90" s="33"/>
      <c r="BF90" s="33">
        <f t="shared" si="2"/>
        <v>0</v>
      </c>
      <c r="BG90" s="28"/>
      <c r="BH90" s="32"/>
      <c r="BI90" s="32"/>
      <c r="BJ90" s="32"/>
      <c r="BK90" s="28"/>
      <c r="BL90" s="32"/>
      <c r="BM90" s="32"/>
      <c r="BN90" s="32"/>
      <c r="BO90" s="28"/>
      <c r="BP90" s="28">
        <f t="shared" si="26"/>
        <v>0</v>
      </c>
      <c r="BQ90" s="28"/>
      <c r="BR90" s="32"/>
      <c r="BS90" s="32"/>
      <c r="BT90" s="32"/>
      <c r="BU90" s="32"/>
      <c r="BV90" s="32"/>
      <c r="BW90" s="32"/>
      <c r="BX90" s="32"/>
    </row>
    <row r="91" spans="1:76" x14ac:dyDescent="0.35">
      <c r="A91" s="32"/>
      <c r="B91" s="32"/>
      <c r="C91" s="32"/>
      <c r="D91" s="32"/>
      <c r="E91" s="54" t="str">
        <f t="shared" si="3"/>
        <v/>
      </c>
      <c r="F91" s="119"/>
      <c r="G91" s="32"/>
      <c r="H91" s="32"/>
      <c r="I91" s="98">
        <f t="shared" si="4"/>
        <v>0</v>
      </c>
      <c r="J91" s="35"/>
      <c r="K91" s="32"/>
      <c r="L91" s="32"/>
      <c r="M91" s="32"/>
      <c r="N91" s="33">
        <f t="shared" si="5"/>
        <v>0</v>
      </c>
      <c r="O91" s="33">
        <f t="shared" si="6"/>
        <v>0</v>
      </c>
      <c r="P91" s="33">
        <f t="shared" si="7"/>
        <v>0</v>
      </c>
      <c r="Q91" s="33">
        <f t="shared" si="8"/>
        <v>0</v>
      </c>
      <c r="R91" s="40"/>
      <c r="S91" s="40"/>
      <c r="T91" s="32"/>
      <c r="U91" s="32"/>
      <c r="V91" s="32"/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A91" s="33"/>
      <c r="AB91" s="33">
        <f t="shared" si="13"/>
        <v>0</v>
      </c>
      <c r="AC91" s="26"/>
      <c r="AD91" s="32"/>
      <c r="AE91" s="32"/>
      <c r="AF91" s="32"/>
      <c r="AG91" s="33">
        <f t="shared" si="14"/>
        <v>0</v>
      </c>
      <c r="AH91" s="33">
        <f t="shared" si="15"/>
        <v>0</v>
      </c>
      <c r="AI91" s="33">
        <f t="shared" si="16"/>
        <v>0</v>
      </c>
      <c r="AJ91" s="33">
        <f t="shared" si="17"/>
        <v>0</v>
      </c>
      <c r="AK91" s="33"/>
      <c r="AL91" s="33">
        <f t="shared" si="0"/>
        <v>0</v>
      </c>
      <c r="AM91" s="28"/>
      <c r="AN91" s="32"/>
      <c r="AO91" s="32"/>
      <c r="AP91" s="32"/>
      <c r="AQ91" s="33">
        <f t="shared" si="18"/>
        <v>0</v>
      </c>
      <c r="AR91" s="33">
        <f t="shared" si="19"/>
        <v>0</v>
      </c>
      <c r="AS91" s="33">
        <f t="shared" si="20"/>
        <v>0</v>
      </c>
      <c r="AT91" s="33">
        <f t="shared" si="21"/>
        <v>0</v>
      </c>
      <c r="AU91" s="33"/>
      <c r="AV91" s="33">
        <f t="shared" si="1"/>
        <v>0</v>
      </c>
      <c r="AW91" s="28"/>
      <c r="AX91" s="32"/>
      <c r="AY91" s="32"/>
      <c r="AZ91" s="32"/>
      <c r="BA91" s="33">
        <f t="shared" si="22"/>
        <v>0</v>
      </c>
      <c r="BB91" s="33">
        <f t="shared" si="23"/>
        <v>0</v>
      </c>
      <c r="BC91" s="33">
        <f t="shared" si="24"/>
        <v>0</v>
      </c>
      <c r="BD91" s="33">
        <f t="shared" si="25"/>
        <v>0</v>
      </c>
      <c r="BE91" s="33"/>
      <c r="BF91" s="33">
        <f t="shared" si="2"/>
        <v>0</v>
      </c>
      <c r="BG91" s="28"/>
      <c r="BH91" s="32"/>
      <c r="BI91" s="32"/>
      <c r="BJ91" s="32"/>
      <c r="BK91" s="28"/>
      <c r="BL91" s="32"/>
      <c r="BM91" s="32"/>
      <c r="BN91" s="32"/>
      <c r="BO91" s="28"/>
      <c r="BP91" s="28">
        <f t="shared" si="26"/>
        <v>0</v>
      </c>
      <c r="BQ91" s="28"/>
      <c r="BR91" s="32"/>
      <c r="BS91" s="32"/>
      <c r="BT91" s="32"/>
      <c r="BU91" s="32"/>
      <c r="BV91" s="32"/>
      <c r="BW91" s="32"/>
      <c r="BX91" s="32"/>
    </row>
    <row r="92" spans="1:76" ht="15" thickBot="1" x14ac:dyDescent="0.4">
      <c r="A92" s="27"/>
      <c r="B92" s="26"/>
      <c r="C92" s="28"/>
      <c r="D92" s="28"/>
      <c r="E92" s="110">
        <f>SUM(E2:E91)</f>
        <v>0</v>
      </c>
      <c r="F92" s="29"/>
      <c r="G92" s="30"/>
      <c r="H92" s="30"/>
      <c r="I92" s="94">
        <f>SUM(I2:I91)</f>
        <v>0</v>
      </c>
      <c r="J92" s="35" t="s">
        <v>143</v>
      </c>
      <c r="K92" s="52">
        <f>SUM(K2:K91)</f>
        <v>0</v>
      </c>
      <c r="L92" s="52"/>
      <c r="M92" s="52"/>
      <c r="N92" s="52">
        <f>SUM(N2:N91)</f>
        <v>0</v>
      </c>
      <c r="O92" s="52">
        <f>SUM(O2:O91)</f>
        <v>0</v>
      </c>
      <c r="P92" s="52">
        <f>SUM(P2:P91)</f>
        <v>0</v>
      </c>
      <c r="Q92" s="52">
        <f>SUM(Q2:Q91)</f>
        <v>0</v>
      </c>
      <c r="R92" s="34"/>
      <c r="S92" s="34"/>
      <c r="T92" s="52">
        <f>SUM(T2:T91)</f>
        <v>0</v>
      </c>
      <c r="U92" s="52"/>
      <c r="V92" s="52"/>
      <c r="W92" s="52">
        <f>SUM(W2:W91)</f>
        <v>0</v>
      </c>
      <c r="X92" s="52">
        <f>SUM(X2:X91)</f>
        <v>0</v>
      </c>
      <c r="Y92" s="52">
        <f>SUM(Y2:Y91)</f>
        <v>0</v>
      </c>
      <c r="Z92" s="52">
        <f>SUM(Z2:Z91)</f>
        <v>0</v>
      </c>
      <c r="AA92" s="29" t="s">
        <v>5</v>
      </c>
      <c r="AB92" s="52">
        <f>SUM(AB2:AB91)</f>
        <v>0</v>
      </c>
      <c r="AC92" s="26"/>
      <c r="AD92" s="52">
        <f>SUM(AD2:AD91)</f>
        <v>0</v>
      </c>
      <c r="AE92" s="52"/>
      <c r="AF92" s="52"/>
      <c r="AG92" s="52">
        <f>SUM(AG2:AG91)</f>
        <v>0</v>
      </c>
      <c r="AH92" s="52">
        <f>SUM(AH2:AH91)</f>
        <v>0</v>
      </c>
      <c r="AI92" s="52">
        <f>SUM(AI2:AI91)</f>
        <v>0</v>
      </c>
      <c r="AJ92" s="52">
        <f>SUM(AJ2:AJ91)</f>
        <v>0</v>
      </c>
      <c r="AK92" s="29" t="s">
        <v>5</v>
      </c>
      <c r="AL92" s="52">
        <f>SUM(AL2:AL91)</f>
        <v>0</v>
      </c>
      <c r="AM92" s="28"/>
      <c r="AN92" s="52">
        <f>SUM(AN2:AN91)</f>
        <v>0</v>
      </c>
      <c r="AO92" s="52"/>
      <c r="AP92" s="52"/>
      <c r="AQ92" s="52">
        <f>SUM(AQ2:AQ91)</f>
        <v>0</v>
      </c>
      <c r="AR92" s="52">
        <f>SUM(AR2:AR91)</f>
        <v>0</v>
      </c>
      <c r="AS92" s="52">
        <f>SUM(AS2:AS91)</f>
        <v>0</v>
      </c>
      <c r="AT92" s="52">
        <f>SUM(AT2:AT91)</f>
        <v>0</v>
      </c>
      <c r="AU92" s="29" t="s">
        <v>5</v>
      </c>
      <c r="AV92" s="52">
        <f>SUM(AV2:AV91)</f>
        <v>0</v>
      </c>
      <c r="AW92" s="28"/>
      <c r="AX92" s="52">
        <f>SUM(AX2:AX91)</f>
        <v>0</v>
      </c>
      <c r="AY92" s="52"/>
      <c r="AZ92" s="52"/>
      <c r="BA92" s="52">
        <f>SUM(BA2:BA91)</f>
        <v>0</v>
      </c>
      <c r="BB92" s="52">
        <f>SUM(BB2:BB91)</f>
        <v>0</v>
      </c>
      <c r="BC92" s="52">
        <f>SUM(BC2:BC91)</f>
        <v>0</v>
      </c>
      <c r="BD92" s="52">
        <f>SUM(BD2:BD91)</f>
        <v>0</v>
      </c>
      <c r="BE92" s="29" t="s">
        <v>5</v>
      </c>
      <c r="BF92" s="52">
        <f>SUM(BF2:BF91)</f>
        <v>0</v>
      </c>
      <c r="BG92" s="28"/>
      <c r="BH92" s="28"/>
      <c r="BI92" s="28"/>
      <c r="BJ92" s="121">
        <f>SUM(BJ2:BJ91)</f>
        <v>0</v>
      </c>
      <c r="BK92" s="28"/>
      <c r="BL92" s="28"/>
      <c r="BM92" s="121">
        <f>SUM(BM2:BM91)</f>
        <v>0</v>
      </c>
      <c r="BN92" s="121">
        <f>SUM(BN2:BN91)</f>
        <v>0</v>
      </c>
      <c r="BO92" s="28"/>
      <c r="BP92" s="28">
        <f>SUM(BP2:BP91)</f>
        <v>0</v>
      </c>
      <c r="BQ92" s="26"/>
      <c r="BR92" s="29"/>
      <c r="BS92" s="88"/>
      <c r="BT92" s="36"/>
      <c r="BU92" s="26"/>
      <c r="BV92" s="26"/>
      <c r="BW92" s="26"/>
      <c r="BX92" s="26"/>
    </row>
  </sheetData>
  <mergeCells count="3">
    <mergeCell ref="BR1:BS1"/>
    <mergeCell ref="BU1:BV1"/>
    <mergeCell ref="BW1:BX1"/>
  </mergeCells>
  <phoneticPr fontId="21" type="noConversion"/>
  <conditionalFormatting sqref="BR2:BR12 BR15 BR17:BR27 BU17:BU27 BW17:BW27 BW86 BU86 BR86 BW54:BW56 BU54:BU56 BR54:BR56 BR88:BR91 BU88:BU91 BW88:BW91">
    <cfRule type="cellIs" dxfId="225" priority="242" operator="equal">
      <formula>"CP"</formula>
    </cfRule>
    <cfRule type="cellIs" dxfId="224" priority="243" operator="notEqual">
      <formula>"CP"</formula>
    </cfRule>
  </conditionalFormatting>
  <conditionalFormatting sqref="BS2:BS12 BS15 BS17:BS27 BV17:BV27 BV86 BS86 BV54:BV56 BS54:BS56 BS88:BS91 BV88:BV91">
    <cfRule type="cellIs" dxfId="223" priority="240" operator="equal">
      <formula>"RC"</formula>
    </cfRule>
    <cfRule type="cellIs" dxfId="222" priority="241" operator="notEqual">
      <formula>"RC"</formula>
    </cfRule>
  </conditionalFormatting>
  <conditionalFormatting sqref="BU2:BU12 BU15">
    <cfRule type="cellIs" dxfId="221" priority="238" operator="equal">
      <formula>"CP"</formula>
    </cfRule>
    <cfRule type="cellIs" dxfId="220" priority="239" operator="notEqual">
      <formula>"CP"</formula>
    </cfRule>
  </conditionalFormatting>
  <conditionalFormatting sqref="BV2:BV12 BV15">
    <cfRule type="cellIs" dxfId="219" priority="236" operator="equal">
      <formula>"RC"</formula>
    </cfRule>
    <cfRule type="cellIs" dxfId="218" priority="237" operator="notEqual">
      <formula>"RC"</formula>
    </cfRule>
  </conditionalFormatting>
  <conditionalFormatting sqref="BW2:BW12 BW15">
    <cfRule type="cellIs" dxfId="217" priority="234" operator="equal">
      <formula>"CP"</formula>
    </cfRule>
    <cfRule type="cellIs" dxfId="216" priority="235" operator="notEqual">
      <formula>"CP"</formula>
    </cfRule>
  </conditionalFormatting>
  <conditionalFormatting sqref="BX2:BX12 BX15 BX17:BX27 BX86 BX54:BX56 BX88:BX91">
    <cfRule type="cellIs" dxfId="215" priority="226" operator="equal">
      <formula>"N/A"</formula>
    </cfRule>
    <cfRule type="cellIs" dxfId="214" priority="232" operator="equal">
      <formula>"RC"</formula>
    </cfRule>
    <cfRule type="cellIs" dxfId="213" priority="233" operator="notEqual">
      <formula>"RC"</formula>
    </cfRule>
  </conditionalFormatting>
  <conditionalFormatting sqref="BR2:BR12 BR15 BR17:BS27 BU17:BW27 BU86:BW86 BR86:BS86 BU54:BW56 BR54:BS56 BR88:BS91 BU88:BW91">
    <cfRule type="cellIs" dxfId="212" priority="231" operator="equal">
      <formula>"N/A"</formula>
    </cfRule>
  </conditionalFormatting>
  <conditionalFormatting sqref="BS2:BS12 BS15">
    <cfRule type="cellIs" dxfId="211" priority="230" operator="equal">
      <formula>"N/A"</formula>
    </cfRule>
  </conditionalFormatting>
  <conditionalFormatting sqref="BU2:BU12 BU15">
    <cfRule type="cellIs" dxfId="210" priority="229" operator="equal">
      <formula>"N/A"</formula>
    </cfRule>
  </conditionalFormatting>
  <conditionalFormatting sqref="BV2:BV12 BV15">
    <cfRule type="cellIs" dxfId="209" priority="228" operator="equal">
      <formula>"N/A"</formula>
    </cfRule>
  </conditionalFormatting>
  <conditionalFormatting sqref="BW2:BW12 BW15">
    <cfRule type="cellIs" dxfId="208" priority="227" operator="equal">
      <formula>"N/A"</formula>
    </cfRule>
  </conditionalFormatting>
  <conditionalFormatting sqref="BR13">
    <cfRule type="cellIs" dxfId="207" priority="205" operator="equal">
      <formula>"CP"</formula>
    </cfRule>
    <cfRule type="cellIs" dxfId="206" priority="206" operator="notEqual">
      <formula>"CP"</formula>
    </cfRule>
  </conditionalFormatting>
  <conditionalFormatting sqref="BS13">
    <cfRule type="cellIs" dxfId="205" priority="203" operator="equal">
      <formula>"RC"</formula>
    </cfRule>
    <cfRule type="cellIs" dxfId="204" priority="204" operator="notEqual">
      <formula>"RC"</formula>
    </cfRule>
  </conditionalFormatting>
  <conditionalFormatting sqref="BU13">
    <cfRule type="cellIs" dxfId="203" priority="201" operator="equal">
      <formula>"CP"</formula>
    </cfRule>
    <cfRule type="cellIs" dxfId="202" priority="202" operator="notEqual">
      <formula>"CP"</formula>
    </cfRule>
  </conditionalFormatting>
  <conditionalFormatting sqref="BV13">
    <cfRule type="cellIs" dxfId="201" priority="199" operator="equal">
      <formula>"RC"</formula>
    </cfRule>
    <cfRule type="cellIs" dxfId="200" priority="200" operator="notEqual">
      <formula>"RC"</formula>
    </cfRule>
  </conditionalFormatting>
  <conditionalFormatting sqref="BW13">
    <cfRule type="cellIs" dxfId="199" priority="197" operator="equal">
      <formula>"CP"</formula>
    </cfRule>
    <cfRule type="cellIs" dxfId="198" priority="198" operator="notEqual">
      <formula>"CP"</formula>
    </cfRule>
  </conditionalFormatting>
  <conditionalFormatting sqref="BX13">
    <cfRule type="cellIs" dxfId="197" priority="189" operator="equal">
      <formula>"N/A"</formula>
    </cfRule>
    <cfRule type="cellIs" dxfId="196" priority="195" operator="equal">
      <formula>"RC"</formula>
    </cfRule>
    <cfRule type="cellIs" dxfId="195" priority="196" operator="notEqual">
      <formula>"RC"</formula>
    </cfRule>
  </conditionalFormatting>
  <conditionalFormatting sqref="BR13">
    <cfRule type="cellIs" dxfId="194" priority="194" operator="equal">
      <formula>"N/A"</formula>
    </cfRule>
  </conditionalFormatting>
  <conditionalFormatting sqref="BS13">
    <cfRule type="cellIs" dxfId="193" priority="193" operator="equal">
      <formula>"N/A"</formula>
    </cfRule>
  </conditionalFormatting>
  <conditionalFormatting sqref="BU13">
    <cfRule type="cellIs" dxfId="192" priority="192" operator="equal">
      <formula>"N/A"</formula>
    </cfRule>
  </conditionalFormatting>
  <conditionalFormatting sqref="BV13">
    <cfRule type="cellIs" dxfId="191" priority="191" operator="equal">
      <formula>"N/A"</formula>
    </cfRule>
  </conditionalFormatting>
  <conditionalFormatting sqref="BW13">
    <cfRule type="cellIs" dxfId="190" priority="190" operator="equal">
      <formula>"N/A"</formula>
    </cfRule>
  </conditionalFormatting>
  <conditionalFormatting sqref="BR14">
    <cfRule type="cellIs" dxfId="189" priority="187" operator="equal">
      <formula>"CP"</formula>
    </cfRule>
    <cfRule type="cellIs" dxfId="188" priority="188" operator="notEqual">
      <formula>"CP"</formula>
    </cfRule>
  </conditionalFormatting>
  <conditionalFormatting sqref="BS14">
    <cfRule type="cellIs" dxfId="187" priority="185" operator="equal">
      <formula>"RC"</formula>
    </cfRule>
    <cfRule type="cellIs" dxfId="186" priority="186" operator="notEqual">
      <formula>"RC"</formula>
    </cfRule>
  </conditionalFormatting>
  <conditionalFormatting sqref="BU14">
    <cfRule type="cellIs" dxfId="185" priority="183" operator="equal">
      <formula>"CP"</formula>
    </cfRule>
    <cfRule type="cellIs" dxfId="184" priority="184" operator="notEqual">
      <formula>"CP"</formula>
    </cfRule>
  </conditionalFormatting>
  <conditionalFormatting sqref="BV14">
    <cfRule type="cellIs" dxfId="183" priority="181" operator="equal">
      <formula>"RC"</formula>
    </cfRule>
    <cfRule type="cellIs" dxfId="182" priority="182" operator="notEqual">
      <formula>"RC"</formula>
    </cfRule>
  </conditionalFormatting>
  <conditionalFormatting sqref="BW14">
    <cfRule type="cellIs" dxfId="181" priority="179" operator="equal">
      <formula>"CP"</formula>
    </cfRule>
    <cfRule type="cellIs" dxfId="180" priority="180" operator="notEqual">
      <formula>"CP"</formula>
    </cfRule>
  </conditionalFormatting>
  <conditionalFormatting sqref="BX14">
    <cfRule type="cellIs" dxfId="179" priority="171" operator="equal">
      <formula>"N/A"</formula>
    </cfRule>
    <cfRule type="cellIs" dxfId="178" priority="177" operator="equal">
      <formula>"RC"</formula>
    </cfRule>
    <cfRule type="cellIs" dxfId="177" priority="178" operator="notEqual">
      <formula>"RC"</formula>
    </cfRule>
  </conditionalFormatting>
  <conditionalFormatting sqref="BR14">
    <cfRule type="cellIs" dxfId="176" priority="176" operator="equal">
      <formula>"N/A"</formula>
    </cfRule>
  </conditionalFormatting>
  <conditionalFormatting sqref="BS14">
    <cfRule type="cellIs" dxfId="175" priority="175" operator="equal">
      <formula>"N/A"</formula>
    </cfRule>
  </conditionalFormatting>
  <conditionalFormatting sqref="BU14">
    <cfRule type="cellIs" dxfId="174" priority="174" operator="equal">
      <formula>"N/A"</formula>
    </cfRule>
  </conditionalFormatting>
  <conditionalFormatting sqref="BV14">
    <cfRule type="cellIs" dxfId="173" priority="173" operator="equal">
      <formula>"N/A"</formula>
    </cfRule>
  </conditionalFormatting>
  <conditionalFormatting sqref="BW14">
    <cfRule type="cellIs" dxfId="172" priority="172" operator="equal">
      <formula>"N/A"</formula>
    </cfRule>
  </conditionalFormatting>
  <conditionalFormatting sqref="BR16">
    <cfRule type="cellIs" dxfId="171" priority="169" operator="equal">
      <formula>"CP"</formula>
    </cfRule>
    <cfRule type="cellIs" dxfId="170" priority="170" operator="notEqual">
      <formula>"CP"</formula>
    </cfRule>
  </conditionalFormatting>
  <conditionalFormatting sqref="BS16">
    <cfRule type="cellIs" dxfId="169" priority="167" operator="equal">
      <formula>"RC"</formula>
    </cfRule>
    <cfRule type="cellIs" dxfId="168" priority="168" operator="notEqual">
      <formula>"RC"</formula>
    </cfRule>
  </conditionalFormatting>
  <conditionalFormatting sqref="BU16">
    <cfRule type="cellIs" dxfId="167" priority="165" operator="equal">
      <formula>"CP"</formula>
    </cfRule>
    <cfRule type="cellIs" dxfId="166" priority="166" operator="notEqual">
      <formula>"CP"</formula>
    </cfRule>
  </conditionalFormatting>
  <conditionalFormatting sqref="BV16">
    <cfRule type="cellIs" dxfId="165" priority="163" operator="equal">
      <formula>"RC"</formula>
    </cfRule>
    <cfRule type="cellIs" dxfId="164" priority="164" operator="notEqual">
      <formula>"RC"</formula>
    </cfRule>
  </conditionalFormatting>
  <conditionalFormatting sqref="BW16">
    <cfRule type="cellIs" dxfId="163" priority="161" operator="equal">
      <formula>"CP"</formula>
    </cfRule>
    <cfRule type="cellIs" dxfId="162" priority="162" operator="notEqual">
      <formula>"CP"</formula>
    </cfRule>
  </conditionalFormatting>
  <conditionalFormatting sqref="BX16">
    <cfRule type="cellIs" dxfId="161" priority="158" operator="equal">
      <formula>"N/A"</formula>
    </cfRule>
    <cfRule type="cellIs" dxfId="160" priority="159" operator="equal">
      <formula>"RC"</formula>
    </cfRule>
    <cfRule type="cellIs" dxfId="159" priority="160" operator="notEqual">
      <formula>"RC"</formula>
    </cfRule>
  </conditionalFormatting>
  <conditionalFormatting sqref="BR16">
    <cfRule type="cellIs" dxfId="158" priority="244" operator="equal">
      <formula>"N/A"</formula>
    </cfRule>
  </conditionalFormatting>
  <conditionalFormatting sqref="BS16">
    <cfRule type="cellIs" dxfId="157" priority="157" operator="equal">
      <formula>"N/A"</formula>
    </cfRule>
  </conditionalFormatting>
  <conditionalFormatting sqref="BU16">
    <cfRule type="cellIs" dxfId="156" priority="156" operator="equal">
      <formula>"N/A"</formula>
    </cfRule>
  </conditionalFormatting>
  <conditionalFormatting sqref="BV16">
    <cfRule type="cellIs" dxfId="155" priority="155" operator="equal">
      <formula>"N/A"</formula>
    </cfRule>
  </conditionalFormatting>
  <conditionalFormatting sqref="BW16">
    <cfRule type="cellIs" dxfId="154" priority="154" operator="equal">
      <formula>"N/A"</formula>
    </cfRule>
  </conditionalFormatting>
  <conditionalFormatting sqref="BR57:BR67 BR70 BR72:BR85 BU72:BU85 BW72:BW85">
    <cfRule type="cellIs" dxfId="153" priority="150" operator="equal">
      <formula>"CP"</formula>
    </cfRule>
    <cfRule type="cellIs" dxfId="152" priority="151" operator="notEqual">
      <formula>"CP"</formula>
    </cfRule>
  </conditionalFormatting>
  <conditionalFormatting sqref="BS57:BS67 BS70 BS72:BS85 BV72:BV85">
    <cfRule type="cellIs" dxfId="151" priority="148" operator="equal">
      <formula>"RC"</formula>
    </cfRule>
    <cfRule type="cellIs" dxfId="150" priority="149" operator="notEqual">
      <formula>"RC"</formula>
    </cfRule>
  </conditionalFormatting>
  <conditionalFormatting sqref="BU57:BU67 BU70">
    <cfRule type="cellIs" dxfId="149" priority="146" operator="equal">
      <formula>"CP"</formula>
    </cfRule>
    <cfRule type="cellIs" dxfId="148" priority="147" operator="notEqual">
      <formula>"CP"</formula>
    </cfRule>
  </conditionalFormatting>
  <conditionalFormatting sqref="BV57:BV67 BV70">
    <cfRule type="cellIs" dxfId="147" priority="144" operator="equal">
      <formula>"RC"</formula>
    </cfRule>
    <cfRule type="cellIs" dxfId="146" priority="145" operator="notEqual">
      <formula>"RC"</formula>
    </cfRule>
  </conditionalFormatting>
  <conditionalFormatting sqref="BW57:BW67 BW70">
    <cfRule type="cellIs" dxfId="145" priority="142" operator="equal">
      <formula>"CP"</formula>
    </cfRule>
    <cfRule type="cellIs" dxfId="144" priority="143" operator="notEqual">
      <formula>"CP"</formula>
    </cfRule>
  </conditionalFormatting>
  <conditionalFormatting sqref="BX57:BX67 BX70 BX72:BX85">
    <cfRule type="cellIs" dxfId="143" priority="134" operator="equal">
      <formula>"N/A"</formula>
    </cfRule>
    <cfRule type="cellIs" dxfId="142" priority="140" operator="equal">
      <formula>"RC"</formula>
    </cfRule>
    <cfRule type="cellIs" dxfId="141" priority="141" operator="notEqual">
      <formula>"RC"</formula>
    </cfRule>
  </conditionalFormatting>
  <conditionalFormatting sqref="BR57:BR67 BR70 BR72:BS85 BU72:BW85">
    <cfRule type="cellIs" dxfId="140" priority="139" operator="equal">
      <formula>"N/A"</formula>
    </cfRule>
  </conditionalFormatting>
  <conditionalFormatting sqref="BS57:BS67 BS70">
    <cfRule type="cellIs" dxfId="139" priority="138" operator="equal">
      <formula>"N/A"</formula>
    </cfRule>
  </conditionalFormatting>
  <conditionalFormatting sqref="BU57:BU67 BU70">
    <cfRule type="cellIs" dxfId="138" priority="137" operator="equal">
      <formula>"N/A"</formula>
    </cfRule>
  </conditionalFormatting>
  <conditionalFormatting sqref="BV57:BV67 BV70">
    <cfRule type="cellIs" dxfId="137" priority="136" operator="equal">
      <formula>"N/A"</formula>
    </cfRule>
  </conditionalFormatting>
  <conditionalFormatting sqref="BW57:BW67 BW70">
    <cfRule type="cellIs" dxfId="136" priority="135" operator="equal">
      <formula>"N/A"</formula>
    </cfRule>
  </conditionalFormatting>
  <conditionalFormatting sqref="BR68">
    <cfRule type="cellIs" dxfId="135" priority="132" operator="equal">
      <formula>"CP"</formula>
    </cfRule>
    <cfRule type="cellIs" dxfId="134" priority="133" operator="notEqual">
      <formula>"CP"</formula>
    </cfRule>
  </conditionalFormatting>
  <conditionalFormatting sqref="BS68">
    <cfRule type="cellIs" dxfId="133" priority="130" operator="equal">
      <formula>"RC"</formula>
    </cfRule>
    <cfRule type="cellIs" dxfId="132" priority="131" operator="notEqual">
      <formula>"RC"</formula>
    </cfRule>
  </conditionalFormatting>
  <conditionalFormatting sqref="BU68">
    <cfRule type="cellIs" dxfId="131" priority="128" operator="equal">
      <formula>"CP"</formula>
    </cfRule>
    <cfRule type="cellIs" dxfId="130" priority="129" operator="notEqual">
      <formula>"CP"</formula>
    </cfRule>
  </conditionalFormatting>
  <conditionalFormatting sqref="BV68">
    <cfRule type="cellIs" dxfId="129" priority="126" operator="equal">
      <formula>"RC"</formula>
    </cfRule>
    <cfRule type="cellIs" dxfId="128" priority="127" operator="notEqual">
      <formula>"RC"</formula>
    </cfRule>
  </conditionalFormatting>
  <conditionalFormatting sqref="BW68">
    <cfRule type="cellIs" dxfId="127" priority="124" operator="equal">
      <formula>"CP"</formula>
    </cfRule>
    <cfRule type="cellIs" dxfId="126" priority="125" operator="notEqual">
      <formula>"CP"</formula>
    </cfRule>
  </conditionalFormatting>
  <conditionalFormatting sqref="BX68">
    <cfRule type="cellIs" dxfId="125" priority="116" operator="equal">
      <formula>"N/A"</formula>
    </cfRule>
    <cfRule type="cellIs" dxfId="124" priority="122" operator="equal">
      <formula>"RC"</formula>
    </cfRule>
    <cfRule type="cellIs" dxfId="123" priority="123" operator="notEqual">
      <formula>"RC"</formula>
    </cfRule>
  </conditionalFormatting>
  <conditionalFormatting sqref="BR68">
    <cfRule type="cellIs" dxfId="122" priority="121" operator="equal">
      <formula>"N/A"</formula>
    </cfRule>
  </conditionalFormatting>
  <conditionalFormatting sqref="BS68">
    <cfRule type="cellIs" dxfId="121" priority="120" operator="equal">
      <formula>"N/A"</formula>
    </cfRule>
  </conditionalFormatting>
  <conditionalFormatting sqref="BU68">
    <cfRule type="cellIs" dxfId="120" priority="119" operator="equal">
      <formula>"N/A"</formula>
    </cfRule>
  </conditionalFormatting>
  <conditionalFormatting sqref="BV68">
    <cfRule type="cellIs" dxfId="119" priority="118" operator="equal">
      <formula>"N/A"</formula>
    </cfRule>
  </conditionalFormatting>
  <conditionalFormatting sqref="BW68">
    <cfRule type="cellIs" dxfId="118" priority="117" operator="equal">
      <formula>"N/A"</formula>
    </cfRule>
  </conditionalFormatting>
  <conditionalFormatting sqref="BR69">
    <cfRule type="cellIs" dxfId="117" priority="114" operator="equal">
      <formula>"CP"</formula>
    </cfRule>
    <cfRule type="cellIs" dxfId="116" priority="115" operator="notEqual">
      <formula>"CP"</formula>
    </cfRule>
  </conditionalFormatting>
  <conditionalFormatting sqref="BS69">
    <cfRule type="cellIs" dxfId="115" priority="112" operator="equal">
      <formula>"RC"</formula>
    </cfRule>
    <cfRule type="cellIs" dxfId="114" priority="113" operator="notEqual">
      <formula>"RC"</formula>
    </cfRule>
  </conditionalFormatting>
  <conditionalFormatting sqref="BU69">
    <cfRule type="cellIs" dxfId="113" priority="110" operator="equal">
      <formula>"CP"</formula>
    </cfRule>
    <cfRule type="cellIs" dxfId="112" priority="111" operator="notEqual">
      <formula>"CP"</formula>
    </cfRule>
  </conditionalFormatting>
  <conditionalFormatting sqref="BV69">
    <cfRule type="cellIs" dxfId="111" priority="108" operator="equal">
      <formula>"RC"</formula>
    </cfRule>
    <cfRule type="cellIs" dxfId="110" priority="109" operator="notEqual">
      <formula>"RC"</formula>
    </cfRule>
  </conditionalFormatting>
  <conditionalFormatting sqref="BW69">
    <cfRule type="cellIs" dxfId="109" priority="106" operator="equal">
      <formula>"CP"</formula>
    </cfRule>
    <cfRule type="cellIs" dxfId="108" priority="107" operator="notEqual">
      <formula>"CP"</formula>
    </cfRule>
  </conditionalFormatting>
  <conditionalFormatting sqref="BX69">
    <cfRule type="cellIs" dxfId="107" priority="98" operator="equal">
      <formula>"N/A"</formula>
    </cfRule>
    <cfRule type="cellIs" dxfId="106" priority="104" operator="equal">
      <formula>"RC"</formula>
    </cfRule>
    <cfRule type="cellIs" dxfId="105" priority="105" operator="notEqual">
      <formula>"RC"</formula>
    </cfRule>
  </conditionalFormatting>
  <conditionalFormatting sqref="BR69">
    <cfRule type="cellIs" dxfId="104" priority="103" operator="equal">
      <formula>"N/A"</formula>
    </cfRule>
  </conditionalFormatting>
  <conditionalFormatting sqref="BS69">
    <cfRule type="cellIs" dxfId="103" priority="102" operator="equal">
      <formula>"N/A"</formula>
    </cfRule>
  </conditionalFormatting>
  <conditionalFormatting sqref="BU69">
    <cfRule type="cellIs" dxfId="102" priority="101" operator="equal">
      <formula>"N/A"</formula>
    </cfRule>
  </conditionalFormatting>
  <conditionalFormatting sqref="BV69">
    <cfRule type="cellIs" dxfId="101" priority="100" operator="equal">
      <formula>"N/A"</formula>
    </cfRule>
  </conditionalFormatting>
  <conditionalFormatting sqref="BW69">
    <cfRule type="cellIs" dxfId="100" priority="99" operator="equal">
      <formula>"N/A"</formula>
    </cfRule>
  </conditionalFormatting>
  <conditionalFormatting sqref="BR71">
    <cfRule type="cellIs" dxfId="99" priority="96" operator="equal">
      <formula>"CP"</formula>
    </cfRule>
    <cfRule type="cellIs" dxfId="98" priority="97" operator="notEqual">
      <formula>"CP"</formula>
    </cfRule>
  </conditionalFormatting>
  <conditionalFormatting sqref="BS71">
    <cfRule type="cellIs" dxfId="97" priority="94" operator="equal">
      <formula>"RC"</formula>
    </cfRule>
    <cfRule type="cellIs" dxfId="96" priority="95" operator="notEqual">
      <formula>"RC"</formula>
    </cfRule>
  </conditionalFormatting>
  <conditionalFormatting sqref="BU71">
    <cfRule type="cellIs" dxfId="95" priority="92" operator="equal">
      <formula>"CP"</formula>
    </cfRule>
    <cfRule type="cellIs" dxfId="94" priority="93" operator="notEqual">
      <formula>"CP"</formula>
    </cfRule>
  </conditionalFormatting>
  <conditionalFormatting sqref="BV71">
    <cfRule type="cellIs" dxfId="93" priority="90" operator="equal">
      <formula>"RC"</formula>
    </cfRule>
    <cfRule type="cellIs" dxfId="92" priority="91" operator="notEqual">
      <formula>"RC"</formula>
    </cfRule>
  </conditionalFormatting>
  <conditionalFormatting sqref="BW71">
    <cfRule type="cellIs" dxfId="91" priority="88" operator="equal">
      <formula>"CP"</formula>
    </cfRule>
    <cfRule type="cellIs" dxfId="90" priority="89" operator="notEqual">
      <formula>"CP"</formula>
    </cfRule>
  </conditionalFormatting>
  <conditionalFormatting sqref="BX71">
    <cfRule type="cellIs" dxfId="89" priority="85" operator="equal">
      <formula>"N/A"</formula>
    </cfRule>
    <cfRule type="cellIs" dxfId="88" priority="86" operator="equal">
      <formula>"RC"</formula>
    </cfRule>
    <cfRule type="cellIs" dxfId="87" priority="87" operator="notEqual">
      <formula>"RC"</formula>
    </cfRule>
  </conditionalFormatting>
  <conditionalFormatting sqref="BR71">
    <cfRule type="cellIs" dxfId="86" priority="152" operator="equal">
      <formula>"N/A"</formula>
    </cfRule>
  </conditionalFormatting>
  <conditionalFormatting sqref="BS71">
    <cfRule type="cellIs" dxfId="85" priority="84" operator="equal">
      <formula>"N/A"</formula>
    </cfRule>
  </conditionalFormatting>
  <conditionalFormatting sqref="BU71">
    <cfRule type="cellIs" dxfId="84" priority="83" operator="equal">
      <formula>"N/A"</formula>
    </cfRule>
  </conditionalFormatting>
  <conditionalFormatting sqref="BV71">
    <cfRule type="cellIs" dxfId="83" priority="82" operator="equal">
      <formula>"N/A"</formula>
    </cfRule>
  </conditionalFormatting>
  <conditionalFormatting sqref="BW71">
    <cfRule type="cellIs" dxfId="82" priority="81" operator="equal">
      <formula>"N/A"</formula>
    </cfRule>
  </conditionalFormatting>
  <conditionalFormatting sqref="BR28:BR38 BR41 BR43:BR53 BU43:BU53 BW43:BW53">
    <cfRule type="cellIs" dxfId="81" priority="78" operator="equal">
      <formula>"CP"</formula>
    </cfRule>
    <cfRule type="cellIs" dxfId="80" priority="79" operator="notEqual">
      <formula>"CP"</formula>
    </cfRule>
  </conditionalFormatting>
  <conditionalFormatting sqref="BS28:BS38 BS41 BS43:BS53 BV43:BV53">
    <cfRule type="cellIs" dxfId="79" priority="76" operator="equal">
      <formula>"RC"</formula>
    </cfRule>
    <cfRule type="cellIs" dxfId="78" priority="77" operator="notEqual">
      <formula>"RC"</formula>
    </cfRule>
  </conditionalFormatting>
  <conditionalFormatting sqref="BU28:BU38 BU41">
    <cfRule type="cellIs" dxfId="77" priority="74" operator="equal">
      <formula>"CP"</formula>
    </cfRule>
    <cfRule type="cellIs" dxfId="76" priority="75" operator="notEqual">
      <formula>"CP"</formula>
    </cfRule>
  </conditionalFormatting>
  <conditionalFormatting sqref="BV28:BV38 BV41">
    <cfRule type="cellIs" dxfId="75" priority="72" operator="equal">
      <formula>"RC"</formula>
    </cfRule>
    <cfRule type="cellIs" dxfId="74" priority="73" operator="notEqual">
      <formula>"RC"</formula>
    </cfRule>
  </conditionalFormatting>
  <conditionalFormatting sqref="BW28:BW38 BW41">
    <cfRule type="cellIs" dxfId="73" priority="70" operator="equal">
      <formula>"CP"</formula>
    </cfRule>
    <cfRule type="cellIs" dxfId="72" priority="71" operator="notEqual">
      <formula>"CP"</formula>
    </cfRule>
  </conditionalFormatting>
  <conditionalFormatting sqref="BX28:BX38 BX41 BX43:BX53">
    <cfRule type="cellIs" dxfId="71" priority="62" operator="equal">
      <formula>"N/A"</formula>
    </cfRule>
    <cfRule type="cellIs" dxfId="70" priority="68" operator="equal">
      <formula>"RC"</formula>
    </cfRule>
    <cfRule type="cellIs" dxfId="69" priority="69" operator="notEqual">
      <formula>"RC"</formula>
    </cfRule>
  </conditionalFormatting>
  <conditionalFormatting sqref="BR28:BR38 BR41 BR43:BS53 BU43:BW53">
    <cfRule type="cellIs" dxfId="68" priority="67" operator="equal">
      <formula>"N/A"</formula>
    </cfRule>
  </conditionalFormatting>
  <conditionalFormatting sqref="BS28:BS38 BS41">
    <cfRule type="cellIs" dxfId="67" priority="66" operator="equal">
      <formula>"N/A"</formula>
    </cfRule>
  </conditionalFormatting>
  <conditionalFormatting sqref="BU28:BU38 BU41">
    <cfRule type="cellIs" dxfId="66" priority="65" operator="equal">
      <formula>"N/A"</formula>
    </cfRule>
  </conditionalFormatting>
  <conditionalFormatting sqref="BV28:BV38 BV41">
    <cfRule type="cellIs" dxfId="65" priority="64" operator="equal">
      <formula>"N/A"</formula>
    </cfRule>
  </conditionalFormatting>
  <conditionalFormatting sqref="BW28:BW38 BW41">
    <cfRule type="cellIs" dxfId="64" priority="63" operator="equal">
      <formula>"N/A"</formula>
    </cfRule>
  </conditionalFormatting>
  <conditionalFormatting sqref="BR39">
    <cfRule type="cellIs" dxfId="63" priority="60" operator="equal">
      <formula>"CP"</formula>
    </cfRule>
    <cfRule type="cellIs" dxfId="62" priority="61" operator="notEqual">
      <formula>"CP"</formula>
    </cfRule>
  </conditionalFormatting>
  <conditionalFormatting sqref="BS39">
    <cfRule type="cellIs" dxfId="61" priority="58" operator="equal">
      <formula>"RC"</formula>
    </cfRule>
    <cfRule type="cellIs" dxfId="60" priority="59" operator="notEqual">
      <formula>"RC"</formula>
    </cfRule>
  </conditionalFormatting>
  <conditionalFormatting sqref="BU39">
    <cfRule type="cellIs" dxfId="59" priority="56" operator="equal">
      <formula>"CP"</formula>
    </cfRule>
    <cfRule type="cellIs" dxfId="58" priority="57" operator="notEqual">
      <formula>"CP"</formula>
    </cfRule>
  </conditionalFormatting>
  <conditionalFormatting sqref="BV39">
    <cfRule type="cellIs" dxfId="57" priority="54" operator="equal">
      <formula>"RC"</formula>
    </cfRule>
    <cfRule type="cellIs" dxfId="56" priority="55" operator="notEqual">
      <formula>"RC"</formula>
    </cfRule>
  </conditionalFormatting>
  <conditionalFormatting sqref="BW39">
    <cfRule type="cellIs" dxfId="55" priority="52" operator="equal">
      <formula>"CP"</formula>
    </cfRule>
    <cfRule type="cellIs" dxfId="54" priority="53" operator="notEqual">
      <formula>"CP"</formula>
    </cfRule>
  </conditionalFormatting>
  <conditionalFormatting sqref="BX39">
    <cfRule type="cellIs" dxfId="53" priority="44" operator="equal">
      <formula>"N/A"</formula>
    </cfRule>
    <cfRule type="cellIs" dxfId="52" priority="50" operator="equal">
      <formula>"RC"</formula>
    </cfRule>
    <cfRule type="cellIs" dxfId="51" priority="51" operator="notEqual">
      <formula>"RC"</formula>
    </cfRule>
  </conditionalFormatting>
  <conditionalFormatting sqref="BR39">
    <cfRule type="cellIs" dxfId="50" priority="49" operator="equal">
      <formula>"N/A"</formula>
    </cfRule>
  </conditionalFormatting>
  <conditionalFormatting sqref="BS39">
    <cfRule type="cellIs" dxfId="49" priority="48" operator="equal">
      <formula>"N/A"</formula>
    </cfRule>
  </conditionalFormatting>
  <conditionalFormatting sqref="BU39">
    <cfRule type="cellIs" dxfId="48" priority="47" operator="equal">
      <formula>"N/A"</formula>
    </cfRule>
  </conditionalFormatting>
  <conditionalFormatting sqref="BV39">
    <cfRule type="cellIs" dxfId="47" priority="46" operator="equal">
      <formula>"N/A"</formula>
    </cfRule>
  </conditionalFormatting>
  <conditionalFormatting sqref="BW39">
    <cfRule type="cellIs" dxfId="46" priority="45" operator="equal">
      <formula>"N/A"</formula>
    </cfRule>
  </conditionalFormatting>
  <conditionalFormatting sqref="BR40">
    <cfRule type="cellIs" dxfId="45" priority="42" operator="equal">
      <formula>"CP"</formula>
    </cfRule>
    <cfRule type="cellIs" dxfId="44" priority="43" operator="notEqual">
      <formula>"CP"</formula>
    </cfRule>
  </conditionalFormatting>
  <conditionalFormatting sqref="BS40">
    <cfRule type="cellIs" dxfId="43" priority="40" operator="equal">
      <formula>"RC"</formula>
    </cfRule>
    <cfRule type="cellIs" dxfId="42" priority="41" operator="notEqual">
      <formula>"RC"</formula>
    </cfRule>
  </conditionalFormatting>
  <conditionalFormatting sqref="BU40">
    <cfRule type="cellIs" dxfId="41" priority="38" operator="equal">
      <formula>"CP"</formula>
    </cfRule>
    <cfRule type="cellIs" dxfId="40" priority="39" operator="notEqual">
      <formula>"CP"</formula>
    </cfRule>
  </conditionalFormatting>
  <conditionalFormatting sqref="BV40">
    <cfRule type="cellIs" dxfId="39" priority="36" operator="equal">
      <formula>"RC"</formula>
    </cfRule>
    <cfRule type="cellIs" dxfId="38" priority="37" operator="notEqual">
      <formula>"RC"</formula>
    </cfRule>
  </conditionalFormatting>
  <conditionalFormatting sqref="BW40">
    <cfRule type="cellIs" dxfId="37" priority="34" operator="equal">
      <formula>"CP"</formula>
    </cfRule>
    <cfRule type="cellIs" dxfId="36" priority="35" operator="notEqual">
      <formula>"CP"</formula>
    </cfRule>
  </conditionalFormatting>
  <conditionalFormatting sqref="BX40">
    <cfRule type="cellIs" dxfId="35" priority="26" operator="equal">
      <formula>"N/A"</formula>
    </cfRule>
    <cfRule type="cellIs" dxfId="34" priority="32" operator="equal">
      <formula>"RC"</formula>
    </cfRule>
    <cfRule type="cellIs" dxfId="33" priority="33" operator="notEqual">
      <formula>"RC"</formula>
    </cfRule>
  </conditionalFormatting>
  <conditionalFormatting sqref="BR40">
    <cfRule type="cellIs" dxfId="32" priority="31" operator="equal">
      <formula>"N/A"</formula>
    </cfRule>
  </conditionalFormatting>
  <conditionalFormatting sqref="BS40">
    <cfRule type="cellIs" dxfId="31" priority="30" operator="equal">
      <formula>"N/A"</formula>
    </cfRule>
  </conditionalFormatting>
  <conditionalFormatting sqref="BU40">
    <cfRule type="cellIs" dxfId="30" priority="29" operator="equal">
      <formula>"N/A"</formula>
    </cfRule>
  </conditionalFormatting>
  <conditionalFormatting sqref="BV40">
    <cfRule type="cellIs" dxfId="29" priority="28" operator="equal">
      <formula>"N/A"</formula>
    </cfRule>
  </conditionalFormatting>
  <conditionalFormatting sqref="BW40">
    <cfRule type="cellIs" dxfId="28" priority="27" operator="equal">
      <formula>"N/A"</formula>
    </cfRule>
  </conditionalFormatting>
  <conditionalFormatting sqref="BR42">
    <cfRule type="cellIs" dxfId="27" priority="24" operator="equal">
      <formula>"CP"</formula>
    </cfRule>
    <cfRule type="cellIs" dxfId="26" priority="25" operator="notEqual">
      <formula>"CP"</formula>
    </cfRule>
  </conditionalFormatting>
  <conditionalFormatting sqref="BS42">
    <cfRule type="cellIs" dxfId="25" priority="22" operator="equal">
      <formula>"RC"</formula>
    </cfRule>
    <cfRule type="cellIs" dxfId="24" priority="23" operator="notEqual">
      <formula>"RC"</formula>
    </cfRule>
  </conditionalFormatting>
  <conditionalFormatting sqref="BU42">
    <cfRule type="cellIs" dxfId="23" priority="20" operator="equal">
      <formula>"CP"</formula>
    </cfRule>
    <cfRule type="cellIs" dxfId="22" priority="21" operator="notEqual">
      <formula>"CP"</formula>
    </cfRule>
  </conditionalFormatting>
  <conditionalFormatting sqref="BV42">
    <cfRule type="cellIs" dxfId="21" priority="18" operator="equal">
      <formula>"RC"</formula>
    </cfRule>
    <cfRule type="cellIs" dxfId="20" priority="19" operator="notEqual">
      <formula>"RC"</formula>
    </cfRule>
  </conditionalFormatting>
  <conditionalFormatting sqref="BW42">
    <cfRule type="cellIs" dxfId="19" priority="16" operator="equal">
      <formula>"CP"</formula>
    </cfRule>
    <cfRule type="cellIs" dxfId="18" priority="17" operator="notEqual">
      <formula>"CP"</formula>
    </cfRule>
  </conditionalFormatting>
  <conditionalFormatting sqref="BX42">
    <cfRule type="cellIs" dxfId="17" priority="13" operator="equal">
      <formula>"N/A"</formula>
    </cfRule>
    <cfRule type="cellIs" dxfId="16" priority="14" operator="equal">
      <formula>"RC"</formula>
    </cfRule>
    <cfRule type="cellIs" dxfId="15" priority="15" operator="notEqual">
      <formula>"RC"</formula>
    </cfRule>
  </conditionalFormatting>
  <conditionalFormatting sqref="BR42">
    <cfRule type="cellIs" dxfId="14" priority="80" operator="equal">
      <formula>"N/A"</formula>
    </cfRule>
  </conditionalFormatting>
  <conditionalFormatting sqref="BS42">
    <cfRule type="cellIs" dxfId="13" priority="12" operator="equal">
      <formula>"N/A"</formula>
    </cfRule>
  </conditionalFormatting>
  <conditionalFormatting sqref="BU42">
    <cfRule type="cellIs" dxfId="12" priority="11" operator="equal">
      <formula>"N/A"</formula>
    </cfRule>
  </conditionalFormatting>
  <conditionalFormatting sqref="BV42">
    <cfRule type="cellIs" dxfId="11" priority="10" operator="equal">
      <formula>"N/A"</formula>
    </cfRule>
  </conditionalFormatting>
  <conditionalFormatting sqref="BW42">
    <cfRule type="cellIs" dxfId="10" priority="9" operator="equal">
      <formula>"N/A"</formula>
    </cfRule>
  </conditionalFormatting>
  <conditionalFormatting sqref="BW87 BU87 BR87">
    <cfRule type="cellIs" dxfId="9" priority="7" operator="equal">
      <formula>"CP"</formula>
    </cfRule>
    <cfRule type="cellIs" dxfId="8" priority="8" operator="notEqual">
      <formula>"CP"</formula>
    </cfRule>
  </conditionalFormatting>
  <conditionalFormatting sqref="BV87 BS87">
    <cfRule type="cellIs" dxfId="7" priority="5" operator="equal">
      <formula>"RC"</formula>
    </cfRule>
    <cfRule type="cellIs" dxfId="6" priority="6" operator="notEqual">
      <formula>"RC"</formula>
    </cfRule>
  </conditionalFormatting>
  <conditionalFormatting sqref="BX87">
    <cfRule type="cellIs" dxfId="5" priority="1" operator="equal">
      <formula>"N/A"</formula>
    </cfRule>
    <cfRule type="cellIs" dxfId="4" priority="3" operator="equal">
      <formula>"RC"</formula>
    </cfRule>
    <cfRule type="cellIs" dxfId="3" priority="4" operator="notEqual">
      <formula>"RC"</formula>
    </cfRule>
  </conditionalFormatting>
  <conditionalFormatting sqref="BU87:BW87 BR87:BS87">
    <cfRule type="cellIs" dxfId="2" priority="2" operator="equal">
      <formula>"N/A"</formula>
    </cfRule>
  </conditionalFormatting>
  <dataValidations count="3">
    <dataValidation type="list" allowBlank="1" showInputMessage="1" showErrorMessage="1" sqref="BL2:BL91 BH2:BI91 C2:D91" xr:uid="{00000000-0002-0000-0400-000000000000}">
      <formula1>"YES,NO"</formula1>
    </dataValidation>
    <dataValidation type="list" allowBlank="1" showInputMessage="1" showErrorMessage="1" sqref="B2:B91" xr:uid="{00000000-0002-0000-0400-000001000000}">
      <formula1>"CP,RC,CP/RC"</formula1>
    </dataValidation>
    <dataValidation type="list" allowBlank="1" showInputMessage="1" showErrorMessage="1" sqref="G2:G91" xr:uid="{D6856C8E-65F4-460A-8327-3BE3541F6FE3}">
      <formula1>"-,P,S,EV,P/S,P/EV,S/EV,P/S/EV"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68"/>
  <sheetViews>
    <sheetView topLeftCell="I1" zoomScaleNormal="100" workbookViewId="0">
      <selection activeCell="N2" sqref="N2"/>
    </sheetView>
  </sheetViews>
  <sheetFormatPr defaultRowHeight="14.5" x14ac:dyDescent="0.35"/>
  <cols>
    <col min="3" max="3" width="15.54296875" customWidth="1"/>
    <col min="4" max="6" width="14.1796875" customWidth="1"/>
    <col min="7" max="7" width="11.453125" customWidth="1"/>
    <col min="9" max="9" width="12.453125" customWidth="1"/>
    <col min="10" max="10" width="19.453125" customWidth="1"/>
    <col min="11" max="11" width="11.26953125" customWidth="1"/>
    <col min="12" max="12" width="10.81640625" customWidth="1"/>
    <col min="13" max="13" width="11.26953125" customWidth="1"/>
    <col min="14" max="14" width="10.7265625" customWidth="1"/>
    <col min="15" max="19" width="9.1796875" customWidth="1"/>
    <col min="20" max="20" width="11.1796875" customWidth="1"/>
    <col min="21" max="28" width="9.1796875" customWidth="1"/>
  </cols>
  <sheetData>
    <row r="1" spans="1:28" ht="58.5" thickBot="1" x14ac:dyDescent="0.4">
      <c r="A1" s="46" t="s">
        <v>95</v>
      </c>
      <c r="B1" s="30" t="s">
        <v>104</v>
      </c>
      <c r="C1" s="101" t="s">
        <v>105</v>
      </c>
      <c r="D1" s="30" t="s">
        <v>106</v>
      </c>
      <c r="E1" s="101" t="s">
        <v>150</v>
      </c>
      <c r="F1" s="101" t="s">
        <v>154</v>
      </c>
      <c r="G1" s="24" t="s">
        <v>51</v>
      </c>
      <c r="H1" s="46" t="s">
        <v>52</v>
      </c>
      <c r="I1" s="24" t="s">
        <v>53</v>
      </c>
      <c r="J1" s="29" t="s">
        <v>96</v>
      </c>
      <c r="K1" s="24" t="s">
        <v>151</v>
      </c>
      <c r="L1" s="24" t="s">
        <v>34</v>
      </c>
      <c r="M1" s="49" t="s">
        <v>165</v>
      </c>
      <c r="N1" s="49" t="s">
        <v>166</v>
      </c>
      <c r="O1" s="24" t="s">
        <v>153</v>
      </c>
      <c r="P1" s="31" t="s">
        <v>152</v>
      </c>
      <c r="Q1" s="99" t="s">
        <v>107</v>
      </c>
      <c r="R1" s="24" t="s">
        <v>108</v>
      </c>
      <c r="T1" s="24" t="s">
        <v>109</v>
      </c>
      <c r="U1" s="102" t="s">
        <v>110</v>
      </c>
      <c r="V1" s="49" t="s">
        <v>112</v>
      </c>
      <c r="X1" s="101" t="s">
        <v>157</v>
      </c>
      <c r="Y1" s="101" t="s">
        <v>158</v>
      </c>
      <c r="AA1" s="101" t="s">
        <v>159</v>
      </c>
      <c r="AB1" s="101" t="s">
        <v>160</v>
      </c>
    </row>
    <row r="2" spans="1:28" x14ac:dyDescent="0.35">
      <c r="A2" s="32"/>
      <c r="B2" s="32"/>
      <c r="C2" s="32"/>
      <c r="D2" s="32"/>
      <c r="E2" s="32"/>
      <c r="F2" s="32"/>
      <c r="G2" s="2">
        <f>IF(H2&gt;0,1,0)</f>
        <v>0</v>
      </c>
      <c r="H2" s="32"/>
      <c r="I2" s="98">
        <f>IF(M2&gt;0, 1, 0)</f>
        <v>0</v>
      </c>
      <c r="J2" s="32"/>
      <c r="K2" s="104"/>
      <c r="L2" s="104"/>
      <c r="M2" s="50"/>
      <c r="N2" s="53"/>
      <c r="O2" s="33">
        <f>IF(M2&gt;3, 3, M2)</f>
        <v>0</v>
      </c>
      <c r="P2" s="33">
        <f>IF(M2&gt;4.5,4.5,MAX(0,M2-3))</f>
        <v>0</v>
      </c>
      <c r="Q2" s="103">
        <f>IF(M2&gt;1.2, 1.2, M2)</f>
        <v>0</v>
      </c>
      <c r="R2" s="33">
        <f>IF(M2&gt;3,1.8,MAX(0,M2-1.2))</f>
        <v>0</v>
      </c>
      <c r="T2" s="54">
        <f t="shared" ref="T2:T33" si="0">(2*K2)+(2*L2)</f>
        <v>0</v>
      </c>
      <c r="U2" s="54">
        <f>K2*L2</f>
        <v>0</v>
      </c>
      <c r="V2" s="54">
        <f t="shared" ref="V2:V33" si="1">K2*L2*N2</f>
        <v>0</v>
      </c>
      <c r="X2" s="33">
        <f>IF(F2="RURAL",K2*L2*(M2-0.1),0)</f>
        <v>0</v>
      </c>
      <c r="Y2" s="33">
        <f>IF(F2="NATIONAL",(M2-0.45)*K2*L2,0)</f>
        <v>0</v>
      </c>
      <c r="AA2" s="33">
        <f t="shared" ref="AA2:AA33" si="2">IF(F2="RURAL",(K2+0.2)*(L2+0.2),0)</f>
        <v>0</v>
      </c>
      <c r="AB2" s="33">
        <f t="shared" ref="AB2:AB33" si="3">IF(F2="NATIONAL",K2*L2,0)</f>
        <v>0</v>
      </c>
    </row>
    <row r="3" spans="1:28" x14ac:dyDescent="0.35">
      <c r="A3" s="32"/>
      <c r="B3" s="32"/>
      <c r="C3" s="32"/>
      <c r="D3" s="32"/>
      <c r="E3" s="32"/>
      <c r="F3" s="32"/>
      <c r="G3" s="2">
        <f t="shared" ref="G3:G91" si="4">IF(H3&gt;0,1,0)</f>
        <v>0</v>
      </c>
      <c r="H3" s="32"/>
      <c r="I3" s="98">
        <f t="shared" ref="I3:I91" si="5">IF(M3&gt;0, 1, 0)</f>
        <v>0</v>
      </c>
      <c r="J3" s="32"/>
      <c r="K3" s="104"/>
      <c r="L3" s="104"/>
      <c r="M3" s="50"/>
      <c r="N3" s="53"/>
      <c r="O3" s="33">
        <f t="shared" ref="O3:O91" si="6">IF(M3&gt;3, 3, M3)</f>
        <v>0</v>
      </c>
      <c r="P3" s="33">
        <f t="shared" ref="P3:P91" si="7">IF(M3&gt;4.5,4.5,MAX(0,M3-3))</f>
        <v>0</v>
      </c>
      <c r="Q3" s="33">
        <f t="shared" ref="Q3:Q89" si="8">IF(M3&gt;1.2, 1.2, M3)</f>
        <v>0</v>
      </c>
      <c r="R3" s="33">
        <f t="shared" ref="R3:R91" si="9">IF(M3&gt;3,1.8,MAX(0,M3-1.2))</f>
        <v>0</v>
      </c>
      <c r="T3" s="54">
        <f t="shared" si="0"/>
        <v>0</v>
      </c>
      <c r="U3" s="54">
        <f>K3*L3</f>
        <v>0</v>
      </c>
      <c r="V3" s="54">
        <f t="shared" si="1"/>
        <v>0</v>
      </c>
      <c r="X3" s="33">
        <f t="shared" ref="X3:X91" si="10">IF(F3="RURAL",K3*L3*(M3-0.1),0)</f>
        <v>0</v>
      </c>
      <c r="Y3" s="33">
        <f t="shared" ref="Y3:Y91" si="11">IF(F3="NATIONAL",(M3-0.45)*K3*L3,0)</f>
        <v>0</v>
      </c>
      <c r="AA3" s="33">
        <f t="shared" si="2"/>
        <v>0</v>
      </c>
      <c r="AB3" s="33">
        <f t="shared" si="3"/>
        <v>0</v>
      </c>
    </row>
    <row r="4" spans="1:28" x14ac:dyDescent="0.35">
      <c r="A4" s="32"/>
      <c r="B4" s="32"/>
      <c r="C4" s="32"/>
      <c r="D4" s="32"/>
      <c r="E4" s="32"/>
      <c r="F4" s="32"/>
      <c r="G4" s="2">
        <f t="shared" si="4"/>
        <v>0</v>
      </c>
      <c r="H4" s="32"/>
      <c r="I4" s="98">
        <f t="shared" si="5"/>
        <v>0</v>
      </c>
      <c r="J4" s="32"/>
      <c r="K4" s="104"/>
      <c r="L4" s="104"/>
      <c r="M4" s="50"/>
      <c r="N4" s="53"/>
      <c r="O4" s="33">
        <f t="shared" si="6"/>
        <v>0</v>
      </c>
      <c r="P4" s="33">
        <f t="shared" si="7"/>
        <v>0</v>
      </c>
      <c r="Q4" s="33">
        <f t="shared" si="8"/>
        <v>0</v>
      </c>
      <c r="R4" s="33">
        <f t="shared" si="9"/>
        <v>0</v>
      </c>
      <c r="T4" s="54">
        <f t="shared" si="0"/>
        <v>0</v>
      </c>
      <c r="U4" s="54">
        <f t="shared" ref="U4:U91" si="12">K4*L4</f>
        <v>0</v>
      </c>
      <c r="V4" s="54">
        <f t="shared" si="1"/>
        <v>0</v>
      </c>
      <c r="X4" s="33">
        <f t="shared" si="10"/>
        <v>0</v>
      </c>
      <c r="Y4" s="33">
        <f t="shared" si="11"/>
        <v>0</v>
      </c>
      <c r="AA4" s="33">
        <f t="shared" si="2"/>
        <v>0</v>
      </c>
      <c r="AB4" s="33">
        <f t="shared" si="3"/>
        <v>0</v>
      </c>
    </row>
    <row r="5" spans="1:28" x14ac:dyDescent="0.35">
      <c r="A5" s="32"/>
      <c r="B5" s="32"/>
      <c r="C5" s="32"/>
      <c r="D5" s="32"/>
      <c r="E5" s="32"/>
      <c r="F5" s="32"/>
      <c r="G5" s="2">
        <f t="shared" si="4"/>
        <v>0</v>
      </c>
      <c r="H5" s="32"/>
      <c r="I5" s="98">
        <f t="shared" si="5"/>
        <v>0</v>
      </c>
      <c r="J5" s="32"/>
      <c r="K5" s="104"/>
      <c r="L5" s="104"/>
      <c r="M5" s="50"/>
      <c r="N5" s="53"/>
      <c r="O5" s="33">
        <f t="shared" si="6"/>
        <v>0</v>
      </c>
      <c r="P5" s="33">
        <f t="shared" si="7"/>
        <v>0</v>
      </c>
      <c r="Q5" s="33">
        <f t="shared" si="8"/>
        <v>0</v>
      </c>
      <c r="R5" s="33">
        <f t="shared" si="9"/>
        <v>0</v>
      </c>
      <c r="T5" s="54">
        <f t="shared" si="0"/>
        <v>0</v>
      </c>
      <c r="U5" s="54">
        <f t="shared" si="12"/>
        <v>0</v>
      </c>
      <c r="V5" s="54">
        <f t="shared" si="1"/>
        <v>0</v>
      </c>
      <c r="W5" t="s">
        <v>213</v>
      </c>
      <c r="X5" s="33">
        <f t="shared" si="10"/>
        <v>0</v>
      </c>
      <c r="Y5" s="33">
        <f t="shared" si="11"/>
        <v>0</v>
      </c>
      <c r="AA5" s="33">
        <f t="shared" si="2"/>
        <v>0</v>
      </c>
      <c r="AB5" s="33">
        <f t="shared" si="3"/>
        <v>0</v>
      </c>
    </row>
    <row r="6" spans="1:28" x14ac:dyDescent="0.35">
      <c r="A6" s="32"/>
      <c r="B6" s="32"/>
      <c r="C6" s="32"/>
      <c r="D6" s="32"/>
      <c r="E6" s="32"/>
      <c r="F6" s="32"/>
      <c r="G6" s="2">
        <f t="shared" si="4"/>
        <v>0</v>
      </c>
      <c r="H6" s="32"/>
      <c r="I6" s="98">
        <f t="shared" si="5"/>
        <v>0</v>
      </c>
      <c r="J6" s="32"/>
      <c r="K6" s="104"/>
      <c r="L6" s="104"/>
      <c r="M6" s="50"/>
      <c r="N6" s="53"/>
      <c r="O6" s="33">
        <f t="shared" si="6"/>
        <v>0</v>
      </c>
      <c r="P6" s="33">
        <f t="shared" si="7"/>
        <v>0</v>
      </c>
      <c r="Q6" s="33">
        <f t="shared" si="8"/>
        <v>0</v>
      </c>
      <c r="R6" s="33">
        <f t="shared" si="9"/>
        <v>0</v>
      </c>
      <c r="T6" s="54">
        <f t="shared" si="0"/>
        <v>0</v>
      </c>
      <c r="U6" s="54">
        <f t="shared" si="12"/>
        <v>0</v>
      </c>
      <c r="V6" s="54">
        <f t="shared" si="1"/>
        <v>0</v>
      </c>
      <c r="X6" s="33">
        <f t="shared" si="10"/>
        <v>0</v>
      </c>
      <c r="Y6" s="33">
        <f t="shared" si="11"/>
        <v>0</v>
      </c>
      <c r="AA6" s="33">
        <f t="shared" si="2"/>
        <v>0</v>
      </c>
      <c r="AB6" s="33">
        <f t="shared" si="3"/>
        <v>0</v>
      </c>
    </row>
    <row r="7" spans="1:28" x14ac:dyDescent="0.35">
      <c r="A7" s="32"/>
      <c r="B7" s="32"/>
      <c r="C7" s="32"/>
      <c r="D7" s="32"/>
      <c r="E7" s="32"/>
      <c r="F7" s="32"/>
      <c r="G7" s="2">
        <f t="shared" si="4"/>
        <v>0</v>
      </c>
      <c r="H7" s="32"/>
      <c r="I7" s="98">
        <f t="shared" si="5"/>
        <v>0</v>
      </c>
      <c r="J7" s="32"/>
      <c r="K7" s="104"/>
      <c r="L7" s="104"/>
      <c r="M7" s="50"/>
      <c r="N7" s="53"/>
      <c r="O7" s="33">
        <f t="shared" si="6"/>
        <v>0</v>
      </c>
      <c r="P7" s="33">
        <f t="shared" si="7"/>
        <v>0</v>
      </c>
      <c r="Q7" s="33">
        <f t="shared" si="8"/>
        <v>0</v>
      </c>
      <c r="R7" s="33">
        <f t="shared" si="9"/>
        <v>0</v>
      </c>
      <c r="T7" s="54">
        <f t="shared" si="0"/>
        <v>0</v>
      </c>
      <c r="U7" s="54">
        <f t="shared" si="12"/>
        <v>0</v>
      </c>
      <c r="V7" s="54">
        <f t="shared" si="1"/>
        <v>0</v>
      </c>
      <c r="X7" s="33">
        <f t="shared" si="10"/>
        <v>0</v>
      </c>
      <c r="Y7" s="33">
        <f t="shared" si="11"/>
        <v>0</v>
      </c>
      <c r="AA7" s="33">
        <f t="shared" si="2"/>
        <v>0</v>
      </c>
      <c r="AB7" s="33">
        <f t="shared" si="3"/>
        <v>0</v>
      </c>
    </row>
    <row r="8" spans="1:28" x14ac:dyDescent="0.35">
      <c r="A8" s="32"/>
      <c r="B8" s="32"/>
      <c r="C8" s="32"/>
      <c r="D8" s="32"/>
      <c r="E8" s="32"/>
      <c r="F8" s="32"/>
      <c r="G8" s="2">
        <f t="shared" si="4"/>
        <v>0</v>
      </c>
      <c r="H8" s="32"/>
      <c r="I8" s="98">
        <f t="shared" si="5"/>
        <v>0</v>
      </c>
      <c r="J8" s="32"/>
      <c r="K8" s="104"/>
      <c r="L8" s="104"/>
      <c r="M8" s="50"/>
      <c r="N8" s="53"/>
      <c r="O8" s="33">
        <f t="shared" si="6"/>
        <v>0</v>
      </c>
      <c r="P8" s="33">
        <f t="shared" si="7"/>
        <v>0</v>
      </c>
      <c r="Q8" s="33">
        <f t="shared" si="8"/>
        <v>0</v>
      </c>
      <c r="R8" s="33">
        <f t="shared" si="9"/>
        <v>0</v>
      </c>
      <c r="T8" s="54">
        <f t="shared" si="0"/>
        <v>0</v>
      </c>
      <c r="U8" s="54">
        <f t="shared" si="12"/>
        <v>0</v>
      </c>
      <c r="V8" s="54">
        <f t="shared" si="1"/>
        <v>0</v>
      </c>
      <c r="X8" s="33">
        <f t="shared" si="10"/>
        <v>0</v>
      </c>
      <c r="Y8" s="33">
        <f t="shared" si="11"/>
        <v>0</v>
      </c>
      <c r="AA8" s="33">
        <f t="shared" si="2"/>
        <v>0</v>
      </c>
      <c r="AB8" s="33">
        <f t="shared" si="3"/>
        <v>0</v>
      </c>
    </row>
    <row r="9" spans="1:28" x14ac:dyDescent="0.35">
      <c r="A9" s="32"/>
      <c r="B9" s="32"/>
      <c r="C9" s="32"/>
      <c r="D9" s="32"/>
      <c r="E9" s="32"/>
      <c r="F9" s="32"/>
      <c r="G9" s="2">
        <f t="shared" si="4"/>
        <v>0</v>
      </c>
      <c r="H9" s="32"/>
      <c r="I9" s="98">
        <f t="shared" si="5"/>
        <v>0</v>
      </c>
      <c r="J9" s="32"/>
      <c r="K9" s="104"/>
      <c r="L9" s="104"/>
      <c r="M9" s="50"/>
      <c r="N9" s="53"/>
      <c r="O9" s="33">
        <f t="shared" si="6"/>
        <v>0</v>
      </c>
      <c r="P9" s="33">
        <f t="shared" si="7"/>
        <v>0</v>
      </c>
      <c r="Q9" s="33">
        <f t="shared" si="8"/>
        <v>0</v>
      </c>
      <c r="R9" s="33">
        <f t="shared" si="9"/>
        <v>0</v>
      </c>
      <c r="T9" s="54">
        <f t="shared" si="0"/>
        <v>0</v>
      </c>
      <c r="U9" s="54">
        <f t="shared" si="12"/>
        <v>0</v>
      </c>
      <c r="V9" s="54">
        <f t="shared" si="1"/>
        <v>0</v>
      </c>
      <c r="X9" s="33">
        <f t="shared" si="10"/>
        <v>0</v>
      </c>
      <c r="Y9" s="33">
        <f t="shared" si="11"/>
        <v>0</v>
      </c>
      <c r="AA9" s="33">
        <f t="shared" si="2"/>
        <v>0</v>
      </c>
      <c r="AB9" s="33">
        <f t="shared" si="3"/>
        <v>0</v>
      </c>
    </row>
    <row r="10" spans="1:28" x14ac:dyDescent="0.35">
      <c r="A10" s="32"/>
      <c r="B10" s="32"/>
      <c r="C10" s="32"/>
      <c r="D10" s="32"/>
      <c r="E10" s="32"/>
      <c r="F10" s="32"/>
      <c r="G10" s="2">
        <f t="shared" si="4"/>
        <v>0</v>
      </c>
      <c r="H10" s="32"/>
      <c r="I10" s="98">
        <f t="shared" si="5"/>
        <v>0</v>
      </c>
      <c r="J10" s="32"/>
      <c r="K10" s="104"/>
      <c r="L10" s="104"/>
      <c r="M10" s="50"/>
      <c r="N10" s="53"/>
      <c r="O10" s="33">
        <f t="shared" si="6"/>
        <v>0</v>
      </c>
      <c r="P10" s="33">
        <f t="shared" si="7"/>
        <v>0</v>
      </c>
      <c r="Q10" s="33">
        <f t="shared" si="8"/>
        <v>0</v>
      </c>
      <c r="R10" s="33">
        <f t="shared" si="9"/>
        <v>0</v>
      </c>
      <c r="T10" s="54">
        <f t="shared" si="0"/>
        <v>0</v>
      </c>
      <c r="U10" s="54">
        <f t="shared" si="12"/>
        <v>0</v>
      </c>
      <c r="V10" s="54">
        <f t="shared" si="1"/>
        <v>0</v>
      </c>
      <c r="X10" s="33">
        <f t="shared" si="10"/>
        <v>0</v>
      </c>
      <c r="Y10" s="33">
        <f t="shared" si="11"/>
        <v>0</v>
      </c>
      <c r="AA10" s="33">
        <f t="shared" si="2"/>
        <v>0</v>
      </c>
      <c r="AB10" s="33">
        <f t="shared" si="3"/>
        <v>0</v>
      </c>
    </row>
    <row r="11" spans="1:28" x14ac:dyDescent="0.35">
      <c r="A11" s="32"/>
      <c r="B11" s="32"/>
      <c r="C11" s="32"/>
      <c r="D11" s="32"/>
      <c r="E11" s="32"/>
      <c r="F11" s="32"/>
      <c r="G11" s="2">
        <f t="shared" ref="G11" si="13">IF(H11&gt;0,1,0)</f>
        <v>0</v>
      </c>
      <c r="H11" s="32"/>
      <c r="I11" s="98">
        <f t="shared" ref="I11" si="14">IF(M11&gt;0, 1, 0)</f>
        <v>0</v>
      </c>
      <c r="J11" s="32"/>
      <c r="K11" s="104"/>
      <c r="L11" s="104"/>
      <c r="M11" s="50"/>
      <c r="N11" s="53"/>
      <c r="O11" s="33">
        <f t="shared" si="6"/>
        <v>0</v>
      </c>
      <c r="P11" s="33">
        <f t="shared" si="7"/>
        <v>0</v>
      </c>
      <c r="Q11" s="33">
        <f t="shared" si="8"/>
        <v>0</v>
      </c>
      <c r="R11" s="33">
        <f t="shared" si="9"/>
        <v>0</v>
      </c>
      <c r="T11" s="54">
        <f t="shared" si="0"/>
        <v>0</v>
      </c>
      <c r="U11" s="54">
        <f t="shared" si="12"/>
        <v>0</v>
      </c>
      <c r="V11" s="54">
        <f t="shared" si="1"/>
        <v>0</v>
      </c>
      <c r="X11" s="33">
        <f t="shared" si="10"/>
        <v>0</v>
      </c>
      <c r="Y11" s="33">
        <f t="shared" si="11"/>
        <v>0</v>
      </c>
      <c r="AA11" s="33">
        <f t="shared" si="2"/>
        <v>0</v>
      </c>
      <c r="AB11" s="33">
        <f t="shared" si="3"/>
        <v>0</v>
      </c>
    </row>
    <row r="12" spans="1:28" x14ac:dyDescent="0.35">
      <c r="A12" s="32"/>
      <c r="B12" s="32"/>
      <c r="C12" s="32"/>
      <c r="D12" s="32"/>
      <c r="E12" s="32"/>
      <c r="F12" s="32"/>
      <c r="G12" s="2">
        <f t="shared" si="4"/>
        <v>0</v>
      </c>
      <c r="H12" s="32"/>
      <c r="I12" s="98">
        <f t="shared" si="5"/>
        <v>0</v>
      </c>
      <c r="J12" s="32"/>
      <c r="K12" s="104"/>
      <c r="L12" s="104"/>
      <c r="M12" s="50"/>
      <c r="N12" s="53"/>
      <c r="O12" s="33">
        <f>IF(M12&gt;3, 3, M12)</f>
        <v>0</v>
      </c>
      <c r="P12" s="33">
        <f>IF(M12&gt;4.5,4.5,MAX(0,M12-3))</f>
        <v>0</v>
      </c>
      <c r="Q12" s="33">
        <f t="shared" si="8"/>
        <v>0</v>
      </c>
      <c r="R12" s="33">
        <f t="shared" si="9"/>
        <v>0</v>
      </c>
      <c r="T12" s="54">
        <f t="shared" si="0"/>
        <v>0</v>
      </c>
      <c r="U12" s="54">
        <f t="shared" si="12"/>
        <v>0</v>
      </c>
      <c r="V12" s="54">
        <f t="shared" si="1"/>
        <v>0</v>
      </c>
      <c r="X12" s="33">
        <f t="shared" si="10"/>
        <v>0</v>
      </c>
      <c r="Y12" s="33">
        <f t="shared" si="11"/>
        <v>0</v>
      </c>
      <c r="AA12" s="33">
        <f t="shared" si="2"/>
        <v>0</v>
      </c>
      <c r="AB12" s="33">
        <f t="shared" si="3"/>
        <v>0</v>
      </c>
    </row>
    <row r="13" spans="1:28" x14ac:dyDescent="0.35">
      <c r="A13" s="32"/>
      <c r="B13" s="32"/>
      <c r="C13" s="32"/>
      <c r="D13" s="32"/>
      <c r="E13" s="32"/>
      <c r="F13" s="32"/>
      <c r="G13" s="2">
        <f t="shared" si="4"/>
        <v>0</v>
      </c>
      <c r="H13" s="32"/>
      <c r="I13" s="98">
        <f t="shared" si="5"/>
        <v>0</v>
      </c>
      <c r="J13" s="32"/>
      <c r="K13" s="104"/>
      <c r="L13" s="104"/>
      <c r="M13" s="50"/>
      <c r="N13" s="53"/>
      <c r="O13" s="33">
        <f t="shared" ref="O13:O18" si="15">IF(M13&gt;3, 3, M13)</f>
        <v>0</v>
      </c>
      <c r="P13" s="33">
        <f t="shared" ref="P13:P18" si="16">IF(M13&gt;4.5,4.5,MAX(0,M13-3))</f>
        <v>0</v>
      </c>
      <c r="Q13" s="33">
        <f t="shared" si="8"/>
        <v>0</v>
      </c>
      <c r="R13" s="33">
        <f t="shared" si="9"/>
        <v>0</v>
      </c>
      <c r="T13" s="54">
        <f t="shared" si="0"/>
        <v>0</v>
      </c>
      <c r="U13" s="54">
        <f t="shared" si="12"/>
        <v>0</v>
      </c>
      <c r="V13" s="54">
        <f t="shared" si="1"/>
        <v>0</v>
      </c>
      <c r="X13" s="33">
        <f t="shared" si="10"/>
        <v>0</v>
      </c>
      <c r="Y13" s="33">
        <f t="shared" si="11"/>
        <v>0</v>
      </c>
      <c r="AA13" s="33">
        <f t="shared" si="2"/>
        <v>0</v>
      </c>
      <c r="AB13" s="33">
        <f t="shared" si="3"/>
        <v>0</v>
      </c>
    </row>
    <row r="14" spans="1:28" x14ac:dyDescent="0.35">
      <c r="A14" s="32"/>
      <c r="B14" s="32"/>
      <c r="C14" s="32"/>
      <c r="D14" s="32"/>
      <c r="E14" s="32"/>
      <c r="F14" s="32"/>
      <c r="G14" s="2">
        <f t="shared" si="4"/>
        <v>0</v>
      </c>
      <c r="H14" s="32"/>
      <c r="I14" s="98">
        <f t="shared" si="5"/>
        <v>0</v>
      </c>
      <c r="J14" s="32"/>
      <c r="K14" s="104"/>
      <c r="L14" s="104"/>
      <c r="M14" s="50"/>
      <c r="N14" s="53"/>
      <c r="O14" s="33">
        <f t="shared" si="15"/>
        <v>0</v>
      </c>
      <c r="P14" s="33">
        <f t="shared" si="16"/>
        <v>0</v>
      </c>
      <c r="Q14" s="33">
        <f t="shared" si="8"/>
        <v>0</v>
      </c>
      <c r="R14" s="33">
        <f t="shared" si="9"/>
        <v>0</v>
      </c>
      <c r="T14" s="54">
        <f t="shared" si="0"/>
        <v>0</v>
      </c>
      <c r="U14" s="54">
        <f t="shared" si="12"/>
        <v>0</v>
      </c>
      <c r="V14" s="54">
        <f t="shared" si="1"/>
        <v>0</v>
      </c>
      <c r="X14" s="33">
        <f t="shared" si="10"/>
        <v>0</v>
      </c>
      <c r="Y14" s="33">
        <f t="shared" si="11"/>
        <v>0</v>
      </c>
      <c r="AA14" s="33">
        <f t="shared" si="2"/>
        <v>0</v>
      </c>
      <c r="AB14" s="33">
        <f t="shared" si="3"/>
        <v>0</v>
      </c>
    </row>
    <row r="15" spans="1:28" x14ac:dyDescent="0.35">
      <c r="A15" s="32"/>
      <c r="B15" s="32"/>
      <c r="C15" s="32"/>
      <c r="D15" s="32"/>
      <c r="E15" s="32"/>
      <c r="F15" s="32"/>
      <c r="G15" s="2">
        <f t="shared" si="4"/>
        <v>0</v>
      </c>
      <c r="H15" s="32"/>
      <c r="I15" s="98">
        <f t="shared" si="5"/>
        <v>0</v>
      </c>
      <c r="J15" s="32"/>
      <c r="K15" s="104"/>
      <c r="L15" s="104"/>
      <c r="M15" s="50"/>
      <c r="N15" s="53"/>
      <c r="O15" s="33">
        <f t="shared" si="15"/>
        <v>0</v>
      </c>
      <c r="P15" s="33">
        <f t="shared" si="16"/>
        <v>0</v>
      </c>
      <c r="Q15" s="33">
        <f t="shared" si="8"/>
        <v>0</v>
      </c>
      <c r="R15" s="33">
        <f t="shared" si="9"/>
        <v>0</v>
      </c>
      <c r="T15" s="54">
        <f t="shared" si="0"/>
        <v>0</v>
      </c>
      <c r="U15" s="54">
        <f t="shared" si="12"/>
        <v>0</v>
      </c>
      <c r="V15" s="54">
        <f t="shared" si="1"/>
        <v>0</v>
      </c>
      <c r="X15" s="33">
        <f t="shared" si="10"/>
        <v>0</v>
      </c>
      <c r="Y15" s="33">
        <f t="shared" si="11"/>
        <v>0</v>
      </c>
      <c r="AA15" s="33">
        <f t="shared" si="2"/>
        <v>0</v>
      </c>
      <c r="AB15" s="33">
        <f t="shared" si="3"/>
        <v>0</v>
      </c>
    </row>
    <row r="16" spans="1:28" x14ac:dyDescent="0.35">
      <c r="A16" s="32"/>
      <c r="B16" s="32"/>
      <c r="C16" s="32"/>
      <c r="D16" s="32"/>
      <c r="E16" s="32"/>
      <c r="F16" s="32"/>
      <c r="G16" s="2">
        <f t="shared" si="4"/>
        <v>0</v>
      </c>
      <c r="H16" s="32"/>
      <c r="I16" s="98">
        <f t="shared" si="5"/>
        <v>0</v>
      </c>
      <c r="J16" s="32"/>
      <c r="K16" s="104"/>
      <c r="L16" s="104"/>
      <c r="M16" s="50"/>
      <c r="N16" s="53"/>
      <c r="O16" s="33">
        <f t="shared" si="15"/>
        <v>0</v>
      </c>
      <c r="P16" s="33">
        <f t="shared" si="16"/>
        <v>0</v>
      </c>
      <c r="Q16" s="33">
        <f t="shared" si="8"/>
        <v>0</v>
      </c>
      <c r="R16" s="33">
        <f t="shared" si="9"/>
        <v>0</v>
      </c>
      <c r="T16" s="54">
        <f t="shared" si="0"/>
        <v>0</v>
      </c>
      <c r="U16" s="54">
        <f t="shared" si="12"/>
        <v>0</v>
      </c>
      <c r="V16" s="54">
        <f t="shared" si="1"/>
        <v>0</v>
      </c>
      <c r="X16" s="33">
        <f t="shared" si="10"/>
        <v>0</v>
      </c>
      <c r="Y16" s="33">
        <f t="shared" si="11"/>
        <v>0</v>
      </c>
      <c r="AA16" s="33">
        <f t="shared" si="2"/>
        <v>0</v>
      </c>
      <c r="AB16" s="33">
        <f t="shared" si="3"/>
        <v>0</v>
      </c>
    </row>
    <row r="17" spans="1:28" x14ac:dyDescent="0.35">
      <c r="A17" s="32"/>
      <c r="B17" s="32"/>
      <c r="C17" s="32"/>
      <c r="D17" s="32"/>
      <c r="E17" s="32"/>
      <c r="F17" s="32"/>
      <c r="G17" s="2">
        <f t="shared" si="4"/>
        <v>0</v>
      </c>
      <c r="H17" s="32"/>
      <c r="I17" s="98">
        <f t="shared" si="5"/>
        <v>0</v>
      </c>
      <c r="J17" s="32"/>
      <c r="K17" s="104"/>
      <c r="L17" s="104"/>
      <c r="M17" s="50"/>
      <c r="N17" s="53"/>
      <c r="O17" s="33">
        <f t="shared" si="15"/>
        <v>0</v>
      </c>
      <c r="P17" s="33">
        <f t="shared" si="16"/>
        <v>0</v>
      </c>
      <c r="Q17" s="33">
        <f t="shared" si="8"/>
        <v>0</v>
      </c>
      <c r="R17" s="33">
        <f t="shared" si="9"/>
        <v>0</v>
      </c>
      <c r="T17" s="54">
        <f t="shared" si="0"/>
        <v>0</v>
      </c>
      <c r="U17" s="54">
        <f t="shared" si="12"/>
        <v>0</v>
      </c>
      <c r="V17" s="54">
        <f t="shared" si="1"/>
        <v>0</v>
      </c>
      <c r="X17" s="33">
        <f t="shared" si="10"/>
        <v>0</v>
      </c>
      <c r="Y17" s="33">
        <f t="shared" si="11"/>
        <v>0</v>
      </c>
      <c r="AA17" s="33">
        <f t="shared" si="2"/>
        <v>0</v>
      </c>
      <c r="AB17" s="33">
        <f t="shared" si="3"/>
        <v>0</v>
      </c>
    </row>
    <row r="18" spans="1:28" x14ac:dyDescent="0.35">
      <c r="A18" s="32"/>
      <c r="B18" s="32"/>
      <c r="C18" s="32"/>
      <c r="D18" s="32"/>
      <c r="E18" s="32"/>
      <c r="F18" s="32"/>
      <c r="G18" s="2">
        <f t="shared" si="4"/>
        <v>0</v>
      </c>
      <c r="H18" s="32"/>
      <c r="I18" s="98">
        <f t="shared" si="5"/>
        <v>0</v>
      </c>
      <c r="J18" s="32"/>
      <c r="K18" s="104"/>
      <c r="L18" s="104"/>
      <c r="M18" s="50"/>
      <c r="N18" s="53"/>
      <c r="O18" s="33">
        <f t="shared" si="15"/>
        <v>0</v>
      </c>
      <c r="P18" s="33">
        <f t="shared" si="16"/>
        <v>0</v>
      </c>
      <c r="Q18" s="33">
        <f t="shared" si="8"/>
        <v>0</v>
      </c>
      <c r="R18" s="33">
        <f t="shared" si="9"/>
        <v>0</v>
      </c>
      <c r="T18" s="54">
        <f t="shared" si="0"/>
        <v>0</v>
      </c>
      <c r="U18" s="54">
        <f t="shared" si="12"/>
        <v>0</v>
      </c>
      <c r="V18" s="54">
        <f t="shared" si="1"/>
        <v>0</v>
      </c>
      <c r="X18" s="33">
        <f t="shared" si="10"/>
        <v>0</v>
      </c>
      <c r="Y18" s="33">
        <f t="shared" si="11"/>
        <v>0</v>
      </c>
      <c r="AA18" s="33">
        <f t="shared" si="2"/>
        <v>0</v>
      </c>
      <c r="AB18" s="33">
        <f t="shared" si="3"/>
        <v>0</v>
      </c>
    </row>
    <row r="19" spans="1:28" x14ac:dyDescent="0.35">
      <c r="A19" s="32"/>
      <c r="B19" s="32"/>
      <c r="C19" s="32"/>
      <c r="D19" s="32"/>
      <c r="E19" s="32"/>
      <c r="F19" s="32"/>
      <c r="G19" s="2">
        <f t="shared" si="4"/>
        <v>0</v>
      </c>
      <c r="H19" s="32"/>
      <c r="I19" s="98">
        <f t="shared" si="5"/>
        <v>0</v>
      </c>
      <c r="J19" s="32"/>
      <c r="K19" s="104"/>
      <c r="L19" s="104"/>
      <c r="M19" s="50"/>
      <c r="N19" s="53"/>
      <c r="O19" s="33">
        <f>IF(M19&gt;3, 3, M19)</f>
        <v>0</v>
      </c>
      <c r="P19" s="33">
        <f>IF(M19&gt;4.5,4.5,MAX(0,M19-3))</f>
        <v>0</v>
      </c>
      <c r="Q19" s="33">
        <f t="shared" si="8"/>
        <v>0</v>
      </c>
      <c r="R19" s="33">
        <f t="shared" si="9"/>
        <v>0</v>
      </c>
      <c r="T19" s="54">
        <f t="shared" si="0"/>
        <v>0</v>
      </c>
      <c r="U19" s="54">
        <f t="shared" si="12"/>
        <v>0</v>
      </c>
      <c r="V19" s="54">
        <f t="shared" si="1"/>
        <v>0</v>
      </c>
      <c r="X19" s="33">
        <f t="shared" si="10"/>
        <v>0</v>
      </c>
      <c r="Y19" s="33">
        <f t="shared" si="11"/>
        <v>0</v>
      </c>
      <c r="AA19" s="33">
        <f t="shared" si="2"/>
        <v>0</v>
      </c>
      <c r="AB19" s="33">
        <f t="shared" si="3"/>
        <v>0</v>
      </c>
    </row>
    <row r="20" spans="1:28" x14ac:dyDescent="0.35">
      <c r="A20" s="32"/>
      <c r="B20" s="32"/>
      <c r="C20" s="32"/>
      <c r="D20" s="32"/>
      <c r="E20" s="32"/>
      <c r="F20" s="32"/>
      <c r="G20" s="2">
        <f t="shared" si="4"/>
        <v>0</v>
      </c>
      <c r="H20" s="32"/>
      <c r="I20" s="98">
        <f t="shared" si="5"/>
        <v>0</v>
      </c>
      <c r="J20" s="32"/>
      <c r="K20" s="104"/>
      <c r="L20" s="104"/>
      <c r="M20" s="50"/>
      <c r="N20" s="53"/>
      <c r="O20" s="33">
        <f t="shared" ref="O20:O28" si="17">IF(M20&gt;3, 3, M20)</f>
        <v>0</v>
      </c>
      <c r="P20" s="33">
        <f t="shared" ref="P20:P28" si="18">IF(M20&gt;4.5,4.5,MAX(0,M20-3))</f>
        <v>0</v>
      </c>
      <c r="Q20" s="33">
        <f t="shared" si="8"/>
        <v>0</v>
      </c>
      <c r="R20" s="33">
        <f t="shared" si="9"/>
        <v>0</v>
      </c>
      <c r="T20" s="54">
        <f t="shared" si="0"/>
        <v>0</v>
      </c>
      <c r="U20" s="54">
        <f t="shared" si="12"/>
        <v>0</v>
      </c>
      <c r="V20" s="54">
        <f t="shared" si="1"/>
        <v>0</v>
      </c>
      <c r="X20" s="33">
        <f t="shared" si="10"/>
        <v>0</v>
      </c>
      <c r="Y20" s="33">
        <f t="shared" si="11"/>
        <v>0</v>
      </c>
      <c r="AA20" s="33">
        <f t="shared" si="2"/>
        <v>0</v>
      </c>
      <c r="AB20" s="33">
        <f t="shared" si="3"/>
        <v>0</v>
      </c>
    </row>
    <row r="21" spans="1:28" x14ac:dyDescent="0.35">
      <c r="A21" s="32"/>
      <c r="B21" s="32"/>
      <c r="C21" s="32"/>
      <c r="D21" s="32"/>
      <c r="E21" s="32"/>
      <c r="F21" s="32"/>
      <c r="G21" s="2">
        <f t="shared" si="4"/>
        <v>0</v>
      </c>
      <c r="H21" s="32"/>
      <c r="I21" s="98">
        <f t="shared" si="5"/>
        <v>0</v>
      </c>
      <c r="J21" s="32"/>
      <c r="K21" s="104"/>
      <c r="L21" s="104"/>
      <c r="M21" s="50"/>
      <c r="N21" s="53"/>
      <c r="O21" s="33">
        <f t="shared" si="17"/>
        <v>0</v>
      </c>
      <c r="P21" s="33">
        <f t="shared" si="18"/>
        <v>0</v>
      </c>
      <c r="Q21" s="33">
        <f t="shared" si="8"/>
        <v>0</v>
      </c>
      <c r="R21" s="33">
        <f t="shared" si="9"/>
        <v>0</v>
      </c>
      <c r="T21" s="54">
        <f t="shared" si="0"/>
        <v>0</v>
      </c>
      <c r="U21" s="54">
        <f t="shared" si="12"/>
        <v>0</v>
      </c>
      <c r="V21" s="54">
        <f t="shared" si="1"/>
        <v>0</v>
      </c>
      <c r="X21" s="33">
        <f t="shared" si="10"/>
        <v>0</v>
      </c>
      <c r="Y21" s="33">
        <f t="shared" si="11"/>
        <v>0</v>
      </c>
      <c r="AA21" s="33">
        <f t="shared" si="2"/>
        <v>0</v>
      </c>
      <c r="AB21" s="33">
        <f t="shared" si="3"/>
        <v>0</v>
      </c>
    </row>
    <row r="22" spans="1:28" x14ac:dyDescent="0.35">
      <c r="A22" s="32"/>
      <c r="B22" s="32"/>
      <c r="C22" s="32"/>
      <c r="D22" s="32"/>
      <c r="E22" s="32"/>
      <c r="F22" s="32"/>
      <c r="G22" s="2">
        <f t="shared" si="4"/>
        <v>0</v>
      </c>
      <c r="H22" s="32"/>
      <c r="I22" s="98">
        <f t="shared" si="5"/>
        <v>0</v>
      </c>
      <c r="J22" s="32"/>
      <c r="K22" s="104"/>
      <c r="L22" s="104"/>
      <c r="M22" s="50"/>
      <c r="N22" s="53"/>
      <c r="O22" s="33">
        <f t="shared" si="17"/>
        <v>0</v>
      </c>
      <c r="P22" s="33">
        <f t="shared" si="18"/>
        <v>0</v>
      </c>
      <c r="Q22" s="33">
        <f t="shared" si="8"/>
        <v>0</v>
      </c>
      <c r="R22" s="33">
        <f t="shared" si="9"/>
        <v>0</v>
      </c>
      <c r="T22" s="54">
        <f t="shared" si="0"/>
        <v>0</v>
      </c>
      <c r="U22" s="54">
        <f t="shared" si="12"/>
        <v>0</v>
      </c>
      <c r="V22" s="54">
        <f t="shared" si="1"/>
        <v>0</v>
      </c>
      <c r="X22" s="33">
        <f t="shared" si="10"/>
        <v>0</v>
      </c>
      <c r="Y22" s="33">
        <f t="shared" si="11"/>
        <v>0</v>
      </c>
      <c r="AA22" s="33">
        <f t="shared" si="2"/>
        <v>0</v>
      </c>
      <c r="AB22" s="33">
        <f t="shared" si="3"/>
        <v>0</v>
      </c>
    </row>
    <row r="23" spans="1:28" x14ac:dyDescent="0.35">
      <c r="A23" s="32"/>
      <c r="B23" s="32"/>
      <c r="C23" s="32"/>
      <c r="D23" s="32"/>
      <c r="E23" s="32"/>
      <c r="F23" s="32"/>
      <c r="G23" s="2">
        <f t="shared" si="4"/>
        <v>0</v>
      </c>
      <c r="H23" s="32"/>
      <c r="I23" s="98">
        <f t="shared" si="5"/>
        <v>0</v>
      </c>
      <c r="J23" s="32"/>
      <c r="K23" s="104"/>
      <c r="L23" s="104"/>
      <c r="M23" s="50"/>
      <c r="N23" s="53"/>
      <c r="O23" s="33">
        <f t="shared" si="17"/>
        <v>0</v>
      </c>
      <c r="P23" s="33">
        <f t="shared" si="18"/>
        <v>0</v>
      </c>
      <c r="Q23" s="33">
        <f t="shared" si="8"/>
        <v>0</v>
      </c>
      <c r="R23" s="33">
        <f t="shared" si="9"/>
        <v>0</v>
      </c>
      <c r="T23" s="54">
        <f t="shared" si="0"/>
        <v>0</v>
      </c>
      <c r="U23" s="54">
        <f t="shared" si="12"/>
        <v>0</v>
      </c>
      <c r="V23" s="54">
        <f t="shared" si="1"/>
        <v>0</v>
      </c>
      <c r="X23" s="33">
        <f t="shared" si="10"/>
        <v>0</v>
      </c>
      <c r="Y23" s="33">
        <f t="shared" si="11"/>
        <v>0</v>
      </c>
      <c r="AA23" s="33">
        <f t="shared" si="2"/>
        <v>0</v>
      </c>
      <c r="AB23" s="33">
        <f t="shared" si="3"/>
        <v>0</v>
      </c>
    </row>
    <row r="24" spans="1:28" x14ac:dyDescent="0.35">
      <c r="A24" s="32"/>
      <c r="B24" s="32"/>
      <c r="C24" s="32"/>
      <c r="D24" s="32"/>
      <c r="E24" s="32"/>
      <c r="F24" s="32"/>
      <c r="G24" s="2">
        <f t="shared" si="4"/>
        <v>0</v>
      </c>
      <c r="H24" s="32"/>
      <c r="I24" s="98">
        <f t="shared" si="5"/>
        <v>0</v>
      </c>
      <c r="J24" s="32"/>
      <c r="K24" s="104"/>
      <c r="L24" s="104"/>
      <c r="M24" s="50"/>
      <c r="N24" s="53"/>
      <c r="O24" s="33">
        <f t="shared" si="17"/>
        <v>0</v>
      </c>
      <c r="P24" s="33">
        <f t="shared" si="18"/>
        <v>0</v>
      </c>
      <c r="Q24" s="33">
        <f t="shared" si="8"/>
        <v>0</v>
      </c>
      <c r="R24" s="33">
        <f t="shared" si="9"/>
        <v>0</v>
      </c>
      <c r="T24" s="54">
        <f t="shared" si="0"/>
        <v>0</v>
      </c>
      <c r="U24" s="54">
        <f t="shared" si="12"/>
        <v>0</v>
      </c>
      <c r="V24" s="54">
        <f t="shared" si="1"/>
        <v>0</v>
      </c>
      <c r="X24" s="33">
        <f t="shared" si="10"/>
        <v>0</v>
      </c>
      <c r="Y24" s="33">
        <f t="shared" si="11"/>
        <v>0</v>
      </c>
      <c r="AA24" s="33">
        <f t="shared" si="2"/>
        <v>0</v>
      </c>
      <c r="AB24" s="33">
        <f t="shared" si="3"/>
        <v>0</v>
      </c>
    </row>
    <row r="25" spans="1:28" x14ac:dyDescent="0.35">
      <c r="A25" s="32"/>
      <c r="B25" s="32"/>
      <c r="C25" s="32"/>
      <c r="D25" s="32"/>
      <c r="E25" s="32"/>
      <c r="F25" s="32"/>
      <c r="G25" s="2">
        <f t="shared" si="4"/>
        <v>0</v>
      </c>
      <c r="H25" s="32"/>
      <c r="I25" s="98">
        <f t="shared" si="5"/>
        <v>0</v>
      </c>
      <c r="J25" s="32"/>
      <c r="K25" s="104"/>
      <c r="L25" s="104"/>
      <c r="M25" s="50"/>
      <c r="N25" s="53"/>
      <c r="O25" s="33">
        <f t="shared" si="17"/>
        <v>0</v>
      </c>
      <c r="P25" s="33">
        <f t="shared" si="18"/>
        <v>0</v>
      </c>
      <c r="Q25" s="33">
        <f t="shared" si="8"/>
        <v>0</v>
      </c>
      <c r="R25" s="33">
        <f t="shared" si="9"/>
        <v>0</v>
      </c>
      <c r="T25" s="54">
        <f t="shared" si="0"/>
        <v>0</v>
      </c>
      <c r="U25" s="54">
        <f t="shared" si="12"/>
        <v>0</v>
      </c>
      <c r="V25" s="54">
        <f t="shared" si="1"/>
        <v>0</v>
      </c>
      <c r="X25" s="33">
        <f t="shared" si="10"/>
        <v>0</v>
      </c>
      <c r="Y25" s="33">
        <f t="shared" si="11"/>
        <v>0</v>
      </c>
      <c r="AA25" s="33">
        <f t="shared" si="2"/>
        <v>0</v>
      </c>
      <c r="AB25" s="33">
        <f t="shared" si="3"/>
        <v>0</v>
      </c>
    </row>
    <row r="26" spans="1:28" x14ac:dyDescent="0.35">
      <c r="A26" s="32"/>
      <c r="B26" s="32"/>
      <c r="C26" s="32"/>
      <c r="D26" s="32"/>
      <c r="E26" s="32"/>
      <c r="F26" s="32"/>
      <c r="G26" s="2">
        <f t="shared" si="4"/>
        <v>0</v>
      </c>
      <c r="H26" s="32"/>
      <c r="I26" s="98">
        <f t="shared" si="5"/>
        <v>0</v>
      </c>
      <c r="J26" s="32"/>
      <c r="K26" s="104"/>
      <c r="L26" s="104"/>
      <c r="M26" s="50"/>
      <c r="N26" s="53"/>
      <c r="O26" s="33">
        <f t="shared" si="17"/>
        <v>0</v>
      </c>
      <c r="P26" s="33">
        <f t="shared" si="18"/>
        <v>0</v>
      </c>
      <c r="Q26" s="33">
        <f t="shared" si="8"/>
        <v>0</v>
      </c>
      <c r="R26" s="33">
        <f t="shared" si="9"/>
        <v>0</v>
      </c>
      <c r="T26" s="54">
        <f t="shared" si="0"/>
        <v>0</v>
      </c>
      <c r="U26" s="54">
        <f t="shared" si="12"/>
        <v>0</v>
      </c>
      <c r="V26" s="54">
        <f t="shared" si="1"/>
        <v>0</v>
      </c>
      <c r="X26" s="33">
        <f t="shared" si="10"/>
        <v>0</v>
      </c>
      <c r="Y26" s="33">
        <f t="shared" si="11"/>
        <v>0</v>
      </c>
      <c r="AA26" s="33">
        <f t="shared" si="2"/>
        <v>0</v>
      </c>
      <c r="AB26" s="33">
        <f t="shared" si="3"/>
        <v>0</v>
      </c>
    </row>
    <row r="27" spans="1:28" x14ac:dyDescent="0.35">
      <c r="A27" s="32"/>
      <c r="B27" s="32"/>
      <c r="C27" s="32"/>
      <c r="D27" s="32"/>
      <c r="E27" s="32"/>
      <c r="F27" s="32"/>
      <c r="G27" s="2">
        <f t="shared" si="4"/>
        <v>0</v>
      </c>
      <c r="H27" s="32"/>
      <c r="I27" s="98">
        <f t="shared" si="5"/>
        <v>0</v>
      </c>
      <c r="J27" s="32"/>
      <c r="K27" s="104"/>
      <c r="L27" s="104"/>
      <c r="M27" s="50"/>
      <c r="N27" s="53"/>
      <c r="O27" s="33">
        <f t="shared" si="17"/>
        <v>0</v>
      </c>
      <c r="P27" s="33">
        <f t="shared" si="18"/>
        <v>0</v>
      </c>
      <c r="Q27" s="33">
        <f t="shared" si="8"/>
        <v>0</v>
      </c>
      <c r="R27" s="33">
        <f t="shared" si="9"/>
        <v>0</v>
      </c>
      <c r="T27" s="54">
        <f t="shared" si="0"/>
        <v>0</v>
      </c>
      <c r="U27" s="54">
        <f t="shared" si="12"/>
        <v>0</v>
      </c>
      <c r="V27" s="54">
        <f t="shared" si="1"/>
        <v>0</v>
      </c>
      <c r="X27" s="33">
        <f t="shared" si="10"/>
        <v>0</v>
      </c>
      <c r="Y27" s="33">
        <f t="shared" si="11"/>
        <v>0</v>
      </c>
      <c r="AA27" s="33">
        <f t="shared" si="2"/>
        <v>0</v>
      </c>
      <c r="AB27" s="33">
        <f t="shared" si="3"/>
        <v>0</v>
      </c>
    </row>
    <row r="28" spans="1:28" x14ac:dyDescent="0.35">
      <c r="A28" s="32"/>
      <c r="B28" s="32"/>
      <c r="C28" s="32"/>
      <c r="D28" s="32"/>
      <c r="E28" s="32"/>
      <c r="F28" s="32"/>
      <c r="G28" s="2">
        <f t="shared" si="4"/>
        <v>0</v>
      </c>
      <c r="H28" s="32"/>
      <c r="I28" s="98">
        <f t="shared" si="5"/>
        <v>0</v>
      </c>
      <c r="J28" s="32"/>
      <c r="K28" s="104"/>
      <c r="L28" s="104"/>
      <c r="M28" s="50"/>
      <c r="N28" s="53"/>
      <c r="O28" s="33">
        <f t="shared" si="17"/>
        <v>0</v>
      </c>
      <c r="P28" s="33">
        <f t="shared" si="18"/>
        <v>0</v>
      </c>
      <c r="Q28" s="33">
        <f t="shared" si="8"/>
        <v>0</v>
      </c>
      <c r="R28" s="33">
        <f t="shared" si="9"/>
        <v>0</v>
      </c>
      <c r="T28" s="54">
        <f t="shared" si="0"/>
        <v>0</v>
      </c>
      <c r="U28" s="54">
        <f t="shared" si="12"/>
        <v>0</v>
      </c>
      <c r="V28" s="54">
        <f t="shared" si="1"/>
        <v>0</v>
      </c>
      <c r="X28" s="33">
        <f t="shared" si="10"/>
        <v>0</v>
      </c>
      <c r="Y28" s="33">
        <f t="shared" si="11"/>
        <v>0</v>
      </c>
      <c r="AA28" s="33">
        <f t="shared" si="2"/>
        <v>0</v>
      </c>
      <c r="AB28" s="33">
        <f t="shared" si="3"/>
        <v>0</v>
      </c>
    </row>
    <row r="29" spans="1:28" x14ac:dyDescent="0.35">
      <c r="A29" s="32"/>
      <c r="B29" s="32"/>
      <c r="C29" s="32"/>
      <c r="D29" s="32"/>
      <c r="E29" s="32"/>
      <c r="F29" s="32"/>
      <c r="G29" s="2">
        <f t="shared" si="4"/>
        <v>0</v>
      </c>
      <c r="H29" s="32"/>
      <c r="I29" s="98">
        <f t="shared" si="5"/>
        <v>0</v>
      </c>
      <c r="J29" s="32"/>
      <c r="K29" s="104"/>
      <c r="L29" s="104"/>
      <c r="M29" s="50"/>
      <c r="N29" s="53"/>
      <c r="O29" s="33">
        <f>IF(M29&gt;3, 3, M29)</f>
        <v>0</v>
      </c>
      <c r="P29" s="33">
        <f>IF(M29&gt;4.5,4.5,MAX(0,M29-3))</f>
        <v>0</v>
      </c>
      <c r="Q29" s="33">
        <f t="shared" si="8"/>
        <v>0</v>
      </c>
      <c r="R29" s="33">
        <f t="shared" si="9"/>
        <v>0</v>
      </c>
      <c r="T29" s="54">
        <f t="shared" si="0"/>
        <v>0</v>
      </c>
      <c r="U29" s="54">
        <f t="shared" si="12"/>
        <v>0</v>
      </c>
      <c r="V29" s="54">
        <f t="shared" si="1"/>
        <v>0</v>
      </c>
      <c r="X29" s="33">
        <f t="shared" si="10"/>
        <v>0</v>
      </c>
      <c r="Y29" s="33">
        <f t="shared" si="11"/>
        <v>0</v>
      </c>
      <c r="AA29" s="33">
        <f t="shared" si="2"/>
        <v>0</v>
      </c>
      <c r="AB29" s="33">
        <f t="shared" si="3"/>
        <v>0</v>
      </c>
    </row>
    <row r="30" spans="1:28" x14ac:dyDescent="0.35">
      <c r="A30" s="32"/>
      <c r="B30" s="32"/>
      <c r="C30" s="32"/>
      <c r="D30" s="32"/>
      <c r="E30" s="32"/>
      <c r="F30" s="32"/>
      <c r="G30" s="2">
        <f t="shared" si="4"/>
        <v>0</v>
      </c>
      <c r="H30" s="32"/>
      <c r="I30" s="98">
        <f t="shared" si="5"/>
        <v>0</v>
      </c>
      <c r="J30" s="32"/>
      <c r="K30" s="104"/>
      <c r="L30" s="104"/>
      <c r="M30" s="50"/>
      <c r="N30" s="53"/>
      <c r="O30" s="33">
        <f t="shared" ref="O30:O34" si="19">IF(M30&gt;3, 3, M30)</f>
        <v>0</v>
      </c>
      <c r="P30" s="33">
        <f t="shared" ref="P30:P34" si="20">IF(M30&gt;4.5,4.5,MAX(0,M30-3))</f>
        <v>0</v>
      </c>
      <c r="Q30" s="33">
        <f t="shared" si="8"/>
        <v>0</v>
      </c>
      <c r="R30" s="33">
        <f t="shared" si="9"/>
        <v>0</v>
      </c>
      <c r="T30" s="54">
        <f t="shared" si="0"/>
        <v>0</v>
      </c>
      <c r="U30" s="54">
        <f t="shared" si="12"/>
        <v>0</v>
      </c>
      <c r="V30" s="54">
        <f t="shared" si="1"/>
        <v>0</v>
      </c>
      <c r="X30" s="33">
        <f t="shared" si="10"/>
        <v>0</v>
      </c>
      <c r="Y30" s="33">
        <f t="shared" si="11"/>
        <v>0</v>
      </c>
      <c r="AA30" s="33">
        <f t="shared" si="2"/>
        <v>0</v>
      </c>
      <c r="AB30" s="33">
        <f t="shared" si="3"/>
        <v>0</v>
      </c>
    </row>
    <row r="31" spans="1:28" x14ac:dyDescent="0.35">
      <c r="A31" s="32"/>
      <c r="B31" s="32"/>
      <c r="C31" s="32"/>
      <c r="D31" s="32"/>
      <c r="E31" s="32"/>
      <c r="F31" s="32"/>
      <c r="G31" s="2">
        <f t="shared" si="4"/>
        <v>0</v>
      </c>
      <c r="H31" s="32"/>
      <c r="I31" s="98">
        <f t="shared" si="5"/>
        <v>0</v>
      </c>
      <c r="J31" s="32"/>
      <c r="K31" s="104"/>
      <c r="L31" s="104"/>
      <c r="M31" s="50"/>
      <c r="N31" s="53"/>
      <c r="O31" s="33">
        <f t="shared" si="19"/>
        <v>0</v>
      </c>
      <c r="P31" s="33">
        <f t="shared" si="20"/>
        <v>0</v>
      </c>
      <c r="Q31" s="33">
        <f t="shared" si="8"/>
        <v>0</v>
      </c>
      <c r="R31" s="33">
        <f t="shared" si="9"/>
        <v>0</v>
      </c>
      <c r="T31" s="54">
        <f t="shared" si="0"/>
        <v>0</v>
      </c>
      <c r="U31" s="54">
        <f t="shared" si="12"/>
        <v>0</v>
      </c>
      <c r="V31" s="54">
        <f t="shared" si="1"/>
        <v>0</v>
      </c>
      <c r="X31" s="33">
        <f t="shared" si="10"/>
        <v>0</v>
      </c>
      <c r="Y31" s="33">
        <f t="shared" si="11"/>
        <v>0</v>
      </c>
      <c r="AA31" s="33">
        <f t="shared" si="2"/>
        <v>0</v>
      </c>
      <c r="AB31" s="33">
        <f t="shared" si="3"/>
        <v>0</v>
      </c>
    </row>
    <row r="32" spans="1:28" x14ac:dyDescent="0.35">
      <c r="A32" s="32"/>
      <c r="B32" s="32"/>
      <c r="C32" s="32"/>
      <c r="D32" s="32"/>
      <c r="E32" s="32"/>
      <c r="F32" s="32"/>
      <c r="G32" s="2">
        <f t="shared" ref="G32:G33" si="21">IF(H32&gt;0,1,0)</f>
        <v>0</v>
      </c>
      <c r="H32" s="32"/>
      <c r="I32" s="98">
        <f t="shared" ref="I32:I33" si="22">IF(M32&gt;0, 1, 0)</f>
        <v>0</v>
      </c>
      <c r="J32" s="32"/>
      <c r="K32" s="104"/>
      <c r="L32" s="104"/>
      <c r="M32" s="50"/>
      <c r="N32" s="53"/>
      <c r="O32" s="33">
        <f t="shared" si="19"/>
        <v>0</v>
      </c>
      <c r="P32" s="33">
        <f t="shared" si="20"/>
        <v>0</v>
      </c>
      <c r="Q32" s="33">
        <f t="shared" si="8"/>
        <v>0</v>
      </c>
      <c r="R32" s="33">
        <f t="shared" si="9"/>
        <v>0</v>
      </c>
      <c r="T32" s="54">
        <f t="shared" si="0"/>
        <v>0</v>
      </c>
      <c r="U32" s="54">
        <f t="shared" si="12"/>
        <v>0</v>
      </c>
      <c r="V32" s="54">
        <f t="shared" si="1"/>
        <v>0</v>
      </c>
      <c r="X32" s="33">
        <f t="shared" si="10"/>
        <v>0</v>
      </c>
      <c r="Y32" s="33">
        <f t="shared" si="11"/>
        <v>0</v>
      </c>
      <c r="AA32" s="33">
        <f t="shared" si="2"/>
        <v>0</v>
      </c>
      <c r="AB32" s="33">
        <f t="shared" si="3"/>
        <v>0</v>
      </c>
    </row>
    <row r="33" spans="1:28" x14ac:dyDescent="0.35">
      <c r="A33" s="32"/>
      <c r="B33" s="32"/>
      <c r="C33" s="32"/>
      <c r="D33" s="32"/>
      <c r="E33" s="32"/>
      <c r="F33" s="32"/>
      <c r="G33" s="2">
        <f t="shared" si="21"/>
        <v>0</v>
      </c>
      <c r="H33" s="32"/>
      <c r="I33" s="98">
        <f t="shared" si="22"/>
        <v>0</v>
      </c>
      <c r="J33" s="32"/>
      <c r="K33" s="104"/>
      <c r="L33" s="104"/>
      <c r="M33" s="50"/>
      <c r="N33" s="53"/>
      <c r="O33" s="33">
        <f t="shared" si="19"/>
        <v>0</v>
      </c>
      <c r="P33" s="33">
        <f t="shared" si="20"/>
        <v>0</v>
      </c>
      <c r="Q33" s="33">
        <f t="shared" si="8"/>
        <v>0</v>
      </c>
      <c r="R33" s="33">
        <f t="shared" si="9"/>
        <v>0</v>
      </c>
      <c r="T33" s="54">
        <f t="shared" si="0"/>
        <v>0</v>
      </c>
      <c r="U33" s="54">
        <f t="shared" si="12"/>
        <v>0</v>
      </c>
      <c r="V33" s="54">
        <f t="shared" si="1"/>
        <v>0</v>
      </c>
      <c r="X33" s="33">
        <f t="shared" si="10"/>
        <v>0</v>
      </c>
      <c r="Y33" s="33">
        <f t="shared" si="11"/>
        <v>0</v>
      </c>
      <c r="AA33" s="33">
        <f t="shared" si="2"/>
        <v>0</v>
      </c>
      <c r="AB33" s="33">
        <f t="shared" si="3"/>
        <v>0</v>
      </c>
    </row>
    <row r="34" spans="1:28" x14ac:dyDescent="0.35">
      <c r="A34" s="32"/>
      <c r="B34" s="32"/>
      <c r="C34" s="32"/>
      <c r="D34" s="32"/>
      <c r="E34" s="32"/>
      <c r="F34" s="32"/>
      <c r="G34" s="2">
        <f t="shared" ref="G34:G35" si="23">IF(H34&gt;0,1,0)</f>
        <v>0</v>
      </c>
      <c r="H34" s="32"/>
      <c r="I34" s="98">
        <f t="shared" ref="I34:I35" si="24">IF(M34&gt;0, 1, 0)</f>
        <v>0</v>
      </c>
      <c r="J34" s="32"/>
      <c r="K34" s="104"/>
      <c r="L34" s="104"/>
      <c r="M34" s="50"/>
      <c r="N34" s="53"/>
      <c r="O34" s="33">
        <f t="shared" si="19"/>
        <v>0</v>
      </c>
      <c r="P34" s="33">
        <f t="shared" si="20"/>
        <v>0</v>
      </c>
      <c r="Q34" s="33">
        <f t="shared" si="8"/>
        <v>0</v>
      </c>
      <c r="R34" s="33">
        <f t="shared" si="9"/>
        <v>0</v>
      </c>
      <c r="T34" s="54">
        <f t="shared" ref="T34:T91" si="25">(2*K34)+(2*L34)</f>
        <v>0</v>
      </c>
      <c r="U34" s="54">
        <f t="shared" si="12"/>
        <v>0</v>
      </c>
      <c r="V34" s="54">
        <f t="shared" ref="V34:V91" si="26">K34*L34*N34</f>
        <v>0</v>
      </c>
      <c r="X34" s="33">
        <f t="shared" si="10"/>
        <v>0</v>
      </c>
      <c r="Y34" s="33">
        <f t="shared" si="11"/>
        <v>0</v>
      </c>
      <c r="AA34" s="33">
        <f t="shared" ref="AA34:AA91" si="27">IF(F34="RURAL",(K34+0.2)*(L34+0.2),0)</f>
        <v>0</v>
      </c>
      <c r="AB34" s="33">
        <f t="shared" ref="AB34:AB91" si="28">IF(F34="NATIONAL",K34*L34,0)</f>
        <v>0</v>
      </c>
    </row>
    <row r="35" spans="1:28" x14ac:dyDescent="0.35">
      <c r="A35" s="32"/>
      <c r="B35" s="32"/>
      <c r="C35" s="32"/>
      <c r="D35" s="32"/>
      <c r="E35" s="32"/>
      <c r="F35" s="32"/>
      <c r="G35" s="2">
        <f t="shared" si="23"/>
        <v>0</v>
      </c>
      <c r="H35" s="32"/>
      <c r="I35" s="98">
        <f t="shared" si="24"/>
        <v>0</v>
      </c>
      <c r="J35" s="32"/>
      <c r="K35" s="104"/>
      <c r="L35" s="104"/>
      <c r="M35" s="50"/>
      <c r="N35" s="53"/>
      <c r="O35" s="33">
        <f>IF(M35&gt;3, 3, M35)</f>
        <v>0</v>
      </c>
      <c r="P35" s="33">
        <f>IF(M35&gt;4.5,4.5,MAX(0,M35-3))</f>
        <v>0</v>
      </c>
      <c r="Q35" s="33">
        <f t="shared" si="8"/>
        <v>0</v>
      </c>
      <c r="R35" s="33">
        <f t="shared" si="9"/>
        <v>0</v>
      </c>
      <c r="T35" s="54">
        <f t="shared" si="25"/>
        <v>0</v>
      </c>
      <c r="U35" s="54">
        <f t="shared" si="12"/>
        <v>0</v>
      </c>
      <c r="V35" s="54">
        <f t="shared" si="26"/>
        <v>0</v>
      </c>
      <c r="X35" s="33">
        <f t="shared" si="10"/>
        <v>0</v>
      </c>
      <c r="Y35" s="33">
        <f t="shared" si="11"/>
        <v>0</v>
      </c>
      <c r="AA35" s="33">
        <f t="shared" si="27"/>
        <v>0</v>
      </c>
      <c r="AB35" s="33">
        <f t="shared" si="28"/>
        <v>0</v>
      </c>
    </row>
    <row r="36" spans="1:28" x14ac:dyDescent="0.35">
      <c r="A36" s="32"/>
      <c r="B36" s="32"/>
      <c r="C36" s="32"/>
      <c r="D36" s="32"/>
      <c r="E36" s="32"/>
      <c r="F36" s="32"/>
      <c r="G36" s="2">
        <f>IF(H36&gt;0,1,0)</f>
        <v>0</v>
      </c>
      <c r="H36" s="32"/>
      <c r="I36" s="98">
        <f>IF(M36&gt;0, 1, 0)</f>
        <v>0</v>
      </c>
      <c r="J36" s="32"/>
      <c r="K36" s="104"/>
      <c r="L36" s="104"/>
      <c r="M36" s="50"/>
      <c r="N36" s="53"/>
      <c r="O36" s="33">
        <f>IF(M36&gt;3, 3, M36)</f>
        <v>0</v>
      </c>
      <c r="P36" s="33">
        <f>IF(M36&gt;4.5,4.5,MAX(0,M36-3))</f>
        <v>0</v>
      </c>
      <c r="Q36" s="103">
        <f>IF(M36&gt;1.2, 1.2, M36)</f>
        <v>0</v>
      </c>
      <c r="R36" s="33">
        <f>IF(M36&gt;3,1.8,MAX(0,M36-1.2))</f>
        <v>0</v>
      </c>
      <c r="T36" s="54">
        <f t="shared" si="25"/>
        <v>0</v>
      </c>
      <c r="U36" s="54">
        <f>K36*L36</f>
        <v>0</v>
      </c>
      <c r="V36" s="54">
        <f t="shared" si="26"/>
        <v>0</v>
      </c>
      <c r="X36" s="33">
        <f>IF(F36="RURAL",K36*L36*(M36-0.1),0)</f>
        <v>0</v>
      </c>
      <c r="Y36" s="33">
        <f>IF(F36="NATIONAL",(M36-0.45)*K36*L36,0)</f>
        <v>0</v>
      </c>
      <c r="AA36" s="33">
        <f t="shared" si="27"/>
        <v>0</v>
      </c>
      <c r="AB36" s="33">
        <f t="shared" si="28"/>
        <v>0</v>
      </c>
    </row>
    <row r="37" spans="1:28" x14ac:dyDescent="0.35">
      <c r="A37" s="32"/>
      <c r="B37" s="32"/>
      <c r="C37" s="32"/>
      <c r="D37" s="32"/>
      <c r="E37" s="32"/>
      <c r="F37" s="32"/>
      <c r="G37" s="2">
        <f t="shared" ref="G37:G68" si="29">IF(H37&gt;0,1,0)</f>
        <v>0</v>
      </c>
      <c r="H37" s="32"/>
      <c r="I37" s="98">
        <f t="shared" ref="I37:I68" si="30">IF(M37&gt;0, 1, 0)</f>
        <v>0</v>
      </c>
      <c r="J37" s="32"/>
      <c r="K37" s="104"/>
      <c r="L37" s="104"/>
      <c r="M37" s="50"/>
      <c r="N37" s="53"/>
      <c r="O37" s="33">
        <f t="shared" ref="O37:O45" si="31">IF(M37&gt;3, 3, M37)</f>
        <v>0</v>
      </c>
      <c r="P37" s="33">
        <f t="shared" ref="P37:P45" si="32">IF(M37&gt;4.5,4.5,MAX(0,M37-3))</f>
        <v>0</v>
      </c>
      <c r="Q37" s="33">
        <f t="shared" ref="Q37:Q68" si="33">IF(M37&gt;1.2, 1.2, M37)</f>
        <v>0</v>
      </c>
      <c r="R37" s="33">
        <f t="shared" ref="R37:R68" si="34">IF(M37&gt;3,1.8,MAX(0,M37-1.2))</f>
        <v>0</v>
      </c>
      <c r="T37" s="54">
        <f t="shared" si="25"/>
        <v>0</v>
      </c>
      <c r="U37" s="54">
        <f>K37*L37</f>
        <v>0</v>
      </c>
      <c r="V37" s="54">
        <f t="shared" si="26"/>
        <v>0</v>
      </c>
      <c r="X37" s="33">
        <f t="shared" ref="X37:X68" si="35">IF(F37="RURAL",K37*L37*(M37-0.1),0)</f>
        <v>0</v>
      </c>
      <c r="Y37" s="33">
        <f t="shared" ref="Y37:Y68" si="36">IF(F37="NATIONAL",(M37-0.45)*K37*L37,0)</f>
        <v>0</v>
      </c>
      <c r="AA37" s="33">
        <f t="shared" si="27"/>
        <v>0</v>
      </c>
      <c r="AB37" s="33">
        <f t="shared" si="28"/>
        <v>0</v>
      </c>
    </row>
    <row r="38" spans="1:28" x14ac:dyDescent="0.35">
      <c r="A38" s="32"/>
      <c r="B38" s="32"/>
      <c r="C38" s="32"/>
      <c r="D38" s="32"/>
      <c r="E38" s="32"/>
      <c r="F38" s="32"/>
      <c r="G38" s="2">
        <f t="shared" si="29"/>
        <v>0</v>
      </c>
      <c r="H38" s="32"/>
      <c r="I38" s="98">
        <f t="shared" si="30"/>
        <v>0</v>
      </c>
      <c r="J38" s="32"/>
      <c r="K38" s="104"/>
      <c r="L38" s="104"/>
      <c r="M38" s="50"/>
      <c r="N38" s="53"/>
      <c r="O38" s="33">
        <f t="shared" si="31"/>
        <v>0</v>
      </c>
      <c r="P38" s="33">
        <f t="shared" si="32"/>
        <v>0</v>
      </c>
      <c r="Q38" s="33">
        <f t="shared" si="33"/>
        <v>0</v>
      </c>
      <c r="R38" s="33">
        <f t="shared" si="34"/>
        <v>0</v>
      </c>
      <c r="T38" s="54">
        <f t="shared" si="25"/>
        <v>0</v>
      </c>
      <c r="U38" s="54">
        <f t="shared" ref="U38:U68" si="37">K38*L38</f>
        <v>0</v>
      </c>
      <c r="V38" s="54">
        <f t="shared" si="26"/>
        <v>0</v>
      </c>
      <c r="X38" s="33">
        <f t="shared" si="35"/>
        <v>0</v>
      </c>
      <c r="Y38" s="33">
        <f t="shared" si="36"/>
        <v>0</v>
      </c>
      <c r="AA38" s="33">
        <f t="shared" si="27"/>
        <v>0</v>
      </c>
      <c r="AB38" s="33">
        <f t="shared" si="28"/>
        <v>0</v>
      </c>
    </row>
    <row r="39" spans="1:28" x14ac:dyDescent="0.35">
      <c r="A39" s="32"/>
      <c r="B39" s="32"/>
      <c r="C39" s="32"/>
      <c r="D39" s="32"/>
      <c r="E39" s="32"/>
      <c r="F39" s="32"/>
      <c r="G39" s="2">
        <f t="shared" si="29"/>
        <v>0</v>
      </c>
      <c r="H39" s="32"/>
      <c r="I39" s="98">
        <f t="shared" si="30"/>
        <v>0</v>
      </c>
      <c r="J39" s="32"/>
      <c r="K39" s="104"/>
      <c r="L39" s="104"/>
      <c r="M39" s="50"/>
      <c r="N39" s="53"/>
      <c r="O39" s="33">
        <f t="shared" si="31"/>
        <v>0</v>
      </c>
      <c r="P39" s="33">
        <f t="shared" si="32"/>
        <v>0</v>
      </c>
      <c r="Q39" s="33">
        <f t="shared" si="33"/>
        <v>0</v>
      </c>
      <c r="R39" s="33">
        <f t="shared" si="34"/>
        <v>0</v>
      </c>
      <c r="T39" s="54">
        <f t="shared" si="25"/>
        <v>0</v>
      </c>
      <c r="U39" s="54">
        <f t="shared" si="37"/>
        <v>0</v>
      </c>
      <c r="V39" s="54">
        <f t="shared" si="26"/>
        <v>0</v>
      </c>
      <c r="W39" t="s">
        <v>213</v>
      </c>
      <c r="X39" s="33">
        <f t="shared" si="35"/>
        <v>0</v>
      </c>
      <c r="Y39" s="33">
        <f t="shared" si="36"/>
        <v>0</v>
      </c>
      <c r="AA39" s="33">
        <f t="shared" si="27"/>
        <v>0</v>
      </c>
      <c r="AB39" s="33">
        <f t="shared" si="28"/>
        <v>0</v>
      </c>
    </row>
    <row r="40" spans="1:28" x14ac:dyDescent="0.35">
      <c r="A40" s="32"/>
      <c r="B40" s="32"/>
      <c r="C40" s="32"/>
      <c r="D40" s="32"/>
      <c r="E40" s="32"/>
      <c r="F40" s="32"/>
      <c r="G40" s="2">
        <f t="shared" si="29"/>
        <v>0</v>
      </c>
      <c r="H40" s="32"/>
      <c r="I40" s="98">
        <f t="shared" si="30"/>
        <v>0</v>
      </c>
      <c r="J40" s="32"/>
      <c r="K40" s="104"/>
      <c r="L40" s="104"/>
      <c r="M40" s="50"/>
      <c r="N40" s="53"/>
      <c r="O40" s="33">
        <f t="shared" si="31"/>
        <v>0</v>
      </c>
      <c r="P40" s="33">
        <f t="shared" si="32"/>
        <v>0</v>
      </c>
      <c r="Q40" s="33">
        <f t="shared" si="33"/>
        <v>0</v>
      </c>
      <c r="R40" s="33">
        <f t="shared" si="34"/>
        <v>0</v>
      </c>
      <c r="T40" s="54">
        <f t="shared" si="25"/>
        <v>0</v>
      </c>
      <c r="U40" s="54">
        <f t="shared" si="37"/>
        <v>0</v>
      </c>
      <c r="V40" s="54">
        <f t="shared" si="26"/>
        <v>0</v>
      </c>
      <c r="X40" s="33">
        <f t="shared" si="35"/>
        <v>0</v>
      </c>
      <c r="Y40" s="33">
        <f t="shared" si="36"/>
        <v>0</v>
      </c>
      <c r="AA40" s="33">
        <f t="shared" si="27"/>
        <v>0</v>
      </c>
      <c r="AB40" s="33">
        <f t="shared" si="28"/>
        <v>0</v>
      </c>
    </row>
    <row r="41" spans="1:28" x14ac:dyDescent="0.35">
      <c r="A41" s="32"/>
      <c r="B41" s="32"/>
      <c r="C41" s="32"/>
      <c r="D41" s="32"/>
      <c r="E41" s="32"/>
      <c r="F41" s="32"/>
      <c r="G41" s="2">
        <f t="shared" si="29"/>
        <v>0</v>
      </c>
      <c r="H41" s="32"/>
      <c r="I41" s="98">
        <f t="shared" si="30"/>
        <v>0</v>
      </c>
      <c r="J41" s="32"/>
      <c r="K41" s="104"/>
      <c r="L41" s="104"/>
      <c r="M41" s="50"/>
      <c r="N41" s="53"/>
      <c r="O41" s="33">
        <f t="shared" si="31"/>
        <v>0</v>
      </c>
      <c r="P41" s="33">
        <f t="shared" si="32"/>
        <v>0</v>
      </c>
      <c r="Q41" s="33">
        <f t="shared" si="33"/>
        <v>0</v>
      </c>
      <c r="R41" s="33">
        <f t="shared" si="34"/>
        <v>0</v>
      </c>
      <c r="T41" s="54">
        <f t="shared" si="25"/>
        <v>0</v>
      </c>
      <c r="U41" s="54">
        <f t="shared" si="37"/>
        <v>0</v>
      </c>
      <c r="V41" s="54">
        <f t="shared" si="26"/>
        <v>0</v>
      </c>
      <c r="X41" s="33">
        <f t="shared" si="35"/>
        <v>0</v>
      </c>
      <c r="Y41" s="33">
        <f t="shared" si="36"/>
        <v>0</v>
      </c>
      <c r="AA41" s="33">
        <f t="shared" si="27"/>
        <v>0</v>
      </c>
      <c r="AB41" s="33">
        <f t="shared" si="28"/>
        <v>0</v>
      </c>
    </row>
    <row r="42" spans="1:28" x14ac:dyDescent="0.35">
      <c r="A42" s="32"/>
      <c r="B42" s="32"/>
      <c r="C42" s="32"/>
      <c r="D42" s="32"/>
      <c r="E42" s="32"/>
      <c r="F42" s="32"/>
      <c r="G42" s="2">
        <f t="shared" si="29"/>
        <v>0</v>
      </c>
      <c r="H42" s="32"/>
      <c r="I42" s="98">
        <f t="shared" si="30"/>
        <v>0</v>
      </c>
      <c r="J42" s="32"/>
      <c r="K42" s="104"/>
      <c r="L42" s="104"/>
      <c r="M42" s="50"/>
      <c r="N42" s="53"/>
      <c r="O42" s="33">
        <f t="shared" si="31"/>
        <v>0</v>
      </c>
      <c r="P42" s="33">
        <f t="shared" si="32"/>
        <v>0</v>
      </c>
      <c r="Q42" s="33">
        <f t="shared" si="33"/>
        <v>0</v>
      </c>
      <c r="R42" s="33">
        <f t="shared" si="34"/>
        <v>0</v>
      </c>
      <c r="T42" s="54">
        <f t="shared" si="25"/>
        <v>0</v>
      </c>
      <c r="U42" s="54">
        <f t="shared" si="37"/>
        <v>0</v>
      </c>
      <c r="V42" s="54">
        <f t="shared" si="26"/>
        <v>0</v>
      </c>
      <c r="X42" s="33">
        <f t="shared" si="35"/>
        <v>0</v>
      </c>
      <c r="Y42" s="33">
        <f t="shared" si="36"/>
        <v>0</v>
      </c>
      <c r="AA42" s="33">
        <f t="shared" si="27"/>
        <v>0</v>
      </c>
      <c r="AB42" s="33">
        <f t="shared" si="28"/>
        <v>0</v>
      </c>
    </row>
    <row r="43" spans="1:28" x14ac:dyDescent="0.35">
      <c r="A43" s="32"/>
      <c r="B43" s="32"/>
      <c r="C43" s="32"/>
      <c r="D43" s="32"/>
      <c r="E43" s="32"/>
      <c r="F43" s="32"/>
      <c r="G43" s="2">
        <f t="shared" si="29"/>
        <v>0</v>
      </c>
      <c r="H43" s="32"/>
      <c r="I43" s="98">
        <f t="shared" si="30"/>
        <v>0</v>
      </c>
      <c r="J43" s="32"/>
      <c r="K43" s="104"/>
      <c r="L43" s="104"/>
      <c r="M43" s="50"/>
      <c r="N43" s="53"/>
      <c r="O43" s="33">
        <f t="shared" si="31"/>
        <v>0</v>
      </c>
      <c r="P43" s="33">
        <f t="shared" si="32"/>
        <v>0</v>
      </c>
      <c r="Q43" s="33">
        <f t="shared" si="33"/>
        <v>0</v>
      </c>
      <c r="R43" s="33">
        <f t="shared" si="34"/>
        <v>0</v>
      </c>
      <c r="T43" s="54">
        <f t="shared" si="25"/>
        <v>0</v>
      </c>
      <c r="U43" s="54">
        <f t="shared" si="37"/>
        <v>0</v>
      </c>
      <c r="V43" s="54">
        <f t="shared" si="26"/>
        <v>0</v>
      </c>
      <c r="X43" s="33">
        <f t="shared" si="35"/>
        <v>0</v>
      </c>
      <c r="Y43" s="33">
        <f t="shared" si="36"/>
        <v>0</v>
      </c>
      <c r="AA43" s="33">
        <f t="shared" si="27"/>
        <v>0</v>
      </c>
      <c r="AB43" s="33">
        <f t="shared" si="28"/>
        <v>0</v>
      </c>
    </row>
    <row r="44" spans="1:28" x14ac:dyDescent="0.35">
      <c r="A44" s="32"/>
      <c r="B44" s="32"/>
      <c r="C44" s="32"/>
      <c r="D44" s="32"/>
      <c r="E44" s="32"/>
      <c r="F44" s="32"/>
      <c r="G44" s="2">
        <f t="shared" si="29"/>
        <v>0</v>
      </c>
      <c r="H44" s="32"/>
      <c r="I44" s="98">
        <f t="shared" si="30"/>
        <v>0</v>
      </c>
      <c r="J44" s="32"/>
      <c r="K44" s="104"/>
      <c r="L44" s="104"/>
      <c r="M44" s="50"/>
      <c r="N44" s="53"/>
      <c r="O44" s="33">
        <f t="shared" si="31"/>
        <v>0</v>
      </c>
      <c r="P44" s="33">
        <f t="shared" si="32"/>
        <v>0</v>
      </c>
      <c r="Q44" s="33">
        <f t="shared" si="33"/>
        <v>0</v>
      </c>
      <c r="R44" s="33">
        <f t="shared" si="34"/>
        <v>0</v>
      </c>
      <c r="T44" s="54">
        <f t="shared" si="25"/>
        <v>0</v>
      </c>
      <c r="U44" s="54">
        <f t="shared" si="37"/>
        <v>0</v>
      </c>
      <c r="V44" s="54">
        <f t="shared" si="26"/>
        <v>0</v>
      </c>
      <c r="X44" s="33">
        <f t="shared" si="35"/>
        <v>0</v>
      </c>
      <c r="Y44" s="33">
        <f t="shared" si="36"/>
        <v>0</v>
      </c>
      <c r="AA44" s="33">
        <f t="shared" si="27"/>
        <v>0</v>
      </c>
      <c r="AB44" s="33">
        <f t="shared" si="28"/>
        <v>0</v>
      </c>
    </row>
    <row r="45" spans="1:28" x14ac:dyDescent="0.35">
      <c r="A45" s="32"/>
      <c r="B45" s="32"/>
      <c r="C45" s="32"/>
      <c r="D45" s="32"/>
      <c r="E45" s="32"/>
      <c r="F45" s="32"/>
      <c r="G45" s="2">
        <f t="shared" si="29"/>
        <v>0</v>
      </c>
      <c r="H45" s="32"/>
      <c r="I45" s="98">
        <f t="shared" si="30"/>
        <v>0</v>
      </c>
      <c r="J45" s="32"/>
      <c r="K45" s="104"/>
      <c r="L45" s="104"/>
      <c r="M45" s="50"/>
      <c r="N45" s="53"/>
      <c r="O45" s="33">
        <f t="shared" si="31"/>
        <v>0</v>
      </c>
      <c r="P45" s="33">
        <f t="shared" si="32"/>
        <v>0</v>
      </c>
      <c r="Q45" s="33">
        <f t="shared" si="33"/>
        <v>0</v>
      </c>
      <c r="R45" s="33">
        <f t="shared" si="34"/>
        <v>0</v>
      </c>
      <c r="T45" s="54">
        <f t="shared" si="25"/>
        <v>0</v>
      </c>
      <c r="U45" s="54">
        <f t="shared" si="37"/>
        <v>0</v>
      </c>
      <c r="V45" s="54">
        <f t="shared" si="26"/>
        <v>0</v>
      </c>
      <c r="X45" s="33">
        <f t="shared" si="35"/>
        <v>0</v>
      </c>
      <c r="Y45" s="33">
        <f t="shared" si="36"/>
        <v>0</v>
      </c>
      <c r="AA45" s="33">
        <f t="shared" si="27"/>
        <v>0</v>
      </c>
      <c r="AB45" s="33">
        <f t="shared" si="28"/>
        <v>0</v>
      </c>
    </row>
    <row r="46" spans="1:28" x14ac:dyDescent="0.35">
      <c r="A46" s="32"/>
      <c r="B46" s="32"/>
      <c r="C46" s="32"/>
      <c r="D46" s="32"/>
      <c r="E46" s="32"/>
      <c r="F46" s="32"/>
      <c r="G46" s="2">
        <f t="shared" si="29"/>
        <v>0</v>
      </c>
      <c r="H46" s="32"/>
      <c r="I46" s="98">
        <f t="shared" si="30"/>
        <v>0</v>
      </c>
      <c r="J46" s="32"/>
      <c r="K46" s="104"/>
      <c r="L46" s="104"/>
      <c r="M46" s="50"/>
      <c r="N46" s="53"/>
      <c r="O46" s="33">
        <f>IF(M46&gt;3, 3, M46)</f>
        <v>0</v>
      </c>
      <c r="P46" s="33">
        <f>IF(M46&gt;4.5,4.5,MAX(0,M46-3))</f>
        <v>0</v>
      </c>
      <c r="Q46" s="33">
        <f t="shared" si="33"/>
        <v>0</v>
      </c>
      <c r="R46" s="33">
        <f t="shared" si="34"/>
        <v>0</v>
      </c>
      <c r="T46" s="54">
        <f t="shared" si="25"/>
        <v>0</v>
      </c>
      <c r="U46" s="54">
        <f t="shared" si="37"/>
        <v>0</v>
      </c>
      <c r="V46" s="54">
        <f t="shared" si="26"/>
        <v>0</v>
      </c>
      <c r="X46" s="33">
        <f t="shared" si="35"/>
        <v>0</v>
      </c>
      <c r="Y46" s="33">
        <f t="shared" si="36"/>
        <v>0</v>
      </c>
      <c r="AA46" s="33">
        <f t="shared" si="27"/>
        <v>0</v>
      </c>
      <c r="AB46" s="33">
        <f t="shared" si="28"/>
        <v>0</v>
      </c>
    </row>
    <row r="47" spans="1:28" x14ac:dyDescent="0.35">
      <c r="A47" s="32"/>
      <c r="B47" s="32"/>
      <c r="C47" s="32"/>
      <c r="D47" s="32"/>
      <c r="E47" s="32"/>
      <c r="F47" s="32"/>
      <c r="G47" s="2">
        <f t="shared" si="29"/>
        <v>0</v>
      </c>
      <c r="H47" s="32"/>
      <c r="I47" s="98">
        <f t="shared" si="30"/>
        <v>0</v>
      </c>
      <c r="J47" s="32"/>
      <c r="K47" s="104"/>
      <c r="L47" s="104"/>
      <c r="M47" s="50"/>
      <c r="N47" s="53"/>
      <c r="O47" s="33">
        <f t="shared" ref="O47:O52" si="38">IF(M47&gt;3, 3, M47)</f>
        <v>0</v>
      </c>
      <c r="P47" s="33">
        <f t="shared" ref="P47:P52" si="39">IF(M47&gt;4.5,4.5,MAX(0,M47-3))</f>
        <v>0</v>
      </c>
      <c r="Q47" s="33">
        <f t="shared" si="33"/>
        <v>0</v>
      </c>
      <c r="R47" s="33">
        <f t="shared" si="34"/>
        <v>0</v>
      </c>
      <c r="T47" s="54">
        <f t="shared" si="25"/>
        <v>0</v>
      </c>
      <c r="U47" s="54">
        <f t="shared" si="37"/>
        <v>0</v>
      </c>
      <c r="V47" s="54">
        <f t="shared" si="26"/>
        <v>0</v>
      </c>
      <c r="X47" s="33">
        <f t="shared" si="35"/>
        <v>0</v>
      </c>
      <c r="Y47" s="33">
        <f t="shared" si="36"/>
        <v>0</v>
      </c>
      <c r="AA47" s="33">
        <f t="shared" si="27"/>
        <v>0</v>
      </c>
      <c r="AB47" s="33">
        <f t="shared" si="28"/>
        <v>0</v>
      </c>
    </row>
    <row r="48" spans="1:28" x14ac:dyDescent="0.35">
      <c r="A48" s="32"/>
      <c r="B48" s="32"/>
      <c r="C48" s="32"/>
      <c r="D48" s="32"/>
      <c r="E48" s="32"/>
      <c r="F48" s="32"/>
      <c r="G48" s="2">
        <f t="shared" si="29"/>
        <v>0</v>
      </c>
      <c r="H48" s="32"/>
      <c r="I48" s="98">
        <f t="shared" si="30"/>
        <v>0</v>
      </c>
      <c r="J48" s="32"/>
      <c r="K48" s="104"/>
      <c r="L48" s="104"/>
      <c r="M48" s="50"/>
      <c r="N48" s="53"/>
      <c r="O48" s="33">
        <f t="shared" si="38"/>
        <v>0</v>
      </c>
      <c r="P48" s="33">
        <f t="shared" si="39"/>
        <v>0</v>
      </c>
      <c r="Q48" s="33">
        <f t="shared" si="33"/>
        <v>0</v>
      </c>
      <c r="R48" s="33">
        <f t="shared" si="34"/>
        <v>0</v>
      </c>
      <c r="T48" s="54">
        <f t="shared" si="25"/>
        <v>0</v>
      </c>
      <c r="U48" s="54">
        <f t="shared" si="37"/>
        <v>0</v>
      </c>
      <c r="V48" s="54">
        <f t="shared" si="26"/>
        <v>0</v>
      </c>
      <c r="X48" s="33">
        <f t="shared" si="35"/>
        <v>0</v>
      </c>
      <c r="Y48" s="33">
        <f t="shared" si="36"/>
        <v>0</v>
      </c>
      <c r="AA48" s="33">
        <f t="shared" si="27"/>
        <v>0</v>
      </c>
      <c r="AB48" s="33">
        <f t="shared" si="28"/>
        <v>0</v>
      </c>
    </row>
    <row r="49" spans="1:28" x14ac:dyDescent="0.35">
      <c r="A49" s="32"/>
      <c r="B49" s="32"/>
      <c r="C49" s="32"/>
      <c r="D49" s="32"/>
      <c r="E49" s="32"/>
      <c r="F49" s="32"/>
      <c r="G49" s="2">
        <f t="shared" si="29"/>
        <v>0</v>
      </c>
      <c r="H49" s="32"/>
      <c r="I49" s="98">
        <f t="shared" si="30"/>
        <v>0</v>
      </c>
      <c r="J49" s="32"/>
      <c r="K49" s="104"/>
      <c r="L49" s="104"/>
      <c r="M49" s="50"/>
      <c r="N49" s="53"/>
      <c r="O49" s="33">
        <f t="shared" si="38"/>
        <v>0</v>
      </c>
      <c r="P49" s="33">
        <f t="shared" si="39"/>
        <v>0</v>
      </c>
      <c r="Q49" s="33">
        <f t="shared" si="33"/>
        <v>0</v>
      </c>
      <c r="R49" s="33">
        <f t="shared" si="34"/>
        <v>0</v>
      </c>
      <c r="T49" s="54">
        <f t="shared" si="25"/>
        <v>0</v>
      </c>
      <c r="U49" s="54">
        <f t="shared" si="37"/>
        <v>0</v>
      </c>
      <c r="V49" s="54">
        <f t="shared" si="26"/>
        <v>0</v>
      </c>
      <c r="X49" s="33">
        <f t="shared" si="35"/>
        <v>0</v>
      </c>
      <c r="Y49" s="33">
        <f t="shared" si="36"/>
        <v>0</v>
      </c>
      <c r="AA49" s="33">
        <f t="shared" si="27"/>
        <v>0</v>
      </c>
      <c r="AB49" s="33">
        <f t="shared" si="28"/>
        <v>0</v>
      </c>
    </row>
    <row r="50" spans="1:28" x14ac:dyDescent="0.35">
      <c r="A50" s="32"/>
      <c r="B50" s="32"/>
      <c r="C50" s="32"/>
      <c r="D50" s="32"/>
      <c r="E50" s="32"/>
      <c r="F50" s="32"/>
      <c r="G50" s="2">
        <f t="shared" si="29"/>
        <v>0</v>
      </c>
      <c r="H50" s="32"/>
      <c r="I50" s="98">
        <f t="shared" si="30"/>
        <v>0</v>
      </c>
      <c r="J50" s="32"/>
      <c r="K50" s="104"/>
      <c r="L50" s="104"/>
      <c r="M50" s="50"/>
      <c r="N50" s="53"/>
      <c r="O50" s="33">
        <f t="shared" si="38"/>
        <v>0</v>
      </c>
      <c r="P50" s="33">
        <f t="shared" si="39"/>
        <v>0</v>
      </c>
      <c r="Q50" s="33">
        <f t="shared" si="33"/>
        <v>0</v>
      </c>
      <c r="R50" s="33">
        <f t="shared" si="34"/>
        <v>0</v>
      </c>
      <c r="T50" s="54">
        <f t="shared" si="25"/>
        <v>0</v>
      </c>
      <c r="U50" s="54">
        <f t="shared" si="37"/>
        <v>0</v>
      </c>
      <c r="V50" s="54">
        <f t="shared" si="26"/>
        <v>0</v>
      </c>
      <c r="X50" s="33">
        <f t="shared" si="35"/>
        <v>0</v>
      </c>
      <c r="Y50" s="33">
        <f t="shared" si="36"/>
        <v>0</v>
      </c>
      <c r="AA50" s="33">
        <f t="shared" si="27"/>
        <v>0</v>
      </c>
      <c r="AB50" s="33">
        <f t="shared" si="28"/>
        <v>0</v>
      </c>
    </row>
    <row r="51" spans="1:28" x14ac:dyDescent="0.35">
      <c r="A51" s="32"/>
      <c r="B51" s="32"/>
      <c r="C51" s="32"/>
      <c r="D51" s="32"/>
      <c r="E51" s="32"/>
      <c r="F51" s="32"/>
      <c r="G51" s="2">
        <f t="shared" si="29"/>
        <v>0</v>
      </c>
      <c r="H51" s="32"/>
      <c r="I51" s="98">
        <f t="shared" si="30"/>
        <v>0</v>
      </c>
      <c r="J51" s="32"/>
      <c r="K51" s="104"/>
      <c r="L51" s="104"/>
      <c r="M51" s="50"/>
      <c r="N51" s="53"/>
      <c r="O51" s="33">
        <f t="shared" si="38"/>
        <v>0</v>
      </c>
      <c r="P51" s="33">
        <f t="shared" si="39"/>
        <v>0</v>
      </c>
      <c r="Q51" s="33">
        <f t="shared" si="33"/>
        <v>0</v>
      </c>
      <c r="R51" s="33">
        <f t="shared" si="34"/>
        <v>0</v>
      </c>
      <c r="T51" s="54">
        <f t="shared" si="25"/>
        <v>0</v>
      </c>
      <c r="U51" s="54">
        <f t="shared" si="37"/>
        <v>0</v>
      </c>
      <c r="V51" s="54">
        <f t="shared" si="26"/>
        <v>0</v>
      </c>
      <c r="X51" s="33">
        <f t="shared" si="35"/>
        <v>0</v>
      </c>
      <c r="Y51" s="33">
        <f t="shared" si="36"/>
        <v>0</v>
      </c>
      <c r="AA51" s="33">
        <f t="shared" si="27"/>
        <v>0</v>
      </c>
      <c r="AB51" s="33">
        <f t="shared" si="28"/>
        <v>0</v>
      </c>
    </row>
    <row r="52" spans="1:28" x14ac:dyDescent="0.35">
      <c r="A52" s="32"/>
      <c r="B52" s="32"/>
      <c r="C52" s="32"/>
      <c r="D52" s="32"/>
      <c r="E52" s="32"/>
      <c r="F52" s="32"/>
      <c r="G52" s="2">
        <f t="shared" si="29"/>
        <v>0</v>
      </c>
      <c r="H52" s="32"/>
      <c r="I52" s="98">
        <f t="shared" si="30"/>
        <v>0</v>
      </c>
      <c r="J52" s="32"/>
      <c r="K52" s="104"/>
      <c r="L52" s="104"/>
      <c r="M52" s="50"/>
      <c r="N52" s="53"/>
      <c r="O52" s="33">
        <f t="shared" si="38"/>
        <v>0</v>
      </c>
      <c r="P52" s="33">
        <f t="shared" si="39"/>
        <v>0</v>
      </c>
      <c r="Q52" s="33">
        <f t="shared" si="33"/>
        <v>0</v>
      </c>
      <c r="R52" s="33">
        <f t="shared" si="34"/>
        <v>0</v>
      </c>
      <c r="T52" s="54">
        <f t="shared" si="25"/>
        <v>0</v>
      </c>
      <c r="U52" s="54">
        <f t="shared" si="37"/>
        <v>0</v>
      </c>
      <c r="V52" s="54">
        <f t="shared" si="26"/>
        <v>0</v>
      </c>
      <c r="X52" s="33">
        <f t="shared" si="35"/>
        <v>0</v>
      </c>
      <c r="Y52" s="33">
        <f t="shared" si="36"/>
        <v>0</v>
      </c>
      <c r="AA52" s="33">
        <f t="shared" si="27"/>
        <v>0</v>
      </c>
      <c r="AB52" s="33">
        <f t="shared" si="28"/>
        <v>0</v>
      </c>
    </row>
    <row r="53" spans="1:28" x14ac:dyDescent="0.35">
      <c r="A53" s="32"/>
      <c r="B53" s="32"/>
      <c r="C53" s="32"/>
      <c r="D53" s="32"/>
      <c r="E53" s="32"/>
      <c r="F53" s="32"/>
      <c r="G53" s="2">
        <f t="shared" si="29"/>
        <v>0</v>
      </c>
      <c r="H53" s="32"/>
      <c r="I53" s="98">
        <f t="shared" si="30"/>
        <v>0</v>
      </c>
      <c r="J53" s="32"/>
      <c r="K53" s="104"/>
      <c r="L53" s="104"/>
      <c r="M53" s="50"/>
      <c r="N53" s="53"/>
      <c r="O53" s="33">
        <f>IF(M53&gt;3, 3, M53)</f>
        <v>0</v>
      </c>
      <c r="P53" s="33">
        <f>IF(M53&gt;4.5,4.5,MAX(0,M53-3))</f>
        <v>0</v>
      </c>
      <c r="Q53" s="33">
        <f t="shared" si="33"/>
        <v>0</v>
      </c>
      <c r="R53" s="33">
        <f t="shared" si="34"/>
        <v>0</v>
      </c>
      <c r="T53" s="54">
        <f t="shared" si="25"/>
        <v>0</v>
      </c>
      <c r="U53" s="54">
        <f t="shared" si="37"/>
        <v>0</v>
      </c>
      <c r="V53" s="54">
        <f t="shared" si="26"/>
        <v>0</v>
      </c>
      <c r="X53" s="33">
        <f t="shared" si="35"/>
        <v>0</v>
      </c>
      <c r="Y53" s="33">
        <f t="shared" si="36"/>
        <v>0</v>
      </c>
      <c r="AA53" s="33">
        <f t="shared" si="27"/>
        <v>0</v>
      </c>
      <c r="AB53" s="33">
        <f t="shared" si="28"/>
        <v>0</v>
      </c>
    </row>
    <row r="54" spans="1:28" x14ac:dyDescent="0.35">
      <c r="A54" s="32"/>
      <c r="B54" s="32"/>
      <c r="C54" s="32"/>
      <c r="D54" s="32"/>
      <c r="E54" s="32"/>
      <c r="F54" s="32"/>
      <c r="G54" s="2">
        <f t="shared" si="29"/>
        <v>0</v>
      </c>
      <c r="H54" s="32"/>
      <c r="I54" s="98">
        <f t="shared" si="30"/>
        <v>0</v>
      </c>
      <c r="J54" s="32"/>
      <c r="K54" s="104"/>
      <c r="L54" s="104"/>
      <c r="M54" s="50"/>
      <c r="N54" s="53"/>
      <c r="O54" s="33">
        <f t="shared" ref="O54:O62" si="40">IF(M54&gt;3, 3, M54)</f>
        <v>0</v>
      </c>
      <c r="P54" s="33">
        <f t="shared" ref="P54:P62" si="41">IF(M54&gt;4.5,4.5,MAX(0,M54-3))</f>
        <v>0</v>
      </c>
      <c r="Q54" s="33">
        <f t="shared" si="33"/>
        <v>0</v>
      </c>
      <c r="R54" s="33">
        <f t="shared" si="34"/>
        <v>0</v>
      </c>
      <c r="T54" s="54">
        <f t="shared" si="25"/>
        <v>0</v>
      </c>
      <c r="U54" s="54">
        <f t="shared" si="37"/>
        <v>0</v>
      </c>
      <c r="V54" s="54">
        <f t="shared" si="26"/>
        <v>0</v>
      </c>
      <c r="X54" s="33">
        <f t="shared" si="35"/>
        <v>0</v>
      </c>
      <c r="Y54" s="33">
        <f t="shared" si="36"/>
        <v>0</v>
      </c>
      <c r="AA54" s="33">
        <f t="shared" si="27"/>
        <v>0</v>
      </c>
      <c r="AB54" s="33">
        <f t="shared" si="28"/>
        <v>0</v>
      </c>
    </row>
    <row r="55" spans="1:28" x14ac:dyDescent="0.35">
      <c r="A55" s="32"/>
      <c r="B55" s="32"/>
      <c r="C55" s="32"/>
      <c r="D55" s="32"/>
      <c r="E55" s="32"/>
      <c r="F55" s="32"/>
      <c r="G55" s="2">
        <f t="shared" si="29"/>
        <v>0</v>
      </c>
      <c r="H55" s="32"/>
      <c r="I55" s="98">
        <f t="shared" si="30"/>
        <v>0</v>
      </c>
      <c r="J55" s="32"/>
      <c r="K55" s="104"/>
      <c r="L55" s="104"/>
      <c r="M55" s="50"/>
      <c r="N55" s="53"/>
      <c r="O55" s="33">
        <f t="shared" si="40"/>
        <v>0</v>
      </c>
      <c r="P55" s="33">
        <f t="shared" si="41"/>
        <v>0</v>
      </c>
      <c r="Q55" s="33">
        <f t="shared" si="33"/>
        <v>0</v>
      </c>
      <c r="R55" s="33">
        <f t="shared" si="34"/>
        <v>0</v>
      </c>
      <c r="T55" s="54">
        <f t="shared" si="25"/>
        <v>0</v>
      </c>
      <c r="U55" s="54">
        <f t="shared" si="37"/>
        <v>0</v>
      </c>
      <c r="V55" s="54">
        <f t="shared" si="26"/>
        <v>0</v>
      </c>
      <c r="X55" s="33">
        <f t="shared" si="35"/>
        <v>0</v>
      </c>
      <c r="Y55" s="33">
        <f t="shared" si="36"/>
        <v>0</v>
      </c>
      <c r="AA55" s="33">
        <f t="shared" si="27"/>
        <v>0</v>
      </c>
      <c r="AB55" s="33">
        <f t="shared" si="28"/>
        <v>0</v>
      </c>
    </row>
    <row r="56" spans="1:28" x14ac:dyDescent="0.35">
      <c r="A56" s="32"/>
      <c r="B56" s="32"/>
      <c r="C56" s="32"/>
      <c r="D56" s="32"/>
      <c r="E56" s="32"/>
      <c r="F56" s="32"/>
      <c r="G56" s="2">
        <f t="shared" si="29"/>
        <v>0</v>
      </c>
      <c r="H56" s="32"/>
      <c r="I56" s="98">
        <f t="shared" si="30"/>
        <v>0</v>
      </c>
      <c r="J56" s="32"/>
      <c r="K56" s="104"/>
      <c r="L56" s="104"/>
      <c r="M56" s="50"/>
      <c r="N56" s="53"/>
      <c r="O56" s="33">
        <f t="shared" si="40"/>
        <v>0</v>
      </c>
      <c r="P56" s="33">
        <f t="shared" si="41"/>
        <v>0</v>
      </c>
      <c r="Q56" s="33">
        <f t="shared" si="33"/>
        <v>0</v>
      </c>
      <c r="R56" s="33">
        <f t="shared" si="34"/>
        <v>0</v>
      </c>
      <c r="T56" s="54">
        <f t="shared" si="25"/>
        <v>0</v>
      </c>
      <c r="U56" s="54">
        <f t="shared" si="37"/>
        <v>0</v>
      </c>
      <c r="V56" s="54">
        <f t="shared" si="26"/>
        <v>0</v>
      </c>
      <c r="X56" s="33">
        <f t="shared" si="35"/>
        <v>0</v>
      </c>
      <c r="Y56" s="33">
        <f t="shared" si="36"/>
        <v>0</v>
      </c>
      <c r="AA56" s="33">
        <f t="shared" si="27"/>
        <v>0</v>
      </c>
      <c r="AB56" s="33">
        <f t="shared" si="28"/>
        <v>0</v>
      </c>
    </row>
    <row r="57" spans="1:28" x14ac:dyDescent="0.35">
      <c r="A57" s="32"/>
      <c r="B57" s="32"/>
      <c r="C57" s="32"/>
      <c r="D57" s="32"/>
      <c r="E57" s="32"/>
      <c r="F57" s="32"/>
      <c r="G57" s="2">
        <f t="shared" si="29"/>
        <v>0</v>
      </c>
      <c r="H57" s="32"/>
      <c r="I57" s="98">
        <f t="shared" si="30"/>
        <v>0</v>
      </c>
      <c r="J57" s="32"/>
      <c r="K57" s="104"/>
      <c r="L57" s="104"/>
      <c r="M57" s="50"/>
      <c r="N57" s="53"/>
      <c r="O57" s="33">
        <f t="shared" si="40"/>
        <v>0</v>
      </c>
      <c r="P57" s="33">
        <f t="shared" si="41"/>
        <v>0</v>
      </c>
      <c r="Q57" s="33">
        <f t="shared" si="33"/>
        <v>0</v>
      </c>
      <c r="R57" s="33">
        <f t="shared" si="34"/>
        <v>0</v>
      </c>
      <c r="T57" s="54">
        <f t="shared" si="25"/>
        <v>0</v>
      </c>
      <c r="U57" s="54">
        <f t="shared" si="37"/>
        <v>0</v>
      </c>
      <c r="V57" s="54">
        <f t="shared" si="26"/>
        <v>0</v>
      </c>
      <c r="X57" s="33">
        <f t="shared" si="35"/>
        <v>0</v>
      </c>
      <c r="Y57" s="33">
        <f t="shared" si="36"/>
        <v>0</v>
      </c>
      <c r="AA57" s="33">
        <f t="shared" si="27"/>
        <v>0</v>
      </c>
      <c r="AB57" s="33">
        <f t="shared" si="28"/>
        <v>0</v>
      </c>
    </row>
    <row r="58" spans="1:28" x14ac:dyDescent="0.35">
      <c r="A58" s="32"/>
      <c r="B58" s="32"/>
      <c r="C58" s="32"/>
      <c r="D58" s="32"/>
      <c r="E58" s="32"/>
      <c r="F58" s="32"/>
      <c r="G58" s="2">
        <f t="shared" si="29"/>
        <v>0</v>
      </c>
      <c r="H58" s="32"/>
      <c r="I58" s="98">
        <f t="shared" si="30"/>
        <v>0</v>
      </c>
      <c r="J58" s="32"/>
      <c r="K58" s="104"/>
      <c r="L58" s="104"/>
      <c r="M58" s="50"/>
      <c r="N58" s="53"/>
      <c r="O58" s="33">
        <f t="shared" si="40"/>
        <v>0</v>
      </c>
      <c r="P58" s="33">
        <f t="shared" si="41"/>
        <v>0</v>
      </c>
      <c r="Q58" s="33">
        <f t="shared" si="33"/>
        <v>0</v>
      </c>
      <c r="R58" s="33">
        <f t="shared" si="34"/>
        <v>0</v>
      </c>
      <c r="T58" s="54">
        <f t="shared" si="25"/>
        <v>0</v>
      </c>
      <c r="U58" s="54">
        <f t="shared" si="37"/>
        <v>0</v>
      </c>
      <c r="V58" s="54">
        <f t="shared" si="26"/>
        <v>0</v>
      </c>
      <c r="X58" s="33">
        <f t="shared" si="35"/>
        <v>0</v>
      </c>
      <c r="Y58" s="33">
        <f t="shared" si="36"/>
        <v>0</v>
      </c>
      <c r="AA58" s="33">
        <f t="shared" si="27"/>
        <v>0</v>
      </c>
      <c r="AB58" s="33">
        <f t="shared" si="28"/>
        <v>0</v>
      </c>
    </row>
    <row r="59" spans="1:28" x14ac:dyDescent="0.35">
      <c r="A59" s="32"/>
      <c r="B59" s="32"/>
      <c r="C59" s="32"/>
      <c r="D59" s="32"/>
      <c r="E59" s="32"/>
      <c r="F59" s="32"/>
      <c r="G59" s="2">
        <f t="shared" si="29"/>
        <v>0</v>
      </c>
      <c r="H59" s="32"/>
      <c r="I59" s="98">
        <f t="shared" si="30"/>
        <v>0</v>
      </c>
      <c r="J59" s="32"/>
      <c r="K59" s="104"/>
      <c r="L59" s="104"/>
      <c r="M59" s="50"/>
      <c r="N59" s="53"/>
      <c r="O59" s="33">
        <f t="shared" si="40"/>
        <v>0</v>
      </c>
      <c r="P59" s="33">
        <f t="shared" si="41"/>
        <v>0</v>
      </c>
      <c r="Q59" s="33">
        <f t="shared" si="33"/>
        <v>0</v>
      </c>
      <c r="R59" s="33">
        <f t="shared" si="34"/>
        <v>0</v>
      </c>
      <c r="T59" s="54">
        <f t="shared" si="25"/>
        <v>0</v>
      </c>
      <c r="U59" s="54">
        <f t="shared" si="37"/>
        <v>0</v>
      </c>
      <c r="V59" s="54">
        <f t="shared" si="26"/>
        <v>0</v>
      </c>
      <c r="X59" s="33">
        <f t="shared" si="35"/>
        <v>0</v>
      </c>
      <c r="Y59" s="33">
        <f t="shared" si="36"/>
        <v>0</v>
      </c>
      <c r="AA59" s="33">
        <f t="shared" si="27"/>
        <v>0</v>
      </c>
      <c r="AB59" s="33">
        <f t="shared" si="28"/>
        <v>0</v>
      </c>
    </row>
    <row r="60" spans="1:28" x14ac:dyDescent="0.35">
      <c r="A60" s="32"/>
      <c r="B60" s="32"/>
      <c r="C60" s="32"/>
      <c r="D60" s="32"/>
      <c r="E60" s="32"/>
      <c r="F60" s="32"/>
      <c r="G60" s="2">
        <f t="shared" si="29"/>
        <v>0</v>
      </c>
      <c r="H60" s="32"/>
      <c r="I60" s="98">
        <f t="shared" si="30"/>
        <v>0</v>
      </c>
      <c r="J60" s="32"/>
      <c r="K60" s="104"/>
      <c r="L60" s="104"/>
      <c r="M60" s="50"/>
      <c r="N60" s="53"/>
      <c r="O60" s="33">
        <f t="shared" si="40"/>
        <v>0</v>
      </c>
      <c r="P60" s="33">
        <f t="shared" si="41"/>
        <v>0</v>
      </c>
      <c r="Q60" s="33">
        <f t="shared" si="33"/>
        <v>0</v>
      </c>
      <c r="R60" s="33">
        <f t="shared" si="34"/>
        <v>0</v>
      </c>
      <c r="T60" s="54">
        <f t="shared" si="25"/>
        <v>0</v>
      </c>
      <c r="U60" s="54">
        <f t="shared" si="37"/>
        <v>0</v>
      </c>
      <c r="V60" s="54">
        <f t="shared" si="26"/>
        <v>0</v>
      </c>
      <c r="X60" s="33">
        <f t="shared" si="35"/>
        <v>0</v>
      </c>
      <c r="Y60" s="33">
        <f t="shared" si="36"/>
        <v>0</v>
      </c>
      <c r="AA60" s="33">
        <f t="shared" si="27"/>
        <v>0</v>
      </c>
      <c r="AB60" s="33">
        <f t="shared" si="28"/>
        <v>0</v>
      </c>
    </row>
    <row r="61" spans="1:28" x14ac:dyDescent="0.35">
      <c r="A61" s="32"/>
      <c r="B61" s="32"/>
      <c r="C61" s="32"/>
      <c r="D61" s="32"/>
      <c r="E61" s="32"/>
      <c r="F61" s="32"/>
      <c r="G61" s="2">
        <f t="shared" si="29"/>
        <v>0</v>
      </c>
      <c r="H61" s="32"/>
      <c r="I61" s="98">
        <f t="shared" si="30"/>
        <v>0</v>
      </c>
      <c r="J61" s="32"/>
      <c r="K61" s="104"/>
      <c r="L61" s="104"/>
      <c r="M61" s="50"/>
      <c r="N61" s="53"/>
      <c r="O61" s="33">
        <f t="shared" si="40"/>
        <v>0</v>
      </c>
      <c r="P61" s="33">
        <f t="shared" si="41"/>
        <v>0</v>
      </c>
      <c r="Q61" s="33">
        <f t="shared" si="33"/>
        <v>0</v>
      </c>
      <c r="R61" s="33">
        <f t="shared" si="34"/>
        <v>0</v>
      </c>
      <c r="T61" s="54">
        <f t="shared" si="25"/>
        <v>0</v>
      </c>
      <c r="U61" s="54">
        <f t="shared" si="37"/>
        <v>0</v>
      </c>
      <c r="V61" s="54">
        <f t="shared" si="26"/>
        <v>0</v>
      </c>
      <c r="X61" s="33">
        <f t="shared" si="35"/>
        <v>0</v>
      </c>
      <c r="Y61" s="33">
        <f t="shared" si="36"/>
        <v>0</v>
      </c>
      <c r="AA61" s="33">
        <f t="shared" si="27"/>
        <v>0</v>
      </c>
      <c r="AB61" s="33">
        <f t="shared" si="28"/>
        <v>0</v>
      </c>
    </row>
    <row r="62" spans="1:28" x14ac:dyDescent="0.35">
      <c r="A62" s="32"/>
      <c r="B62" s="32"/>
      <c r="C62" s="32"/>
      <c r="D62" s="32"/>
      <c r="E62" s="32"/>
      <c r="F62" s="32"/>
      <c r="G62" s="2">
        <f t="shared" si="29"/>
        <v>0</v>
      </c>
      <c r="H62" s="32"/>
      <c r="I62" s="98">
        <f t="shared" si="30"/>
        <v>0</v>
      </c>
      <c r="J62" s="32"/>
      <c r="K62" s="104"/>
      <c r="L62" s="104"/>
      <c r="M62" s="50"/>
      <c r="N62" s="53"/>
      <c r="O62" s="33">
        <f t="shared" si="40"/>
        <v>0</v>
      </c>
      <c r="P62" s="33">
        <f t="shared" si="41"/>
        <v>0</v>
      </c>
      <c r="Q62" s="33">
        <f t="shared" si="33"/>
        <v>0</v>
      </c>
      <c r="R62" s="33">
        <f t="shared" si="34"/>
        <v>0</v>
      </c>
      <c r="T62" s="54">
        <f t="shared" si="25"/>
        <v>0</v>
      </c>
      <c r="U62" s="54">
        <f t="shared" si="37"/>
        <v>0</v>
      </c>
      <c r="V62" s="54">
        <f t="shared" si="26"/>
        <v>0</v>
      </c>
      <c r="X62" s="33">
        <f t="shared" si="35"/>
        <v>0</v>
      </c>
      <c r="Y62" s="33">
        <f t="shared" si="36"/>
        <v>0</v>
      </c>
      <c r="AA62" s="33">
        <f t="shared" si="27"/>
        <v>0</v>
      </c>
      <c r="AB62" s="33">
        <f t="shared" si="28"/>
        <v>0</v>
      </c>
    </row>
    <row r="63" spans="1:28" x14ac:dyDescent="0.35">
      <c r="A63" s="32"/>
      <c r="B63" s="32"/>
      <c r="C63" s="32"/>
      <c r="D63" s="32"/>
      <c r="E63" s="32"/>
      <c r="F63" s="32"/>
      <c r="G63" s="2">
        <f t="shared" si="29"/>
        <v>0</v>
      </c>
      <c r="H63" s="32"/>
      <c r="I63" s="98">
        <f t="shared" si="30"/>
        <v>0</v>
      </c>
      <c r="J63" s="32"/>
      <c r="K63" s="104"/>
      <c r="L63" s="104"/>
      <c r="M63" s="50"/>
      <c r="N63" s="53"/>
      <c r="O63" s="33">
        <f>IF(M63&gt;3, 3, M63)</f>
        <v>0</v>
      </c>
      <c r="P63" s="33">
        <f>IF(M63&gt;4.5,4.5,MAX(0,M63-3))</f>
        <v>0</v>
      </c>
      <c r="Q63" s="33">
        <f t="shared" si="33"/>
        <v>0</v>
      </c>
      <c r="R63" s="33">
        <f t="shared" si="34"/>
        <v>0</v>
      </c>
      <c r="T63" s="54">
        <f t="shared" si="25"/>
        <v>0</v>
      </c>
      <c r="U63" s="54">
        <f t="shared" si="37"/>
        <v>0</v>
      </c>
      <c r="V63" s="54">
        <f t="shared" si="26"/>
        <v>0</v>
      </c>
      <c r="X63" s="33">
        <f t="shared" si="35"/>
        <v>0</v>
      </c>
      <c r="Y63" s="33">
        <f t="shared" si="36"/>
        <v>0</v>
      </c>
      <c r="AA63" s="33">
        <f t="shared" si="27"/>
        <v>0</v>
      </c>
      <c r="AB63" s="33">
        <f t="shared" si="28"/>
        <v>0</v>
      </c>
    </row>
    <row r="64" spans="1:28" x14ac:dyDescent="0.35">
      <c r="A64" s="32"/>
      <c r="B64" s="32"/>
      <c r="C64" s="32"/>
      <c r="D64" s="32"/>
      <c r="E64" s="32"/>
      <c r="F64" s="32"/>
      <c r="G64" s="2">
        <f t="shared" si="29"/>
        <v>0</v>
      </c>
      <c r="H64" s="32"/>
      <c r="I64" s="98">
        <f t="shared" si="30"/>
        <v>0</v>
      </c>
      <c r="J64" s="32"/>
      <c r="K64" s="104"/>
      <c r="L64" s="104"/>
      <c r="M64" s="50"/>
      <c r="N64" s="53"/>
      <c r="O64" s="33">
        <f t="shared" ref="O64:O68" si="42">IF(M64&gt;3, 3, M64)</f>
        <v>0</v>
      </c>
      <c r="P64" s="33">
        <f t="shared" ref="P64:P68" si="43">IF(M64&gt;4.5,4.5,MAX(0,M64-3))</f>
        <v>0</v>
      </c>
      <c r="Q64" s="33">
        <f t="shared" si="33"/>
        <v>0</v>
      </c>
      <c r="R64" s="33">
        <f t="shared" si="34"/>
        <v>0</v>
      </c>
      <c r="T64" s="54">
        <f t="shared" si="25"/>
        <v>0</v>
      </c>
      <c r="U64" s="54">
        <f t="shared" si="37"/>
        <v>0</v>
      </c>
      <c r="V64" s="54">
        <f t="shared" si="26"/>
        <v>0</v>
      </c>
      <c r="X64" s="33">
        <f t="shared" si="35"/>
        <v>0</v>
      </c>
      <c r="Y64" s="33">
        <f t="shared" si="36"/>
        <v>0</v>
      </c>
      <c r="AA64" s="33">
        <f t="shared" si="27"/>
        <v>0</v>
      </c>
      <c r="AB64" s="33">
        <f t="shared" si="28"/>
        <v>0</v>
      </c>
    </row>
    <row r="65" spans="1:28" x14ac:dyDescent="0.35">
      <c r="A65" s="32"/>
      <c r="B65" s="32"/>
      <c r="C65" s="32"/>
      <c r="D65" s="32"/>
      <c r="E65" s="32"/>
      <c r="F65" s="32"/>
      <c r="G65" s="2">
        <f t="shared" si="29"/>
        <v>0</v>
      </c>
      <c r="H65" s="32"/>
      <c r="I65" s="98">
        <f t="shared" si="30"/>
        <v>0</v>
      </c>
      <c r="J65" s="32"/>
      <c r="K65" s="104"/>
      <c r="L65" s="104"/>
      <c r="M65" s="50"/>
      <c r="N65" s="53"/>
      <c r="O65" s="33">
        <f t="shared" si="42"/>
        <v>0</v>
      </c>
      <c r="P65" s="33">
        <f t="shared" si="43"/>
        <v>0</v>
      </c>
      <c r="Q65" s="33">
        <f t="shared" si="33"/>
        <v>0</v>
      </c>
      <c r="R65" s="33">
        <f t="shared" si="34"/>
        <v>0</v>
      </c>
      <c r="T65" s="54">
        <f t="shared" si="25"/>
        <v>0</v>
      </c>
      <c r="U65" s="54">
        <f t="shared" si="37"/>
        <v>0</v>
      </c>
      <c r="V65" s="54">
        <f t="shared" si="26"/>
        <v>0</v>
      </c>
      <c r="X65" s="33">
        <f t="shared" si="35"/>
        <v>0</v>
      </c>
      <c r="Y65" s="33">
        <f t="shared" si="36"/>
        <v>0</v>
      </c>
      <c r="AA65" s="33">
        <f t="shared" si="27"/>
        <v>0</v>
      </c>
      <c r="AB65" s="33">
        <f t="shared" si="28"/>
        <v>0</v>
      </c>
    </row>
    <row r="66" spans="1:28" x14ac:dyDescent="0.35">
      <c r="A66" s="32"/>
      <c r="B66" s="32"/>
      <c r="C66" s="32"/>
      <c r="D66" s="32"/>
      <c r="E66" s="32"/>
      <c r="F66" s="32"/>
      <c r="G66" s="2">
        <f t="shared" si="29"/>
        <v>0</v>
      </c>
      <c r="H66" s="32"/>
      <c r="I66" s="98">
        <f t="shared" si="30"/>
        <v>0</v>
      </c>
      <c r="J66" s="32"/>
      <c r="K66" s="104"/>
      <c r="L66" s="104"/>
      <c r="M66" s="50"/>
      <c r="N66" s="53"/>
      <c r="O66" s="33">
        <f t="shared" si="42"/>
        <v>0</v>
      </c>
      <c r="P66" s="33">
        <f t="shared" si="43"/>
        <v>0</v>
      </c>
      <c r="Q66" s="33">
        <f t="shared" si="33"/>
        <v>0</v>
      </c>
      <c r="R66" s="33">
        <f t="shared" si="34"/>
        <v>0</v>
      </c>
      <c r="T66" s="54">
        <f t="shared" si="25"/>
        <v>0</v>
      </c>
      <c r="U66" s="54">
        <f t="shared" si="37"/>
        <v>0</v>
      </c>
      <c r="V66" s="54">
        <f t="shared" si="26"/>
        <v>0</v>
      </c>
      <c r="X66" s="33">
        <f t="shared" si="35"/>
        <v>0</v>
      </c>
      <c r="Y66" s="33">
        <f t="shared" si="36"/>
        <v>0</v>
      </c>
      <c r="AA66" s="33">
        <f t="shared" si="27"/>
        <v>0</v>
      </c>
      <c r="AB66" s="33">
        <f t="shared" si="28"/>
        <v>0</v>
      </c>
    </row>
    <row r="67" spans="1:28" x14ac:dyDescent="0.35">
      <c r="A67" s="32"/>
      <c r="B67" s="32"/>
      <c r="C67" s="32"/>
      <c r="D67" s="32"/>
      <c r="E67" s="32"/>
      <c r="F67" s="32"/>
      <c r="G67" s="2">
        <f t="shared" si="29"/>
        <v>0</v>
      </c>
      <c r="H67" s="32"/>
      <c r="I67" s="98">
        <f t="shared" si="30"/>
        <v>0</v>
      </c>
      <c r="J67" s="32"/>
      <c r="K67" s="104"/>
      <c r="L67" s="104"/>
      <c r="M67" s="50"/>
      <c r="N67" s="53"/>
      <c r="O67" s="33">
        <f t="shared" si="42"/>
        <v>0</v>
      </c>
      <c r="P67" s="33">
        <f t="shared" si="43"/>
        <v>0</v>
      </c>
      <c r="Q67" s="33">
        <f t="shared" si="33"/>
        <v>0</v>
      </c>
      <c r="R67" s="33">
        <f t="shared" si="34"/>
        <v>0</v>
      </c>
      <c r="T67" s="54">
        <f t="shared" si="25"/>
        <v>0</v>
      </c>
      <c r="U67" s="54">
        <f t="shared" si="37"/>
        <v>0</v>
      </c>
      <c r="V67" s="54">
        <f t="shared" si="26"/>
        <v>0</v>
      </c>
      <c r="X67" s="33">
        <f t="shared" si="35"/>
        <v>0</v>
      </c>
      <c r="Y67" s="33">
        <f t="shared" si="36"/>
        <v>0</v>
      </c>
      <c r="AA67" s="33">
        <f t="shared" si="27"/>
        <v>0</v>
      </c>
      <c r="AB67" s="33">
        <f t="shared" si="28"/>
        <v>0</v>
      </c>
    </row>
    <row r="68" spans="1:28" x14ac:dyDescent="0.35">
      <c r="A68" s="32"/>
      <c r="B68" s="32"/>
      <c r="C68" s="32"/>
      <c r="D68" s="32"/>
      <c r="E68" s="32"/>
      <c r="F68" s="32"/>
      <c r="G68" s="2">
        <f t="shared" si="29"/>
        <v>0</v>
      </c>
      <c r="H68" s="32"/>
      <c r="I68" s="98">
        <f t="shared" si="30"/>
        <v>0</v>
      </c>
      <c r="J68" s="32"/>
      <c r="K68" s="104"/>
      <c r="L68" s="104"/>
      <c r="M68" s="50"/>
      <c r="N68" s="53"/>
      <c r="O68" s="33">
        <f t="shared" si="42"/>
        <v>0</v>
      </c>
      <c r="P68" s="33">
        <f t="shared" si="43"/>
        <v>0</v>
      </c>
      <c r="Q68" s="33">
        <f t="shared" si="33"/>
        <v>0</v>
      </c>
      <c r="R68" s="33">
        <f t="shared" si="34"/>
        <v>0</v>
      </c>
      <c r="T68" s="54">
        <f t="shared" ref="T68" si="44">(2*K68)+(2*L68)</f>
        <v>0</v>
      </c>
      <c r="U68" s="54">
        <f t="shared" si="37"/>
        <v>0</v>
      </c>
      <c r="V68" s="54">
        <f t="shared" ref="V68" si="45">K68*L68*N68</f>
        <v>0</v>
      </c>
      <c r="X68" s="33">
        <f t="shared" si="35"/>
        <v>0</v>
      </c>
      <c r="Y68" s="33">
        <f t="shared" si="36"/>
        <v>0</v>
      </c>
      <c r="AA68" s="33">
        <f t="shared" ref="AA68" si="46">IF(F68="RURAL",(K68+0.2)*(L68+0.2),0)</f>
        <v>0</v>
      </c>
      <c r="AB68" s="33">
        <f t="shared" ref="AB68" si="47">IF(F68="NATIONAL",K68*L68,0)</f>
        <v>0</v>
      </c>
    </row>
    <row r="69" spans="1:28" x14ac:dyDescent="0.35">
      <c r="A69" s="32"/>
      <c r="B69" s="32"/>
      <c r="C69" s="32"/>
      <c r="D69" s="32"/>
      <c r="E69" s="32"/>
      <c r="F69" s="32"/>
      <c r="G69" s="2">
        <f t="shared" si="4"/>
        <v>0</v>
      </c>
      <c r="H69" s="32"/>
      <c r="I69" s="98">
        <f t="shared" si="5"/>
        <v>0</v>
      </c>
      <c r="J69" s="32"/>
      <c r="K69" s="53"/>
      <c r="L69" s="53"/>
      <c r="M69" s="50"/>
      <c r="N69" s="53"/>
      <c r="O69" s="33">
        <f t="shared" ref="O69:O74" si="48">IF(M69&gt;3, 3, M69)</f>
        <v>0</v>
      </c>
      <c r="P69" s="33">
        <f t="shared" ref="P69:P74" si="49">IF(M69&gt;4.5,4.5,MAX(0,M69-3))</f>
        <v>0</v>
      </c>
      <c r="Q69" s="33">
        <f t="shared" si="8"/>
        <v>0</v>
      </c>
      <c r="R69" s="33">
        <f t="shared" si="9"/>
        <v>0</v>
      </c>
      <c r="T69" s="54">
        <f t="shared" si="25"/>
        <v>0</v>
      </c>
      <c r="U69" s="54">
        <f t="shared" si="12"/>
        <v>0</v>
      </c>
      <c r="V69" s="54">
        <f t="shared" si="26"/>
        <v>0</v>
      </c>
      <c r="X69" s="33">
        <f t="shared" si="10"/>
        <v>0</v>
      </c>
      <c r="Y69" s="33">
        <f t="shared" si="11"/>
        <v>0</v>
      </c>
      <c r="AA69" s="33">
        <f t="shared" si="27"/>
        <v>0</v>
      </c>
      <c r="AB69" s="33">
        <f t="shared" si="28"/>
        <v>0</v>
      </c>
    </row>
    <row r="70" spans="1:28" x14ac:dyDescent="0.35">
      <c r="A70" s="32"/>
      <c r="B70" s="32"/>
      <c r="C70" s="32"/>
      <c r="D70" s="32"/>
      <c r="E70" s="32"/>
      <c r="F70" s="32"/>
      <c r="G70" s="2">
        <f t="shared" si="4"/>
        <v>0</v>
      </c>
      <c r="H70" s="32"/>
      <c r="I70" s="98">
        <f t="shared" si="5"/>
        <v>0</v>
      </c>
      <c r="J70" s="32"/>
      <c r="K70" s="53"/>
      <c r="L70" s="53"/>
      <c r="M70" s="50"/>
      <c r="N70" s="53"/>
      <c r="O70" s="33">
        <f t="shared" si="48"/>
        <v>0</v>
      </c>
      <c r="P70" s="33">
        <f t="shared" si="49"/>
        <v>0</v>
      </c>
      <c r="Q70" s="33">
        <f t="shared" si="8"/>
        <v>0</v>
      </c>
      <c r="R70" s="33">
        <f t="shared" si="9"/>
        <v>0</v>
      </c>
      <c r="T70" s="54">
        <f t="shared" si="25"/>
        <v>0</v>
      </c>
      <c r="U70" s="54">
        <f t="shared" si="12"/>
        <v>0</v>
      </c>
      <c r="V70" s="54">
        <f t="shared" si="26"/>
        <v>0</v>
      </c>
      <c r="X70" s="33">
        <f t="shared" si="10"/>
        <v>0</v>
      </c>
      <c r="Y70" s="33">
        <f t="shared" si="11"/>
        <v>0</v>
      </c>
      <c r="AA70" s="33">
        <f t="shared" si="27"/>
        <v>0</v>
      </c>
      <c r="AB70" s="33">
        <f t="shared" si="28"/>
        <v>0</v>
      </c>
    </row>
    <row r="71" spans="1:28" x14ac:dyDescent="0.35">
      <c r="A71" s="32"/>
      <c r="B71" s="32"/>
      <c r="C71" s="32"/>
      <c r="D71" s="32"/>
      <c r="E71" s="32"/>
      <c r="F71" s="32"/>
      <c r="G71" s="2">
        <f t="shared" si="4"/>
        <v>0</v>
      </c>
      <c r="H71" s="32"/>
      <c r="I71" s="98">
        <f t="shared" si="5"/>
        <v>0</v>
      </c>
      <c r="J71" s="32"/>
      <c r="K71" s="53"/>
      <c r="L71" s="53"/>
      <c r="M71" s="50"/>
      <c r="N71" s="53"/>
      <c r="O71" s="33">
        <f t="shared" si="48"/>
        <v>0</v>
      </c>
      <c r="P71" s="33">
        <f t="shared" si="49"/>
        <v>0</v>
      </c>
      <c r="Q71" s="33">
        <f t="shared" si="8"/>
        <v>0</v>
      </c>
      <c r="R71" s="33">
        <f t="shared" si="9"/>
        <v>0</v>
      </c>
      <c r="T71" s="54">
        <f t="shared" si="25"/>
        <v>0</v>
      </c>
      <c r="U71" s="54">
        <f t="shared" si="12"/>
        <v>0</v>
      </c>
      <c r="V71" s="54">
        <f t="shared" si="26"/>
        <v>0</v>
      </c>
      <c r="X71" s="33">
        <f t="shared" si="10"/>
        <v>0</v>
      </c>
      <c r="Y71" s="33">
        <f t="shared" si="11"/>
        <v>0</v>
      </c>
      <c r="AA71" s="33">
        <f t="shared" si="27"/>
        <v>0</v>
      </c>
      <c r="AB71" s="33">
        <f t="shared" si="28"/>
        <v>0</v>
      </c>
    </row>
    <row r="72" spans="1:28" x14ac:dyDescent="0.35">
      <c r="A72" s="32"/>
      <c r="B72" s="32"/>
      <c r="C72" s="32"/>
      <c r="D72" s="32"/>
      <c r="E72" s="32"/>
      <c r="F72" s="32"/>
      <c r="G72" s="2">
        <f t="shared" si="4"/>
        <v>0</v>
      </c>
      <c r="H72" s="32"/>
      <c r="I72" s="98">
        <f t="shared" si="5"/>
        <v>0</v>
      </c>
      <c r="J72" s="32"/>
      <c r="K72" s="53"/>
      <c r="L72" s="53"/>
      <c r="M72" s="50"/>
      <c r="N72" s="53"/>
      <c r="O72" s="33">
        <f t="shared" si="48"/>
        <v>0</v>
      </c>
      <c r="P72" s="33">
        <f t="shared" si="49"/>
        <v>0</v>
      </c>
      <c r="Q72" s="33">
        <f t="shared" si="8"/>
        <v>0</v>
      </c>
      <c r="R72" s="33">
        <f t="shared" si="9"/>
        <v>0</v>
      </c>
      <c r="T72" s="54">
        <f t="shared" si="25"/>
        <v>0</v>
      </c>
      <c r="U72" s="54">
        <f t="shared" si="12"/>
        <v>0</v>
      </c>
      <c r="V72" s="54">
        <f t="shared" si="26"/>
        <v>0</v>
      </c>
      <c r="X72" s="33">
        <f t="shared" si="10"/>
        <v>0</v>
      </c>
      <c r="Y72" s="33">
        <f t="shared" si="11"/>
        <v>0</v>
      </c>
      <c r="AA72" s="33">
        <f t="shared" si="27"/>
        <v>0</v>
      </c>
      <c r="AB72" s="33">
        <f t="shared" si="28"/>
        <v>0</v>
      </c>
    </row>
    <row r="73" spans="1:28" x14ac:dyDescent="0.35">
      <c r="A73" s="32"/>
      <c r="B73" s="32"/>
      <c r="C73" s="32"/>
      <c r="D73" s="32"/>
      <c r="E73" s="32"/>
      <c r="F73" s="32"/>
      <c r="G73" s="2">
        <f t="shared" si="4"/>
        <v>0</v>
      </c>
      <c r="H73" s="32"/>
      <c r="I73" s="98">
        <f t="shared" si="5"/>
        <v>0</v>
      </c>
      <c r="J73" s="32"/>
      <c r="K73" s="53"/>
      <c r="L73" s="53"/>
      <c r="M73" s="50"/>
      <c r="N73" s="53"/>
      <c r="O73" s="33">
        <f t="shared" si="48"/>
        <v>0</v>
      </c>
      <c r="P73" s="33">
        <f t="shared" si="49"/>
        <v>0</v>
      </c>
      <c r="Q73" s="33">
        <f t="shared" si="8"/>
        <v>0</v>
      </c>
      <c r="R73" s="33">
        <f t="shared" si="9"/>
        <v>0</v>
      </c>
      <c r="T73" s="54">
        <f t="shared" si="25"/>
        <v>0</v>
      </c>
      <c r="U73" s="54">
        <f t="shared" si="12"/>
        <v>0</v>
      </c>
      <c r="V73" s="54">
        <f t="shared" si="26"/>
        <v>0</v>
      </c>
      <c r="X73" s="33">
        <f t="shared" si="10"/>
        <v>0</v>
      </c>
      <c r="Y73" s="33">
        <f t="shared" si="11"/>
        <v>0</v>
      </c>
      <c r="AA73" s="33">
        <f t="shared" si="27"/>
        <v>0</v>
      </c>
      <c r="AB73" s="33">
        <f t="shared" si="28"/>
        <v>0</v>
      </c>
    </row>
    <row r="74" spans="1:28" x14ac:dyDescent="0.35">
      <c r="A74" s="32"/>
      <c r="B74" s="32"/>
      <c r="C74" s="32"/>
      <c r="D74" s="32"/>
      <c r="E74" s="32"/>
      <c r="F74" s="32"/>
      <c r="G74" s="2">
        <f t="shared" si="4"/>
        <v>0</v>
      </c>
      <c r="H74" s="32"/>
      <c r="I74" s="98">
        <f t="shared" si="5"/>
        <v>0</v>
      </c>
      <c r="J74" s="32"/>
      <c r="K74" s="53"/>
      <c r="L74" s="53"/>
      <c r="M74" s="50"/>
      <c r="N74" s="53"/>
      <c r="O74" s="33">
        <f t="shared" si="48"/>
        <v>0</v>
      </c>
      <c r="P74" s="33">
        <f t="shared" si="49"/>
        <v>0</v>
      </c>
      <c r="Q74" s="33">
        <f t="shared" si="8"/>
        <v>0</v>
      </c>
      <c r="R74" s="33">
        <f t="shared" si="9"/>
        <v>0</v>
      </c>
      <c r="T74" s="54">
        <f t="shared" si="25"/>
        <v>0</v>
      </c>
      <c r="U74" s="54">
        <f t="shared" si="12"/>
        <v>0</v>
      </c>
      <c r="V74" s="54">
        <f t="shared" si="26"/>
        <v>0</v>
      </c>
      <c r="X74" s="33">
        <f t="shared" si="10"/>
        <v>0</v>
      </c>
      <c r="Y74" s="33">
        <f t="shared" si="11"/>
        <v>0</v>
      </c>
      <c r="AA74" s="33">
        <f t="shared" si="27"/>
        <v>0</v>
      </c>
      <c r="AB74" s="33">
        <f t="shared" si="28"/>
        <v>0</v>
      </c>
    </row>
    <row r="75" spans="1:28" x14ac:dyDescent="0.35">
      <c r="A75" s="32"/>
      <c r="B75" s="32"/>
      <c r="C75" s="32"/>
      <c r="D75" s="32"/>
      <c r="E75" s="32"/>
      <c r="F75" s="32"/>
      <c r="G75" s="2">
        <f t="shared" si="4"/>
        <v>0</v>
      </c>
      <c r="H75" s="32"/>
      <c r="I75" s="98">
        <f t="shared" si="5"/>
        <v>0</v>
      </c>
      <c r="J75" s="32"/>
      <c r="K75" s="53"/>
      <c r="L75" s="53"/>
      <c r="M75" s="50"/>
      <c r="N75" s="53"/>
      <c r="O75" s="33">
        <f>IF(M75&gt;3, 3, M75)</f>
        <v>0</v>
      </c>
      <c r="P75" s="33">
        <f>IF(M75&gt;4.5,4.5,MAX(0,M75-3))</f>
        <v>0</v>
      </c>
      <c r="Q75" s="33">
        <f t="shared" si="8"/>
        <v>0</v>
      </c>
      <c r="R75" s="33">
        <f t="shared" si="9"/>
        <v>0</v>
      </c>
      <c r="T75" s="54">
        <f t="shared" si="25"/>
        <v>0</v>
      </c>
      <c r="U75" s="54">
        <f t="shared" si="12"/>
        <v>0</v>
      </c>
      <c r="V75" s="54">
        <f t="shared" si="26"/>
        <v>0</v>
      </c>
      <c r="X75" s="33">
        <f t="shared" si="10"/>
        <v>0</v>
      </c>
      <c r="Y75" s="33">
        <f t="shared" si="11"/>
        <v>0</v>
      </c>
      <c r="AA75" s="33">
        <f t="shared" si="27"/>
        <v>0</v>
      </c>
      <c r="AB75" s="33">
        <f t="shared" si="28"/>
        <v>0</v>
      </c>
    </row>
    <row r="76" spans="1:28" x14ac:dyDescent="0.35">
      <c r="A76" s="32"/>
      <c r="B76" s="32"/>
      <c r="C76" s="32"/>
      <c r="D76" s="32"/>
      <c r="E76" s="32"/>
      <c r="F76" s="32"/>
      <c r="G76" s="2">
        <f t="shared" si="4"/>
        <v>0</v>
      </c>
      <c r="H76" s="32"/>
      <c r="I76" s="98">
        <f t="shared" si="5"/>
        <v>0</v>
      </c>
      <c r="J76" s="32"/>
      <c r="K76" s="53"/>
      <c r="L76" s="53"/>
      <c r="M76" s="50"/>
      <c r="N76" s="53"/>
      <c r="O76" s="33">
        <f t="shared" ref="O76:O79" si="50">IF(M76&gt;3, 3, M76)</f>
        <v>0</v>
      </c>
      <c r="P76" s="33">
        <f t="shared" ref="P76:P79" si="51">IF(M76&gt;4.5,4.5,MAX(0,M76-3))</f>
        <v>0</v>
      </c>
      <c r="Q76" s="33">
        <f t="shared" si="8"/>
        <v>0</v>
      </c>
      <c r="R76" s="33">
        <f t="shared" si="9"/>
        <v>0</v>
      </c>
      <c r="T76" s="54">
        <f t="shared" si="25"/>
        <v>0</v>
      </c>
      <c r="U76" s="54">
        <f t="shared" si="12"/>
        <v>0</v>
      </c>
      <c r="V76" s="54">
        <f t="shared" si="26"/>
        <v>0</v>
      </c>
      <c r="X76" s="33">
        <f t="shared" si="10"/>
        <v>0</v>
      </c>
      <c r="Y76" s="33">
        <f t="shared" si="11"/>
        <v>0</v>
      </c>
      <c r="AA76" s="33">
        <f t="shared" si="27"/>
        <v>0</v>
      </c>
      <c r="AB76" s="33">
        <f t="shared" si="28"/>
        <v>0</v>
      </c>
    </row>
    <row r="77" spans="1:28" x14ac:dyDescent="0.35">
      <c r="A77" s="32"/>
      <c r="B77" s="32"/>
      <c r="C77" s="32"/>
      <c r="D77" s="32"/>
      <c r="E77" s="32"/>
      <c r="F77" s="32"/>
      <c r="G77" s="2">
        <f t="shared" si="4"/>
        <v>0</v>
      </c>
      <c r="H77" s="32"/>
      <c r="I77" s="98">
        <f t="shared" si="5"/>
        <v>0</v>
      </c>
      <c r="J77" s="32"/>
      <c r="K77" s="53"/>
      <c r="L77" s="53"/>
      <c r="M77" s="50"/>
      <c r="N77" s="53"/>
      <c r="O77" s="33">
        <f t="shared" si="50"/>
        <v>0</v>
      </c>
      <c r="P77" s="33">
        <f t="shared" si="51"/>
        <v>0</v>
      </c>
      <c r="Q77" s="33">
        <f t="shared" si="8"/>
        <v>0</v>
      </c>
      <c r="R77" s="33">
        <f t="shared" si="9"/>
        <v>0</v>
      </c>
      <c r="T77" s="54">
        <f t="shared" si="25"/>
        <v>0</v>
      </c>
      <c r="U77" s="54">
        <f t="shared" si="12"/>
        <v>0</v>
      </c>
      <c r="V77" s="54">
        <f t="shared" si="26"/>
        <v>0</v>
      </c>
      <c r="X77" s="33">
        <f t="shared" si="10"/>
        <v>0</v>
      </c>
      <c r="Y77" s="33">
        <f t="shared" si="11"/>
        <v>0</v>
      </c>
      <c r="AA77" s="33">
        <f t="shared" si="27"/>
        <v>0</v>
      </c>
      <c r="AB77" s="33">
        <f t="shared" si="28"/>
        <v>0</v>
      </c>
    </row>
    <row r="78" spans="1:28" x14ac:dyDescent="0.35">
      <c r="A78" s="32"/>
      <c r="B78" s="32"/>
      <c r="C78" s="32"/>
      <c r="D78" s="32"/>
      <c r="E78" s="32"/>
      <c r="F78" s="32"/>
      <c r="G78" s="2">
        <f t="shared" si="4"/>
        <v>0</v>
      </c>
      <c r="H78" s="32"/>
      <c r="I78" s="98">
        <f t="shared" si="5"/>
        <v>0</v>
      </c>
      <c r="J78" s="32"/>
      <c r="K78" s="53"/>
      <c r="L78" s="53"/>
      <c r="M78" s="50"/>
      <c r="N78" s="53"/>
      <c r="O78" s="33">
        <f t="shared" si="50"/>
        <v>0</v>
      </c>
      <c r="P78" s="33">
        <f t="shared" si="51"/>
        <v>0</v>
      </c>
      <c r="Q78" s="33">
        <f t="shared" si="8"/>
        <v>0</v>
      </c>
      <c r="R78" s="33">
        <f t="shared" si="9"/>
        <v>0</v>
      </c>
      <c r="T78" s="54">
        <f t="shared" si="25"/>
        <v>0</v>
      </c>
      <c r="U78" s="54">
        <f t="shared" si="12"/>
        <v>0</v>
      </c>
      <c r="V78" s="54">
        <f t="shared" si="26"/>
        <v>0</v>
      </c>
      <c r="X78" s="33">
        <f t="shared" si="10"/>
        <v>0</v>
      </c>
      <c r="Y78" s="33">
        <f t="shared" si="11"/>
        <v>0</v>
      </c>
      <c r="AA78" s="33">
        <f t="shared" si="27"/>
        <v>0</v>
      </c>
      <c r="AB78" s="33">
        <f t="shared" si="28"/>
        <v>0</v>
      </c>
    </row>
    <row r="79" spans="1:28" x14ac:dyDescent="0.35">
      <c r="A79" s="32"/>
      <c r="B79" s="32"/>
      <c r="C79" s="32"/>
      <c r="D79" s="32"/>
      <c r="E79" s="32"/>
      <c r="F79" s="32"/>
      <c r="G79" s="2">
        <f t="shared" si="4"/>
        <v>0</v>
      </c>
      <c r="H79" s="32"/>
      <c r="I79" s="98">
        <f t="shared" si="5"/>
        <v>0</v>
      </c>
      <c r="J79" s="32"/>
      <c r="K79" s="53"/>
      <c r="L79" s="53"/>
      <c r="M79" s="50"/>
      <c r="N79" s="53"/>
      <c r="O79" s="33">
        <f t="shared" si="50"/>
        <v>0</v>
      </c>
      <c r="P79" s="33">
        <f t="shared" si="51"/>
        <v>0</v>
      </c>
      <c r="Q79" s="33">
        <f t="shared" si="8"/>
        <v>0</v>
      </c>
      <c r="R79" s="33">
        <f t="shared" si="9"/>
        <v>0</v>
      </c>
      <c r="T79" s="54">
        <f t="shared" si="25"/>
        <v>0</v>
      </c>
      <c r="U79" s="54">
        <f t="shared" si="12"/>
        <v>0</v>
      </c>
      <c r="V79" s="54">
        <f t="shared" si="26"/>
        <v>0</v>
      </c>
      <c r="X79" s="33">
        <f t="shared" si="10"/>
        <v>0</v>
      </c>
      <c r="Y79" s="33">
        <f t="shared" si="11"/>
        <v>0</v>
      </c>
      <c r="AA79" s="33">
        <f t="shared" si="27"/>
        <v>0</v>
      </c>
      <c r="AB79" s="33">
        <f t="shared" si="28"/>
        <v>0</v>
      </c>
    </row>
    <row r="80" spans="1:28" x14ac:dyDescent="0.35">
      <c r="A80" s="32"/>
      <c r="B80" s="32"/>
      <c r="C80" s="32"/>
      <c r="D80" s="32"/>
      <c r="E80" s="32"/>
      <c r="F80" s="32"/>
      <c r="G80" s="2">
        <f t="shared" si="4"/>
        <v>0</v>
      </c>
      <c r="H80" s="32"/>
      <c r="I80" s="98">
        <f t="shared" si="5"/>
        <v>0</v>
      </c>
      <c r="J80" s="32"/>
      <c r="K80" s="53"/>
      <c r="L80" s="53"/>
      <c r="M80" s="50"/>
      <c r="N80" s="53"/>
      <c r="O80" s="33">
        <f t="shared" si="6"/>
        <v>0</v>
      </c>
      <c r="P80" s="33">
        <f t="shared" si="7"/>
        <v>0</v>
      </c>
      <c r="Q80" s="33">
        <f t="shared" si="8"/>
        <v>0</v>
      </c>
      <c r="R80" s="33">
        <f t="shared" si="9"/>
        <v>0</v>
      </c>
      <c r="T80" s="54">
        <f t="shared" si="25"/>
        <v>0</v>
      </c>
      <c r="U80" s="54">
        <f t="shared" si="12"/>
        <v>0</v>
      </c>
      <c r="V80" s="54">
        <f t="shared" si="26"/>
        <v>0</v>
      </c>
      <c r="X80" s="33">
        <f t="shared" si="10"/>
        <v>0</v>
      </c>
      <c r="Y80" s="33">
        <f t="shared" si="11"/>
        <v>0</v>
      </c>
      <c r="AA80" s="33">
        <f t="shared" si="27"/>
        <v>0</v>
      </c>
      <c r="AB80" s="33">
        <f t="shared" si="28"/>
        <v>0</v>
      </c>
    </row>
    <row r="81" spans="1:28" x14ac:dyDescent="0.35">
      <c r="A81" s="32"/>
      <c r="B81" s="32"/>
      <c r="C81" s="32"/>
      <c r="D81" s="32"/>
      <c r="E81" s="32"/>
      <c r="F81" s="32"/>
      <c r="G81" s="2">
        <f t="shared" si="4"/>
        <v>0</v>
      </c>
      <c r="H81" s="32"/>
      <c r="I81" s="98">
        <f t="shared" si="5"/>
        <v>0</v>
      </c>
      <c r="J81" s="32"/>
      <c r="K81" s="53"/>
      <c r="L81" s="53"/>
      <c r="M81" s="50"/>
      <c r="N81" s="53"/>
      <c r="O81" s="33">
        <f t="shared" si="6"/>
        <v>0</v>
      </c>
      <c r="P81" s="33">
        <f t="shared" si="7"/>
        <v>0</v>
      </c>
      <c r="Q81" s="33">
        <f t="shared" si="8"/>
        <v>0</v>
      </c>
      <c r="R81" s="33">
        <f t="shared" si="9"/>
        <v>0</v>
      </c>
      <c r="T81" s="54">
        <f t="shared" si="25"/>
        <v>0</v>
      </c>
      <c r="U81" s="54">
        <f t="shared" si="12"/>
        <v>0</v>
      </c>
      <c r="V81" s="54">
        <f t="shared" si="26"/>
        <v>0</v>
      </c>
      <c r="X81" s="33">
        <f t="shared" si="10"/>
        <v>0</v>
      </c>
      <c r="Y81" s="33">
        <f t="shared" si="11"/>
        <v>0</v>
      </c>
      <c r="AA81" s="33">
        <f t="shared" si="27"/>
        <v>0</v>
      </c>
      <c r="AB81" s="33">
        <f t="shared" si="28"/>
        <v>0</v>
      </c>
    </row>
    <row r="82" spans="1:28" x14ac:dyDescent="0.35">
      <c r="A82" s="32"/>
      <c r="B82" s="32"/>
      <c r="C82" s="32"/>
      <c r="D82" s="32"/>
      <c r="E82" s="32"/>
      <c r="F82" s="32"/>
      <c r="G82" s="2">
        <f t="shared" si="4"/>
        <v>0</v>
      </c>
      <c r="H82" s="32"/>
      <c r="I82" s="98">
        <f t="shared" si="5"/>
        <v>0</v>
      </c>
      <c r="J82" s="32"/>
      <c r="K82" s="53"/>
      <c r="L82" s="53"/>
      <c r="M82" s="50"/>
      <c r="N82" s="53"/>
      <c r="O82" s="33">
        <f t="shared" si="6"/>
        <v>0</v>
      </c>
      <c r="P82" s="33">
        <f t="shared" si="7"/>
        <v>0</v>
      </c>
      <c r="Q82" s="33">
        <f t="shared" si="8"/>
        <v>0</v>
      </c>
      <c r="R82" s="33">
        <f t="shared" si="9"/>
        <v>0</v>
      </c>
      <c r="T82" s="54">
        <f t="shared" si="25"/>
        <v>0</v>
      </c>
      <c r="U82" s="54">
        <f t="shared" si="12"/>
        <v>0</v>
      </c>
      <c r="V82" s="54">
        <f t="shared" si="26"/>
        <v>0</v>
      </c>
      <c r="X82" s="33">
        <f t="shared" si="10"/>
        <v>0</v>
      </c>
      <c r="Y82" s="33">
        <f t="shared" si="11"/>
        <v>0</v>
      </c>
      <c r="AA82" s="33">
        <f t="shared" si="27"/>
        <v>0</v>
      </c>
      <c r="AB82" s="33">
        <f t="shared" si="28"/>
        <v>0</v>
      </c>
    </row>
    <row r="83" spans="1:28" x14ac:dyDescent="0.35">
      <c r="A83" s="32"/>
      <c r="B83" s="32"/>
      <c r="C83" s="32"/>
      <c r="D83" s="32"/>
      <c r="E83" s="32"/>
      <c r="F83" s="32"/>
      <c r="G83" s="2">
        <f t="shared" si="4"/>
        <v>0</v>
      </c>
      <c r="H83" s="32"/>
      <c r="I83" s="98">
        <f t="shared" si="5"/>
        <v>0</v>
      </c>
      <c r="J83" s="32"/>
      <c r="K83" s="53"/>
      <c r="L83" s="53"/>
      <c r="M83" s="50"/>
      <c r="N83" s="53"/>
      <c r="O83" s="33">
        <f t="shared" si="6"/>
        <v>0</v>
      </c>
      <c r="P83" s="33">
        <f t="shared" si="7"/>
        <v>0</v>
      </c>
      <c r="Q83" s="33">
        <f t="shared" si="8"/>
        <v>0</v>
      </c>
      <c r="R83" s="33">
        <f t="shared" si="9"/>
        <v>0</v>
      </c>
      <c r="T83" s="54">
        <f t="shared" si="25"/>
        <v>0</v>
      </c>
      <c r="U83" s="54">
        <f t="shared" si="12"/>
        <v>0</v>
      </c>
      <c r="V83" s="54">
        <f t="shared" si="26"/>
        <v>0</v>
      </c>
      <c r="X83" s="33">
        <f t="shared" si="10"/>
        <v>0</v>
      </c>
      <c r="Y83" s="33">
        <f t="shared" si="11"/>
        <v>0</v>
      </c>
      <c r="AA83" s="33">
        <f t="shared" si="27"/>
        <v>0</v>
      </c>
      <c r="AB83" s="33">
        <f t="shared" si="28"/>
        <v>0</v>
      </c>
    </row>
    <row r="84" spans="1:28" x14ac:dyDescent="0.35">
      <c r="A84" s="32"/>
      <c r="B84" s="32"/>
      <c r="C84" s="32"/>
      <c r="D84" s="32"/>
      <c r="E84" s="32"/>
      <c r="F84" s="32"/>
      <c r="G84" s="2">
        <f t="shared" si="4"/>
        <v>0</v>
      </c>
      <c r="H84" s="32"/>
      <c r="I84" s="98">
        <f t="shared" si="5"/>
        <v>0</v>
      </c>
      <c r="J84" s="32"/>
      <c r="K84" s="53"/>
      <c r="L84" s="53"/>
      <c r="M84" s="50"/>
      <c r="N84" s="53"/>
      <c r="O84" s="33">
        <f t="shared" si="6"/>
        <v>0</v>
      </c>
      <c r="P84" s="33">
        <f t="shared" si="7"/>
        <v>0</v>
      </c>
      <c r="Q84" s="33">
        <f t="shared" si="8"/>
        <v>0</v>
      </c>
      <c r="R84" s="33">
        <f t="shared" si="9"/>
        <v>0</v>
      </c>
      <c r="T84" s="54">
        <f t="shared" si="25"/>
        <v>0</v>
      </c>
      <c r="U84" s="54">
        <f t="shared" si="12"/>
        <v>0</v>
      </c>
      <c r="V84" s="54">
        <f t="shared" si="26"/>
        <v>0</v>
      </c>
      <c r="X84" s="33">
        <f t="shared" si="10"/>
        <v>0</v>
      </c>
      <c r="Y84" s="33">
        <f t="shared" si="11"/>
        <v>0</v>
      </c>
      <c r="AA84" s="33">
        <f t="shared" si="27"/>
        <v>0</v>
      </c>
      <c r="AB84" s="33">
        <f t="shared" si="28"/>
        <v>0</v>
      </c>
    </row>
    <row r="85" spans="1:28" x14ac:dyDescent="0.35">
      <c r="A85" s="32"/>
      <c r="B85" s="32"/>
      <c r="C85" s="32"/>
      <c r="D85" s="32"/>
      <c r="E85" s="32"/>
      <c r="F85" s="32"/>
      <c r="G85" s="2">
        <f t="shared" si="4"/>
        <v>0</v>
      </c>
      <c r="H85" s="32"/>
      <c r="I85" s="98">
        <f t="shared" si="5"/>
        <v>0</v>
      </c>
      <c r="J85" s="32"/>
      <c r="K85" s="53"/>
      <c r="L85" s="53"/>
      <c r="M85" s="50"/>
      <c r="N85" s="53"/>
      <c r="O85" s="33">
        <f t="shared" si="6"/>
        <v>0</v>
      </c>
      <c r="P85" s="33">
        <f t="shared" si="7"/>
        <v>0</v>
      </c>
      <c r="Q85" s="33">
        <f t="shared" si="8"/>
        <v>0</v>
      </c>
      <c r="R85" s="33">
        <f t="shared" si="9"/>
        <v>0</v>
      </c>
      <c r="T85" s="54">
        <f t="shared" si="25"/>
        <v>0</v>
      </c>
      <c r="U85" s="54">
        <f t="shared" si="12"/>
        <v>0</v>
      </c>
      <c r="V85" s="54">
        <f t="shared" si="26"/>
        <v>0</v>
      </c>
      <c r="X85" s="33">
        <f t="shared" si="10"/>
        <v>0</v>
      </c>
      <c r="Y85" s="33">
        <f t="shared" si="11"/>
        <v>0</v>
      </c>
      <c r="AA85" s="33">
        <f t="shared" si="27"/>
        <v>0</v>
      </c>
      <c r="AB85" s="33">
        <f t="shared" si="28"/>
        <v>0</v>
      </c>
    </row>
    <row r="86" spans="1:28" x14ac:dyDescent="0.35">
      <c r="A86" s="32"/>
      <c r="B86" s="32"/>
      <c r="C86" s="32"/>
      <c r="D86" s="32"/>
      <c r="E86" s="32"/>
      <c r="F86" s="32"/>
      <c r="G86" s="2">
        <f t="shared" si="4"/>
        <v>0</v>
      </c>
      <c r="H86" s="32"/>
      <c r="I86" s="98">
        <f t="shared" si="5"/>
        <v>0</v>
      </c>
      <c r="J86" s="32"/>
      <c r="K86" s="53"/>
      <c r="L86" s="53"/>
      <c r="M86" s="50"/>
      <c r="N86" s="53"/>
      <c r="O86" s="33">
        <f t="shared" si="6"/>
        <v>0</v>
      </c>
      <c r="P86" s="33">
        <f t="shared" si="7"/>
        <v>0</v>
      </c>
      <c r="Q86" s="33">
        <f t="shared" si="8"/>
        <v>0</v>
      </c>
      <c r="R86" s="33">
        <f t="shared" si="9"/>
        <v>0</v>
      </c>
      <c r="T86" s="54">
        <f t="shared" si="25"/>
        <v>0</v>
      </c>
      <c r="U86" s="54">
        <f t="shared" si="12"/>
        <v>0</v>
      </c>
      <c r="V86" s="54">
        <f t="shared" si="26"/>
        <v>0</v>
      </c>
      <c r="X86" s="33">
        <f t="shared" si="10"/>
        <v>0</v>
      </c>
      <c r="Y86" s="33">
        <f t="shared" si="11"/>
        <v>0</v>
      </c>
      <c r="AA86" s="33">
        <f t="shared" si="27"/>
        <v>0</v>
      </c>
      <c r="AB86" s="33">
        <f t="shared" si="28"/>
        <v>0</v>
      </c>
    </row>
    <row r="87" spans="1:28" x14ac:dyDescent="0.35">
      <c r="A87" s="32"/>
      <c r="B87" s="32"/>
      <c r="C87" s="32"/>
      <c r="D87" s="32"/>
      <c r="E87" s="32"/>
      <c r="F87" s="32"/>
      <c r="G87" s="2">
        <f t="shared" si="4"/>
        <v>0</v>
      </c>
      <c r="H87" s="32"/>
      <c r="I87" s="98">
        <f t="shared" si="5"/>
        <v>0</v>
      </c>
      <c r="J87" s="32"/>
      <c r="K87" s="53"/>
      <c r="L87" s="53"/>
      <c r="M87" s="50"/>
      <c r="N87" s="53"/>
      <c r="O87" s="33">
        <f t="shared" si="6"/>
        <v>0</v>
      </c>
      <c r="P87" s="33">
        <f t="shared" si="7"/>
        <v>0</v>
      </c>
      <c r="Q87" s="33">
        <f t="shared" si="8"/>
        <v>0</v>
      </c>
      <c r="R87" s="33">
        <f t="shared" si="9"/>
        <v>0</v>
      </c>
      <c r="T87" s="54">
        <f t="shared" si="25"/>
        <v>0</v>
      </c>
      <c r="U87" s="54">
        <f t="shared" si="12"/>
        <v>0</v>
      </c>
      <c r="V87" s="54">
        <f t="shared" si="26"/>
        <v>0</v>
      </c>
      <c r="X87" s="33">
        <f t="shared" si="10"/>
        <v>0</v>
      </c>
      <c r="Y87" s="33">
        <f t="shared" si="11"/>
        <v>0</v>
      </c>
      <c r="AA87" s="33">
        <f t="shared" si="27"/>
        <v>0</v>
      </c>
      <c r="AB87" s="33">
        <f t="shared" si="28"/>
        <v>0</v>
      </c>
    </row>
    <row r="88" spans="1:28" x14ac:dyDescent="0.35">
      <c r="A88" s="32"/>
      <c r="B88" s="32"/>
      <c r="C88" s="32"/>
      <c r="D88" s="32"/>
      <c r="E88" s="32"/>
      <c r="F88" s="32"/>
      <c r="G88" s="2">
        <f t="shared" si="4"/>
        <v>0</v>
      </c>
      <c r="H88" s="32"/>
      <c r="I88" s="98">
        <f t="shared" si="5"/>
        <v>0</v>
      </c>
      <c r="J88" s="32"/>
      <c r="K88" s="53"/>
      <c r="L88" s="53"/>
      <c r="M88" s="50"/>
      <c r="N88" s="53"/>
      <c r="O88" s="33">
        <f t="shared" si="6"/>
        <v>0</v>
      </c>
      <c r="P88" s="33">
        <f t="shared" si="7"/>
        <v>0</v>
      </c>
      <c r="Q88" s="33">
        <f t="shared" si="8"/>
        <v>0</v>
      </c>
      <c r="R88" s="33">
        <f t="shared" si="9"/>
        <v>0</v>
      </c>
      <c r="T88" s="54">
        <f t="shared" si="25"/>
        <v>0</v>
      </c>
      <c r="U88" s="54">
        <f t="shared" si="12"/>
        <v>0</v>
      </c>
      <c r="V88" s="54">
        <f t="shared" si="26"/>
        <v>0</v>
      </c>
      <c r="X88" s="33">
        <f t="shared" si="10"/>
        <v>0</v>
      </c>
      <c r="Y88" s="33">
        <f t="shared" si="11"/>
        <v>0</v>
      </c>
      <c r="AA88" s="33">
        <f t="shared" si="27"/>
        <v>0</v>
      </c>
      <c r="AB88" s="33">
        <f t="shared" si="28"/>
        <v>0</v>
      </c>
    </row>
    <row r="89" spans="1:28" x14ac:dyDescent="0.35">
      <c r="A89" s="32"/>
      <c r="B89" s="32"/>
      <c r="C89" s="32"/>
      <c r="D89" s="32"/>
      <c r="E89" s="32"/>
      <c r="F89" s="32"/>
      <c r="G89" s="2">
        <f t="shared" si="4"/>
        <v>0</v>
      </c>
      <c r="H89" s="32"/>
      <c r="I89" s="98">
        <f t="shared" si="5"/>
        <v>0</v>
      </c>
      <c r="J89" s="32"/>
      <c r="K89" s="53"/>
      <c r="L89" s="53"/>
      <c r="M89" s="51"/>
      <c r="N89" s="53"/>
      <c r="O89" s="33">
        <f t="shared" si="6"/>
        <v>0</v>
      </c>
      <c r="P89" s="33">
        <f t="shared" si="7"/>
        <v>0</v>
      </c>
      <c r="Q89" s="33">
        <f t="shared" si="8"/>
        <v>0</v>
      </c>
      <c r="R89" s="33">
        <f t="shared" si="9"/>
        <v>0</v>
      </c>
      <c r="T89" s="54">
        <f t="shared" si="25"/>
        <v>0</v>
      </c>
      <c r="U89" s="54">
        <f t="shared" si="12"/>
        <v>0</v>
      </c>
      <c r="V89" s="54">
        <f t="shared" si="26"/>
        <v>0</v>
      </c>
      <c r="X89" s="33">
        <f t="shared" si="10"/>
        <v>0</v>
      </c>
      <c r="Y89" s="33">
        <f t="shared" si="11"/>
        <v>0</v>
      </c>
      <c r="AA89" s="33">
        <f t="shared" si="27"/>
        <v>0</v>
      </c>
      <c r="AB89" s="33">
        <f t="shared" si="28"/>
        <v>0</v>
      </c>
    </row>
    <row r="90" spans="1:28" x14ac:dyDescent="0.35">
      <c r="A90" s="32"/>
      <c r="B90" s="32"/>
      <c r="C90" s="32"/>
      <c r="D90" s="32"/>
      <c r="E90" s="32"/>
      <c r="F90" s="32"/>
      <c r="G90" s="2">
        <f t="shared" si="4"/>
        <v>0</v>
      </c>
      <c r="H90" s="32"/>
      <c r="I90" s="98">
        <f t="shared" si="5"/>
        <v>0</v>
      </c>
      <c r="J90" s="32"/>
      <c r="K90" s="53"/>
      <c r="L90" s="53"/>
      <c r="M90" s="51"/>
      <c r="N90" s="53"/>
      <c r="O90" s="33">
        <f t="shared" ref="O90" si="52">IF(M90&gt;3, 3, M90)</f>
        <v>0</v>
      </c>
      <c r="P90" s="33">
        <f t="shared" ref="P90" si="53">IF(M90&gt;4.5,4.5,MAX(0,M90-3))</f>
        <v>0</v>
      </c>
      <c r="Q90" s="33">
        <f t="shared" ref="Q90:Q91" si="54">IF(M90&gt;1.2, 1.2, M90)</f>
        <v>0</v>
      </c>
      <c r="R90" s="33">
        <f t="shared" si="9"/>
        <v>0</v>
      </c>
      <c r="T90" s="54">
        <f t="shared" si="25"/>
        <v>0</v>
      </c>
      <c r="U90" s="54">
        <f t="shared" si="12"/>
        <v>0</v>
      </c>
      <c r="V90" s="54">
        <f t="shared" si="26"/>
        <v>0</v>
      </c>
      <c r="X90" s="33">
        <f t="shared" si="10"/>
        <v>0</v>
      </c>
      <c r="Y90" s="33">
        <f t="shared" si="11"/>
        <v>0</v>
      </c>
      <c r="AA90" s="33">
        <f t="shared" si="27"/>
        <v>0</v>
      </c>
      <c r="AB90" s="33">
        <f t="shared" si="28"/>
        <v>0</v>
      </c>
    </row>
    <row r="91" spans="1:28" x14ac:dyDescent="0.35">
      <c r="A91" s="32"/>
      <c r="B91" s="32"/>
      <c r="C91" s="32"/>
      <c r="D91" s="32"/>
      <c r="E91" s="32"/>
      <c r="F91" s="32"/>
      <c r="G91" s="2">
        <f t="shared" si="4"/>
        <v>0</v>
      </c>
      <c r="H91" s="32"/>
      <c r="I91" s="98">
        <f t="shared" si="5"/>
        <v>0</v>
      </c>
      <c r="J91" s="32"/>
      <c r="K91" s="53"/>
      <c r="L91" s="53"/>
      <c r="M91" s="50"/>
      <c r="N91" s="53"/>
      <c r="O91" s="33">
        <f t="shared" si="6"/>
        <v>0</v>
      </c>
      <c r="P91" s="33">
        <f t="shared" si="7"/>
        <v>0</v>
      </c>
      <c r="Q91" s="33">
        <f t="shared" si="54"/>
        <v>0</v>
      </c>
      <c r="R91" s="33">
        <f t="shared" si="9"/>
        <v>0</v>
      </c>
      <c r="T91" s="54">
        <f t="shared" si="25"/>
        <v>0</v>
      </c>
      <c r="U91" s="54">
        <f t="shared" si="12"/>
        <v>0</v>
      </c>
      <c r="V91" s="54">
        <f t="shared" si="26"/>
        <v>0</v>
      </c>
      <c r="X91" s="33">
        <f t="shared" si="10"/>
        <v>0</v>
      </c>
      <c r="Y91" s="33">
        <f t="shared" si="11"/>
        <v>0</v>
      </c>
      <c r="AA91" s="33">
        <f t="shared" si="27"/>
        <v>0</v>
      </c>
      <c r="AB91" s="33">
        <f t="shared" si="28"/>
        <v>0</v>
      </c>
    </row>
    <row r="92" spans="1:28" ht="15" thickBot="1" x14ac:dyDescent="0.4">
      <c r="A92" s="28"/>
      <c r="B92" s="28"/>
      <c r="C92" s="28"/>
      <c r="D92" s="28"/>
      <c r="E92" s="28"/>
      <c r="F92" s="28"/>
      <c r="G92" s="121">
        <f>SUM(G2:G91)</f>
        <v>0</v>
      </c>
      <c r="H92" s="30"/>
      <c r="I92" s="52">
        <f>SUM(I2:I91)</f>
        <v>0</v>
      </c>
      <c r="J92" s="30"/>
      <c r="M92" s="52">
        <f>SUM(M2:M91)</f>
        <v>0</v>
      </c>
      <c r="O92" s="52">
        <f t="shared" ref="O92:P92" si="55">SUM(O2:O91)</f>
        <v>0</v>
      </c>
      <c r="P92" s="52">
        <f t="shared" si="55"/>
        <v>0</v>
      </c>
      <c r="T92" s="59">
        <f>SUM(T2:T91)</f>
        <v>0</v>
      </c>
      <c r="U92" s="59">
        <f>SUM(U2:U91)</f>
        <v>0</v>
      </c>
      <c r="V92" s="120">
        <f>SUM(V2:V91)</f>
        <v>0</v>
      </c>
      <c r="X92" s="52">
        <f>SUM(X2:X91)</f>
        <v>0</v>
      </c>
      <c r="Y92" s="52">
        <f>SUM(Y2:Y91)</f>
        <v>0</v>
      </c>
      <c r="AA92" s="52">
        <f>SUM(AA2:AA91)</f>
        <v>0</v>
      </c>
      <c r="AB92" s="52">
        <f>SUM(AB2:AB91)</f>
        <v>0</v>
      </c>
    </row>
    <row r="98" spans="1:16" x14ac:dyDescent="0.35">
      <c r="A98" s="101"/>
      <c r="B98" s="30"/>
      <c r="C98" s="30"/>
      <c r="D98" s="30"/>
      <c r="E98" s="30"/>
      <c r="F98" s="30"/>
      <c r="G98" s="30"/>
      <c r="H98" s="101"/>
      <c r="I98" s="30"/>
      <c r="J98" s="30"/>
      <c r="M98" s="101"/>
      <c r="O98" s="30"/>
      <c r="P98" s="105"/>
    </row>
    <row r="99" spans="1:16" x14ac:dyDescent="0.35">
      <c r="A99" s="106"/>
      <c r="B99" s="106"/>
      <c r="C99" s="106"/>
      <c r="D99" s="106"/>
      <c r="E99" s="106"/>
      <c r="F99" s="106"/>
      <c r="G99" s="2"/>
      <c r="H99" s="106"/>
      <c r="I99" s="107"/>
      <c r="J99" s="106"/>
      <c r="M99" s="106"/>
      <c r="O99" s="108"/>
      <c r="P99" s="108"/>
    </row>
    <row r="100" spans="1:16" x14ac:dyDescent="0.35">
      <c r="A100" s="106"/>
      <c r="B100" s="106"/>
      <c r="C100" s="106"/>
      <c r="D100" s="106"/>
      <c r="E100" s="106"/>
      <c r="F100" s="106"/>
      <c r="G100" s="2"/>
      <c r="H100" s="106"/>
      <c r="I100" s="107"/>
      <c r="J100" s="106"/>
      <c r="M100" s="106"/>
      <c r="O100" s="108"/>
      <c r="P100" s="108"/>
    </row>
    <row r="101" spans="1:16" x14ac:dyDescent="0.35">
      <c r="A101" s="106"/>
      <c r="B101" s="106"/>
      <c r="C101" s="106"/>
      <c r="D101" s="106"/>
      <c r="E101" s="106"/>
      <c r="F101" s="106"/>
      <c r="G101" s="2"/>
      <c r="H101" s="106"/>
      <c r="I101" s="107"/>
      <c r="J101" s="106"/>
      <c r="M101" s="106"/>
      <c r="O101" s="108"/>
      <c r="P101" s="108"/>
    </row>
    <row r="102" spans="1:16" x14ac:dyDescent="0.35">
      <c r="A102" s="106"/>
      <c r="B102" s="106"/>
      <c r="C102" s="106"/>
      <c r="D102" s="106"/>
      <c r="E102" s="106"/>
      <c r="F102" s="106"/>
      <c r="G102" s="2"/>
      <c r="H102" s="106"/>
      <c r="I102" s="107"/>
      <c r="J102" s="106"/>
      <c r="M102" s="106"/>
      <c r="O102" s="108"/>
      <c r="P102" s="108"/>
    </row>
    <row r="103" spans="1:16" x14ac:dyDescent="0.35">
      <c r="A103" s="106"/>
      <c r="B103" s="106"/>
      <c r="C103" s="106"/>
      <c r="D103" s="106"/>
      <c r="E103" s="106"/>
      <c r="F103" s="106"/>
      <c r="G103" s="2"/>
      <c r="H103" s="106"/>
      <c r="I103" s="107"/>
      <c r="J103" s="106"/>
      <c r="M103" s="106"/>
      <c r="O103" s="108"/>
      <c r="P103" s="108"/>
    </row>
    <row r="104" spans="1:16" x14ac:dyDescent="0.35">
      <c r="A104" s="106"/>
      <c r="B104" s="106"/>
      <c r="C104" s="106"/>
      <c r="D104" s="106"/>
      <c r="E104" s="106"/>
      <c r="F104" s="106"/>
      <c r="G104" s="2"/>
      <c r="H104" s="106"/>
      <c r="I104" s="107"/>
      <c r="J104" s="106"/>
      <c r="M104" s="106"/>
      <c r="O104" s="108"/>
      <c r="P104" s="108"/>
    </row>
    <row r="105" spans="1:16" x14ac:dyDescent="0.35">
      <c r="A105" s="106"/>
      <c r="B105" s="106"/>
      <c r="C105" s="106"/>
      <c r="D105" s="106"/>
      <c r="E105" s="106"/>
      <c r="F105" s="106"/>
      <c r="G105" s="2"/>
      <c r="H105" s="106"/>
      <c r="I105" s="107"/>
      <c r="J105" s="106"/>
      <c r="M105" s="106"/>
      <c r="O105" s="108"/>
      <c r="P105" s="108"/>
    </row>
    <row r="106" spans="1:16" x14ac:dyDescent="0.35">
      <c r="A106" s="106"/>
      <c r="B106" s="106"/>
      <c r="C106" s="106"/>
      <c r="D106" s="106"/>
      <c r="E106" s="106"/>
      <c r="F106" s="106"/>
      <c r="G106" s="2"/>
      <c r="H106" s="106"/>
      <c r="I106" s="107"/>
      <c r="J106" s="106"/>
      <c r="M106" s="106"/>
      <c r="O106" s="108"/>
      <c r="P106" s="108"/>
    </row>
    <row r="107" spans="1:16" x14ac:dyDescent="0.35">
      <c r="A107" s="106"/>
      <c r="B107" s="106"/>
      <c r="C107" s="106"/>
      <c r="D107" s="106"/>
      <c r="E107" s="106"/>
      <c r="F107" s="106"/>
      <c r="G107" s="2"/>
      <c r="H107" s="106"/>
      <c r="I107" s="107"/>
      <c r="J107" s="106"/>
      <c r="M107" s="106"/>
      <c r="O107" s="108"/>
      <c r="P107" s="108"/>
    </row>
    <row r="108" spans="1:16" x14ac:dyDescent="0.35">
      <c r="A108" s="106"/>
      <c r="B108" s="106"/>
      <c r="C108" s="106"/>
      <c r="D108" s="106"/>
      <c r="E108" s="106"/>
      <c r="F108" s="106"/>
      <c r="G108" s="2"/>
      <c r="H108" s="106"/>
      <c r="I108" s="107"/>
      <c r="J108" s="106"/>
      <c r="M108" s="106"/>
      <c r="O108" s="108"/>
      <c r="P108" s="108"/>
    </row>
    <row r="109" spans="1:16" x14ac:dyDescent="0.35">
      <c r="A109" s="106"/>
      <c r="B109" s="106"/>
      <c r="C109" s="106"/>
      <c r="D109" s="106"/>
      <c r="E109" s="106"/>
      <c r="F109" s="106"/>
      <c r="G109" s="2"/>
      <c r="H109" s="106"/>
      <c r="I109" s="107"/>
      <c r="J109" s="106"/>
      <c r="M109" s="106"/>
      <c r="O109" s="108"/>
      <c r="P109" s="108"/>
    </row>
    <row r="110" spans="1:16" x14ac:dyDescent="0.35">
      <c r="A110" s="106"/>
      <c r="B110" s="106"/>
      <c r="C110" s="106"/>
      <c r="D110" s="106"/>
      <c r="E110" s="106"/>
      <c r="F110" s="106"/>
      <c r="G110" s="2"/>
      <c r="H110" s="106"/>
      <c r="I110" s="107"/>
      <c r="J110" s="106"/>
      <c r="M110" s="106"/>
      <c r="O110" s="108"/>
      <c r="P110" s="108"/>
    </row>
    <row r="111" spans="1:16" x14ac:dyDescent="0.35">
      <c r="A111" s="106"/>
      <c r="B111" s="106"/>
      <c r="C111" s="106"/>
      <c r="D111" s="106"/>
      <c r="E111" s="106"/>
      <c r="F111" s="106"/>
      <c r="G111" s="2"/>
      <c r="H111" s="106"/>
      <c r="I111" s="107"/>
      <c r="J111" s="106"/>
      <c r="M111" s="106"/>
      <c r="O111" s="108"/>
      <c r="P111" s="108"/>
    </row>
    <row r="112" spans="1:16" x14ac:dyDescent="0.35">
      <c r="A112" s="106"/>
      <c r="B112" s="106"/>
      <c r="C112" s="106"/>
      <c r="D112" s="106"/>
      <c r="E112" s="106"/>
      <c r="F112" s="106"/>
      <c r="G112" s="2"/>
      <c r="H112" s="106"/>
      <c r="I112" s="107"/>
      <c r="J112" s="106"/>
      <c r="M112" s="106"/>
      <c r="O112" s="108"/>
      <c r="P112" s="108"/>
    </row>
    <row r="113" spans="1:16" x14ac:dyDescent="0.35">
      <c r="A113" s="106"/>
      <c r="B113" s="106"/>
      <c r="C113" s="106"/>
      <c r="D113" s="106"/>
      <c r="E113" s="106"/>
      <c r="F113" s="106"/>
      <c r="G113" s="2"/>
      <c r="H113" s="106"/>
      <c r="I113" s="107"/>
      <c r="J113" s="106"/>
      <c r="M113" s="106"/>
      <c r="O113" s="108"/>
      <c r="P113" s="108"/>
    </row>
    <row r="114" spans="1:16" x14ac:dyDescent="0.35">
      <c r="A114" s="106"/>
      <c r="B114" s="106"/>
      <c r="C114" s="106"/>
      <c r="D114" s="106"/>
      <c r="E114" s="106"/>
      <c r="F114" s="106"/>
      <c r="G114" s="2"/>
      <c r="H114" s="106"/>
      <c r="I114" s="107"/>
      <c r="J114" s="106"/>
      <c r="M114" s="106"/>
      <c r="O114" s="108"/>
      <c r="P114" s="108"/>
    </row>
    <row r="115" spans="1:16" x14ac:dyDescent="0.35">
      <c r="A115" s="106"/>
      <c r="B115" s="106"/>
      <c r="C115" s="106"/>
      <c r="D115" s="106"/>
      <c r="E115" s="106"/>
      <c r="F115" s="106"/>
      <c r="G115" s="2"/>
      <c r="H115" s="106"/>
      <c r="I115" s="107"/>
      <c r="J115" s="106"/>
      <c r="M115" s="106"/>
      <c r="O115" s="108"/>
      <c r="P115" s="108"/>
    </row>
    <row r="116" spans="1:16" x14ac:dyDescent="0.35">
      <c r="A116" s="106"/>
      <c r="B116" s="106"/>
      <c r="C116" s="106"/>
      <c r="D116" s="106"/>
      <c r="E116" s="106"/>
      <c r="F116" s="106"/>
      <c r="G116" s="2"/>
      <c r="H116" s="106"/>
      <c r="I116" s="107"/>
      <c r="J116" s="106"/>
      <c r="M116" s="106"/>
      <c r="O116" s="108"/>
      <c r="P116" s="108"/>
    </row>
    <row r="117" spans="1:16" x14ac:dyDescent="0.35">
      <c r="A117" s="106"/>
      <c r="B117" s="106"/>
      <c r="C117" s="106"/>
      <c r="D117" s="106"/>
      <c r="E117" s="106"/>
      <c r="F117" s="106"/>
      <c r="G117" s="2"/>
      <c r="H117" s="106"/>
      <c r="I117" s="107"/>
      <c r="J117" s="106"/>
      <c r="M117" s="106"/>
      <c r="O117" s="108"/>
      <c r="P117" s="108"/>
    </row>
    <row r="118" spans="1:16" x14ac:dyDescent="0.35">
      <c r="A118" s="106"/>
      <c r="B118" s="106"/>
      <c r="C118" s="106"/>
      <c r="D118" s="106"/>
      <c r="E118" s="106"/>
      <c r="F118" s="106"/>
      <c r="G118" s="2"/>
      <c r="H118" s="106"/>
      <c r="I118" s="107"/>
      <c r="J118" s="106"/>
      <c r="M118" s="106"/>
      <c r="O118" s="108"/>
      <c r="P118" s="108"/>
    </row>
    <row r="119" spans="1:16" x14ac:dyDescent="0.35">
      <c r="A119" s="106"/>
      <c r="B119" s="106"/>
      <c r="C119" s="106"/>
      <c r="D119" s="106"/>
      <c r="E119" s="106"/>
      <c r="F119" s="106"/>
      <c r="G119" s="2"/>
      <c r="H119" s="106"/>
      <c r="I119" s="107"/>
      <c r="J119" s="106"/>
      <c r="M119" s="106"/>
      <c r="O119" s="108"/>
      <c r="P119" s="108"/>
    </row>
    <row r="120" spans="1:16" x14ac:dyDescent="0.35">
      <c r="A120" s="106"/>
      <c r="B120" s="106"/>
      <c r="C120" s="106"/>
      <c r="D120" s="106"/>
      <c r="E120" s="106"/>
      <c r="F120" s="106"/>
      <c r="G120" s="2"/>
      <c r="H120" s="106"/>
      <c r="I120" s="107"/>
      <c r="J120" s="106"/>
      <c r="M120" s="106"/>
      <c r="O120" s="108"/>
      <c r="P120" s="108"/>
    </row>
    <row r="121" spans="1:16" x14ac:dyDescent="0.35">
      <c r="A121" s="106"/>
      <c r="B121" s="106"/>
      <c r="C121" s="106"/>
      <c r="D121" s="106"/>
      <c r="E121" s="106"/>
      <c r="F121" s="106"/>
      <c r="G121" s="2"/>
      <c r="H121" s="106"/>
      <c r="I121" s="107"/>
      <c r="J121" s="106"/>
      <c r="M121" s="106"/>
      <c r="O121" s="108"/>
      <c r="P121" s="108"/>
    </row>
    <row r="122" spans="1:16" x14ac:dyDescent="0.35">
      <c r="A122" s="106"/>
      <c r="B122" s="106"/>
      <c r="C122" s="106"/>
      <c r="D122" s="106"/>
      <c r="E122" s="106"/>
      <c r="F122" s="106"/>
      <c r="G122" s="2"/>
      <c r="H122" s="106"/>
      <c r="I122" s="107"/>
      <c r="J122" s="106"/>
      <c r="M122" s="106"/>
      <c r="O122" s="108"/>
      <c r="P122" s="108"/>
    </row>
    <row r="123" spans="1:16" x14ac:dyDescent="0.35">
      <c r="A123" s="106"/>
      <c r="B123" s="106"/>
      <c r="C123" s="106"/>
      <c r="D123" s="106"/>
      <c r="E123" s="106"/>
      <c r="F123" s="106"/>
      <c r="G123" s="2"/>
      <c r="H123" s="106"/>
      <c r="I123" s="107"/>
      <c r="J123" s="106"/>
      <c r="M123" s="106"/>
      <c r="O123" s="108"/>
      <c r="P123" s="108"/>
    </row>
    <row r="124" spans="1:16" x14ac:dyDescent="0.35">
      <c r="A124" s="106"/>
      <c r="B124" s="106"/>
      <c r="C124" s="106"/>
      <c r="D124" s="106"/>
      <c r="E124" s="106"/>
      <c r="F124" s="106"/>
      <c r="G124" s="2"/>
      <c r="H124" s="106"/>
      <c r="I124" s="107"/>
      <c r="J124" s="106"/>
      <c r="M124" s="106"/>
      <c r="O124" s="108"/>
      <c r="P124" s="108"/>
    </row>
    <row r="125" spans="1:16" x14ac:dyDescent="0.35">
      <c r="A125" s="106"/>
      <c r="B125" s="106"/>
      <c r="C125" s="106"/>
      <c r="D125" s="106"/>
      <c r="E125" s="106"/>
      <c r="F125" s="106"/>
      <c r="G125" s="2"/>
      <c r="H125" s="106"/>
      <c r="I125" s="107"/>
      <c r="J125" s="106"/>
      <c r="M125" s="106"/>
      <c r="O125" s="108"/>
      <c r="P125" s="108"/>
    </row>
    <row r="126" spans="1:16" x14ac:dyDescent="0.35">
      <c r="A126" s="106"/>
      <c r="B126" s="106"/>
      <c r="C126" s="106"/>
      <c r="D126" s="106"/>
      <c r="E126" s="106"/>
      <c r="F126" s="106"/>
      <c r="G126" s="2"/>
      <c r="H126" s="106"/>
      <c r="I126" s="107"/>
      <c r="J126" s="106"/>
      <c r="M126" s="106"/>
      <c r="O126" s="108"/>
      <c r="P126" s="108"/>
    </row>
    <row r="127" spans="1:16" x14ac:dyDescent="0.35">
      <c r="A127" s="106"/>
      <c r="B127" s="106"/>
      <c r="C127" s="106"/>
      <c r="D127" s="106"/>
      <c r="E127" s="106"/>
      <c r="F127" s="106"/>
      <c r="G127" s="2"/>
      <c r="H127" s="106"/>
      <c r="I127" s="107"/>
      <c r="J127" s="106"/>
      <c r="M127" s="106"/>
      <c r="O127" s="108"/>
      <c r="P127" s="108"/>
    </row>
    <row r="128" spans="1:16" x14ac:dyDescent="0.35">
      <c r="A128" s="106"/>
      <c r="B128" s="106"/>
      <c r="C128" s="106"/>
      <c r="D128" s="106"/>
      <c r="E128" s="106"/>
      <c r="F128" s="106"/>
      <c r="G128" s="2"/>
      <c r="H128" s="106"/>
      <c r="I128" s="107"/>
      <c r="J128" s="106"/>
      <c r="M128" s="106"/>
      <c r="O128" s="108"/>
      <c r="P128" s="108"/>
    </row>
    <row r="129" spans="1:16" x14ac:dyDescent="0.35">
      <c r="A129" s="106"/>
      <c r="B129" s="106"/>
      <c r="C129" s="106"/>
      <c r="D129" s="106"/>
      <c r="E129" s="106"/>
      <c r="F129" s="106"/>
      <c r="G129" s="2"/>
      <c r="H129" s="106"/>
      <c r="I129" s="107"/>
      <c r="J129" s="106"/>
      <c r="M129" s="106"/>
      <c r="O129" s="108"/>
      <c r="P129" s="108"/>
    </row>
    <row r="130" spans="1:16" x14ac:dyDescent="0.35">
      <c r="A130" s="106"/>
      <c r="B130" s="106"/>
      <c r="C130" s="106"/>
      <c r="D130" s="106"/>
      <c r="E130" s="106"/>
      <c r="F130" s="106"/>
      <c r="G130" s="2"/>
      <c r="H130" s="106"/>
      <c r="I130" s="107"/>
      <c r="J130" s="106"/>
      <c r="M130" s="106"/>
      <c r="O130" s="108"/>
      <c r="P130" s="108"/>
    </row>
    <row r="131" spans="1:16" x14ac:dyDescent="0.35">
      <c r="A131" s="106"/>
      <c r="B131" s="106"/>
      <c r="C131" s="106"/>
      <c r="D131" s="106"/>
      <c r="E131" s="106"/>
      <c r="F131" s="106"/>
      <c r="G131" s="2"/>
      <c r="H131" s="106"/>
      <c r="I131" s="107"/>
      <c r="J131" s="106"/>
      <c r="M131" s="106"/>
      <c r="O131" s="108"/>
      <c r="P131" s="108"/>
    </row>
    <row r="132" spans="1:16" x14ac:dyDescent="0.35">
      <c r="A132" s="106"/>
      <c r="B132" s="106"/>
      <c r="C132" s="106"/>
      <c r="D132" s="106"/>
      <c r="E132" s="106"/>
      <c r="F132" s="106"/>
      <c r="G132" s="2"/>
      <c r="H132" s="106"/>
      <c r="I132" s="107"/>
      <c r="J132" s="106"/>
      <c r="M132" s="106"/>
      <c r="O132" s="108"/>
      <c r="P132" s="108"/>
    </row>
    <row r="133" spans="1:16" x14ac:dyDescent="0.35">
      <c r="A133" s="106"/>
      <c r="B133" s="106"/>
      <c r="C133" s="106"/>
      <c r="D133" s="106"/>
      <c r="E133" s="106"/>
      <c r="F133" s="106"/>
      <c r="G133" s="2"/>
      <c r="H133" s="106"/>
      <c r="I133" s="107"/>
      <c r="J133" s="106"/>
      <c r="M133" s="106"/>
      <c r="O133" s="108"/>
      <c r="P133" s="108"/>
    </row>
    <row r="134" spans="1:16" x14ac:dyDescent="0.35">
      <c r="A134" s="106"/>
      <c r="B134" s="106"/>
      <c r="C134" s="106"/>
      <c r="D134" s="106"/>
      <c r="E134" s="106"/>
      <c r="F134" s="106"/>
      <c r="G134" s="2"/>
      <c r="H134" s="106"/>
      <c r="I134" s="107"/>
      <c r="J134" s="106"/>
      <c r="M134" s="106"/>
      <c r="O134" s="108"/>
      <c r="P134" s="108"/>
    </row>
    <row r="135" spans="1:16" x14ac:dyDescent="0.35">
      <c r="A135" s="106"/>
      <c r="B135" s="106"/>
      <c r="C135" s="106"/>
      <c r="D135" s="106"/>
      <c r="E135" s="106"/>
      <c r="F135" s="106"/>
      <c r="G135" s="2"/>
      <c r="H135" s="106"/>
      <c r="I135" s="107"/>
      <c r="J135" s="106"/>
      <c r="M135" s="106"/>
      <c r="O135" s="108"/>
      <c r="P135" s="108"/>
    </row>
    <row r="136" spans="1:16" x14ac:dyDescent="0.35">
      <c r="A136" s="106"/>
      <c r="B136" s="106"/>
      <c r="C136" s="106"/>
      <c r="D136" s="106"/>
      <c r="E136" s="106"/>
      <c r="F136" s="106"/>
      <c r="G136" s="2"/>
      <c r="H136" s="106"/>
      <c r="I136" s="107"/>
      <c r="J136" s="106"/>
      <c r="M136" s="106"/>
      <c r="O136" s="108"/>
      <c r="P136" s="108"/>
    </row>
    <row r="137" spans="1:16" x14ac:dyDescent="0.35">
      <c r="A137" s="106"/>
      <c r="B137" s="106"/>
      <c r="C137" s="106"/>
      <c r="D137" s="106"/>
      <c r="E137" s="106"/>
      <c r="F137" s="106"/>
      <c r="G137" s="2"/>
      <c r="H137" s="106"/>
      <c r="I137" s="107"/>
      <c r="J137" s="106"/>
      <c r="M137" s="106"/>
      <c r="O137" s="108"/>
      <c r="P137" s="108"/>
    </row>
    <row r="138" spans="1:16" x14ac:dyDescent="0.35">
      <c r="A138" s="106"/>
      <c r="B138" s="106"/>
      <c r="C138" s="106"/>
      <c r="D138" s="106"/>
      <c r="E138" s="106"/>
      <c r="F138" s="106"/>
      <c r="G138" s="2"/>
      <c r="H138" s="106"/>
      <c r="I138" s="107"/>
      <c r="J138" s="106"/>
      <c r="M138" s="106"/>
      <c r="O138" s="108"/>
      <c r="P138" s="108"/>
    </row>
    <row r="139" spans="1:16" x14ac:dyDescent="0.35">
      <c r="A139" s="106"/>
      <c r="B139" s="106"/>
      <c r="C139" s="106"/>
      <c r="D139" s="106"/>
      <c r="E139" s="106"/>
      <c r="F139" s="106"/>
      <c r="G139" s="2"/>
      <c r="H139" s="106"/>
      <c r="I139" s="107"/>
      <c r="J139" s="106"/>
      <c r="M139" s="106"/>
      <c r="O139" s="108"/>
      <c r="P139" s="108"/>
    </row>
    <row r="140" spans="1:16" x14ac:dyDescent="0.35">
      <c r="A140" s="106"/>
      <c r="B140" s="106"/>
      <c r="C140" s="106"/>
      <c r="D140" s="106"/>
      <c r="E140" s="106"/>
      <c r="F140" s="106"/>
      <c r="G140" s="2"/>
      <c r="H140" s="106"/>
      <c r="I140" s="107"/>
      <c r="J140" s="106"/>
      <c r="M140" s="106"/>
      <c r="O140" s="108"/>
      <c r="P140" s="108"/>
    </row>
    <row r="141" spans="1:16" x14ac:dyDescent="0.35">
      <c r="A141" s="106"/>
      <c r="B141" s="106"/>
      <c r="C141" s="106"/>
      <c r="D141" s="106"/>
      <c r="E141" s="106"/>
      <c r="F141" s="106"/>
      <c r="G141" s="2"/>
      <c r="H141" s="106"/>
      <c r="I141" s="107"/>
      <c r="J141" s="106"/>
      <c r="M141" s="106"/>
      <c r="O141" s="108"/>
      <c r="P141" s="108"/>
    </row>
    <row r="142" spans="1:16" x14ac:dyDescent="0.35">
      <c r="A142" s="106"/>
      <c r="B142" s="106"/>
      <c r="C142" s="106"/>
      <c r="D142" s="106"/>
      <c r="E142" s="106"/>
      <c r="F142" s="106"/>
      <c r="G142" s="2"/>
      <c r="H142" s="106"/>
      <c r="I142" s="107"/>
      <c r="J142" s="106"/>
      <c r="M142" s="106"/>
      <c r="O142" s="108"/>
      <c r="P142" s="108"/>
    </row>
    <row r="143" spans="1:16" x14ac:dyDescent="0.35">
      <c r="A143" s="106"/>
      <c r="B143" s="106"/>
      <c r="C143" s="106"/>
      <c r="D143" s="106"/>
      <c r="E143" s="106"/>
      <c r="F143" s="106"/>
      <c r="G143" s="2"/>
      <c r="H143" s="106"/>
      <c r="I143" s="107"/>
      <c r="J143" s="106"/>
      <c r="M143" s="106"/>
      <c r="O143" s="108"/>
      <c r="P143" s="108"/>
    </row>
    <row r="144" spans="1:16" x14ac:dyDescent="0.35">
      <c r="A144" s="106"/>
      <c r="B144" s="106"/>
      <c r="C144" s="106"/>
      <c r="D144" s="106"/>
      <c r="E144" s="106"/>
      <c r="F144" s="106"/>
      <c r="G144" s="2"/>
      <c r="H144" s="106"/>
      <c r="I144" s="107"/>
      <c r="J144" s="106"/>
      <c r="M144" s="106"/>
      <c r="O144" s="108"/>
      <c r="P144" s="108"/>
    </row>
    <row r="145" spans="1:16" x14ac:dyDescent="0.35">
      <c r="A145" s="106"/>
      <c r="B145" s="106"/>
      <c r="C145" s="106"/>
      <c r="D145" s="106"/>
      <c r="E145" s="106"/>
      <c r="F145" s="106"/>
      <c r="G145" s="2"/>
      <c r="H145" s="106"/>
      <c r="I145" s="107"/>
      <c r="J145" s="106"/>
      <c r="M145" s="106"/>
      <c r="O145" s="108"/>
      <c r="P145" s="108"/>
    </row>
    <row r="146" spans="1:16" x14ac:dyDescent="0.35">
      <c r="A146" s="106"/>
      <c r="B146" s="106"/>
      <c r="C146" s="106"/>
      <c r="D146" s="106"/>
      <c r="E146" s="106"/>
      <c r="F146" s="106"/>
      <c r="G146" s="2"/>
      <c r="H146" s="106"/>
      <c r="I146" s="107"/>
      <c r="J146" s="106"/>
      <c r="M146" s="106"/>
      <c r="O146" s="108"/>
      <c r="P146" s="108"/>
    </row>
    <row r="147" spans="1:16" x14ac:dyDescent="0.35">
      <c r="A147" s="106"/>
      <c r="B147" s="106"/>
      <c r="C147" s="106"/>
      <c r="D147" s="106"/>
      <c r="E147" s="106"/>
      <c r="F147" s="106"/>
      <c r="G147" s="2"/>
      <c r="H147" s="106"/>
      <c r="I147" s="107"/>
      <c r="J147" s="106"/>
      <c r="M147" s="106"/>
      <c r="O147" s="108"/>
      <c r="P147" s="108"/>
    </row>
    <row r="148" spans="1:16" x14ac:dyDescent="0.35">
      <c r="A148" s="106"/>
      <c r="B148" s="106"/>
      <c r="C148" s="106"/>
      <c r="D148" s="106"/>
      <c r="E148" s="106"/>
      <c r="F148" s="106"/>
      <c r="G148" s="2"/>
      <c r="H148" s="106"/>
      <c r="I148" s="107"/>
      <c r="J148" s="106"/>
      <c r="M148" s="106"/>
      <c r="O148" s="108"/>
      <c r="P148" s="108"/>
    </row>
    <row r="149" spans="1:16" x14ac:dyDescent="0.35">
      <c r="A149" s="106"/>
      <c r="B149" s="106"/>
      <c r="C149" s="106"/>
      <c r="D149" s="106"/>
      <c r="E149" s="106"/>
      <c r="F149" s="106"/>
      <c r="G149" s="2"/>
      <c r="H149" s="106"/>
      <c r="I149" s="107"/>
      <c r="J149" s="106"/>
      <c r="M149" s="106"/>
      <c r="O149" s="108"/>
      <c r="P149" s="108"/>
    </row>
    <row r="150" spans="1:16" x14ac:dyDescent="0.35">
      <c r="A150" s="106"/>
      <c r="B150" s="106"/>
      <c r="C150" s="106"/>
      <c r="D150" s="106"/>
      <c r="E150" s="106"/>
      <c r="F150" s="106"/>
      <c r="G150" s="2"/>
      <c r="H150" s="106"/>
      <c r="I150" s="107"/>
      <c r="J150" s="106"/>
      <c r="M150" s="106"/>
      <c r="O150" s="108"/>
      <c r="P150" s="108"/>
    </row>
    <row r="151" spans="1:16" x14ac:dyDescent="0.35">
      <c r="A151" s="106"/>
      <c r="B151" s="106"/>
      <c r="C151" s="106"/>
      <c r="D151" s="106"/>
      <c r="E151" s="106"/>
      <c r="F151" s="106"/>
      <c r="G151" s="2"/>
      <c r="H151" s="106"/>
      <c r="I151" s="107"/>
      <c r="J151" s="106"/>
      <c r="M151" s="106"/>
      <c r="O151" s="108"/>
      <c r="P151" s="108"/>
    </row>
    <row r="152" spans="1:16" x14ac:dyDescent="0.35">
      <c r="A152" s="106"/>
      <c r="B152" s="106"/>
      <c r="C152" s="106"/>
      <c r="D152" s="106"/>
      <c r="E152" s="106"/>
      <c r="F152" s="106"/>
      <c r="G152" s="2"/>
      <c r="H152" s="106"/>
      <c r="I152" s="107"/>
      <c r="J152" s="106"/>
      <c r="M152" s="106"/>
      <c r="O152" s="108"/>
      <c r="P152" s="108"/>
    </row>
    <row r="153" spans="1:16" x14ac:dyDescent="0.35">
      <c r="A153" s="106"/>
      <c r="B153" s="106"/>
      <c r="C153" s="106"/>
      <c r="D153" s="106"/>
      <c r="E153" s="106"/>
      <c r="F153" s="106"/>
      <c r="G153" s="2"/>
      <c r="H153" s="106"/>
      <c r="I153" s="107"/>
      <c r="J153" s="106"/>
      <c r="M153" s="106"/>
      <c r="O153" s="108"/>
      <c r="P153" s="108"/>
    </row>
    <row r="154" spans="1:16" x14ac:dyDescent="0.35">
      <c r="A154" s="106"/>
      <c r="B154" s="106"/>
      <c r="C154" s="106"/>
      <c r="D154" s="106"/>
      <c r="E154" s="106"/>
      <c r="F154" s="106"/>
      <c r="G154" s="2"/>
      <c r="H154" s="106"/>
      <c r="I154" s="107"/>
      <c r="J154" s="106"/>
      <c r="M154" s="106"/>
      <c r="O154" s="108"/>
      <c r="P154" s="108"/>
    </row>
    <row r="155" spans="1:16" x14ac:dyDescent="0.35">
      <c r="A155" s="106"/>
      <c r="B155" s="106"/>
      <c r="C155" s="106"/>
      <c r="D155" s="106"/>
      <c r="E155" s="106"/>
      <c r="F155" s="106"/>
      <c r="G155" s="2"/>
      <c r="H155" s="106"/>
      <c r="I155" s="107"/>
      <c r="J155" s="106"/>
      <c r="M155" s="106"/>
      <c r="O155" s="108"/>
      <c r="P155" s="108"/>
    </row>
    <row r="156" spans="1:16" x14ac:dyDescent="0.35">
      <c r="A156" s="106"/>
      <c r="B156" s="106"/>
      <c r="C156" s="106"/>
      <c r="D156" s="106"/>
      <c r="E156" s="106"/>
      <c r="F156" s="106"/>
      <c r="G156" s="2"/>
      <c r="H156" s="106"/>
      <c r="I156" s="107"/>
      <c r="J156" s="106"/>
      <c r="M156" s="106"/>
      <c r="O156" s="108"/>
      <c r="P156" s="108"/>
    </row>
    <row r="157" spans="1:16" x14ac:dyDescent="0.35">
      <c r="A157" s="106"/>
      <c r="B157" s="106"/>
      <c r="C157" s="106"/>
      <c r="D157" s="106"/>
      <c r="E157" s="106"/>
      <c r="F157" s="106"/>
      <c r="G157" s="2"/>
      <c r="H157" s="106"/>
      <c r="I157" s="107"/>
      <c r="J157" s="106"/>
      <c r="M157" s="106"/>
      <c r="O157" s="108"/>
      <c r="P157" s="108"/>
    </row>
    <row r="158" spans="1:16" x14ac:dyDescent="0.35">
      <c r="A158" s="106"/>
      <c r="B158" s="106"/>
      <c r="C158" s="106"/>
      <c r="D158" s="106"/>
      <c r="E158" s="106"/>
      <c r="F158" s="106"/>
      <c r="G158" s="2"/>
      <c r="H158" s="106"/>
      <c r="I158" s="107"/>
      <c r="J158" s="106"/>
      <c r="M158" s="106"/>
      <c r="O158" s="108"/>
      <c r="P158" s="108"/>
    </row>
    <row r="159" spans="1:16" x14ac:dyDescent="0.35">
      <c r="A159" s="106"/>
      <c r="B159" s="106"/>
      <c r="C159" s="106"/>
      <c r="D159" s="106"/>
      <c r="E159" s="106"/>
      <c r="F159" s="106"/>
      <c r="G159" s="2"/>
      <c r="H159" s="106"/>
      <c r="I159" s="107"/>
      <c r="J159" s="106"/>
      <c r="M159" s="106"/>
      <c r="O159" s="108"/>
      <c r="P159" s="108"/>
    </row>
    <row r="160" spans="1:16" x14ac:dyDescent="0.35">
      <c r="A160" s="106"/>
      <c r="B160" s="106"/>
      <c r="C160" s="106"/>
      <c r="D160" s="106"/>
      <c r="E160" s="106"/>
      <c r="F160" s="106"/>
      <c r="G160" s="2"/>
      <c r="H160" s="106"/>
      <c r="I160" s="107"/>
      <c r="J160" s="106"/>
      <c r="M160" s="106"/>
      <c r="O160" s="108"/>
      <c r="P160" s="108"/>
    </row>
    <row r="161" spans="1:16" x14ac:dyDescent="0.35">
      <c r="A161" s="106"/>
      <c r="B161" s="106"/>
      <c r="C161" s="106"/>
      <c r="D161" s="106"/>
      <c r="E161" s="106"/>
      <c r="F161" s="106"/>
      <c r="G161" s="2"/>
      <c r="H161" s="106"/>
      <c r="I161" s="107"/>
      <c r="J161" s="106"/>
      <c r="M161" s="106"/>
      <c r="O161" s="108"/>
      <c r="P161" s="108"/>
    </row>
    <row r="162" spans="1:16" x14ac:dyDescent="0.35">
      <c r="A162" s="106"/>
      <c r="B162" s="106"/>
      <c r="C162" s="106"/>
      <c r="D162" s="106"/>
      <c r="E162" s="106"/>
      <c r="F162" s="106"/>
      <c r="G162" s="2"/>
      <c r="H162" s="106"/>
      <c r="I162" s="107"/>
      <c r="J162" s="106"/>
      <c r="M162" s="106"/>
      <c r="O162" s="108"/>
      <c r="P162" s="108"/>
    </row>
    <row r="163" spans="1:16" x14ac:dyDescent="0.35">
      <c r="A163" s="106"/>
      <c r="B163" s="106"/>
      <c r="C163" s="106"/>
      <c r="D163" s="106"/>
      <c r="E163" s="106"/>
      <c r="F163" s="106"/>
      <c r="G163" s="2"/>
      <c r="H163" s="106"/>
      <c r="I163" s="107"/>
      <c r="J163" s="106"/>
      <c r="M163" s="106"/>
      <c r="O163" s="108"/>
      <c r="P163" s="108"/>
    </row>
    <row r="164" spans="1:16" x14ac:dyDescent="0.35">
      <c r="A164" s="106"/>
      <c r="B164" s="106"/>
      <c r="C164" s="106"/>
      <c r="D164" s="106"/>
      <c r="E164" s="106"/>
      <c r="F164" s="106"/>
      <c r="G164" s="2"/>
      <c r="H164" s="106"/>
      <c r="I164" s="107"/>
      <c r="J164" s="106"/>
      <c r="M164" s="106"/>
      <c r="O164" s="108"/>
      <c r="P164" s="108"/>
    </row>
    <row r="165" spans="1:16" x14ac:dyDescent="0.35">
      <c r="A165" s="106"/>
      <c r="B165" s="106"/>
      <c r="C165" s="106"/>
      <c r="D165" s="106"/>
      <c r="E165" s="106"/>
      <c r="F165" s="106"/>
      <c r="G165" s="2"/>
      <c r="H165" s="106"/>
      <c r="I165" s="107"/>
      <c r="J165" s="106"/>
      <c r="M165" s="106"/>
      <c r="O165" s="108"/>
      <c r="P165" s="108"/>
    </row>
    <row r="166" spans="1:16" x14ac:dyDescent="0.35">
      <c r="A166" s="106"/>
      <c r="B166" s="106"/>
      <c r="C166" s="106"/>
      <c r="D166" s="106"/>
      <c r="E166" s="106"/>
      <c r="F166" s="106"/>
      <c r="G166" s="2"/>
      <c r="H166" s="106"/>
      <c r="I166" s="107"/>
      <c r="J166" s="106"/>
      <c r="M166" s="106"/>
      <c r="O166" s="108"/>
      <c r="P166" s="108"/>
    </row>
    <row r="167" spans="1:16" x14ac:dyDescent="0.35">
      <c r="A167" s="106"/>
      <c r="B167" s="106"/>
      <c r="C167" s="106"/>
      <c r="D167" s="106"/>
      <c r="E167" s="106"/>
      <c r="F167" s="106"/>
      <c r="G167" s="2"/>
      <c r="H167" s="106"/>
      <c r="I167" s="107"/>
      <c r="J167" s="106"/>
      <c r="M167" s="106"/>
      <c r="O167" s="108"/>
      <c r="P167" s="108"/>
    </row>
    <row r="168" spans="1:16" x14ac:dyDescent="0.35">
      <c r="A168" s="28"/>
      <c r="B168" s="28"/>
      <c r="C168" s="28"/>
      <c r="D168" s="28"/>
      <c r="E168" s="28"/>
      <c r="F168" s="28"/>
      <c r="G168" s="28"/>
      <c r="H168" s="30"/>
      <c r="I168" s="109"/>
      <c r="J168" s="30"/>
      <c r="M168" s="109"/>
      <c r="O168" s="109"/>
      <c r="P168" s="109"/>
    </row>
  </sheetData>
  <dataValidations count="3">
    <dataValidation type="list" allowBlank="1" showInputMessage="1" showErrorMessage="1" sqref="B99:F167 B2:B91 D2:E91" xr:uid="{00000000-0002-0000-0500-000002000000}">
      <formula1>"YES,NO"</formula1>
    </dataValidation>
    <dataValidation type="list" allowBlank="1" showInputMessage="1" showErrorMessage="1" sqref="C2:C91" xr:uid="{00000000-0002-0000-0500-000003000000}">
      <formula1>"PAVED,NON-PAVED"</formula1>
    </dataValidation>
    <dataValidation type="list" allowBlank="1" showInputMessage="1" showErrorMessage="1" sqref="F2:F91" xr:uid="{8AAAF00F-E9D7-4C37-874A-EF3404874967}">
      <formula1>"NATIONAL,RURAL,-"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17D598-3520-47D7-B703-CAA40F1B1144}">
          <x14:formula1>
            <xm:f>TESTS!$B$3:$B$34</xm:f>
          </x14:formula1>
          <xm:sqref>J2:J91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95"/>
  <sheetViews>
    <sheetView workbookViewId="0">
      <selection activeCell="C51" sqref="C51"/>
    </sheetView>
  </sheetViews>
  <sheetFormatPr defaultRowHeight="14.5" x14ac:dyDescent="0.35"/>
  <cols>
    <col min="3" max="3" width="13.7265625" customWidth="1"/>
    <col min="4" max="4" width="12.7265625" customWidth="1"/>
    <col min="5" max="6" width="14.1796875" customWidth="1"/>
    <col min="7" max="7" width="19.26953125" customWidth="1"/>
    <col min="10" max="11" width="11.26953125" customWidth="1"/>
    <col min="12" max="12" width="2" customWidth="1"/>
    <col min="16" max="16" width="11.453125" customWidth="1"/>
    <col min="17" max="20" width="9.1796875" customWidth="1"/>
    <col min="21" max="23" width="11.453125" customWidth="1"/>
    <col min="24" max="24" width="4.1796875" customWidth="1"/>
    <col min="27" max="31" width="9.1796875" customWidth="1"/>
    <col min="32" max="32" width="11.26953125" customWidth="1"/>
    <col min="33" max="36" width="9.1796875" customWidth="1"/>
  </cols>
  <sheetData>
    <row r="1" spans="1:36" x14ac:dyDescent="0.35">
      <c r="H1" s="161" t="s">
        <v>167</v>
      </c>
      <c r="I1" s="161"/>
      <c r="J1" s="161"/>
      <c r="L1" s="14"/>
      <c r="M1" s="160" t="s">
        <v>113</v>
      </c>
      <c r="N1" s="161"/>
      <c r="O1" s="161"/>
      <c r="P1" s="161"/>
      <c r="Q1" s="2"/>
      <c r="R1" s="2"/>
      <c r="Y1" s="159" t="s">
        <v>114</v>
      </c>
      <c r="Z1" s="159"/>
      <c r="AA1" s="159"/>
      <c r="AB1" s="2"/>
      <c r="AC1" s="2"/>
    </row>
    <row r="2" spans="1:36" ht="58.5" thickBot="1" x14ac:dyDescent="0.4">
      <c r="A2" s="116" t="s">
        <v>130</v>
      </c>
      <c r="B2" s="116" t="s">
        <v>104</v>
      </c>
      <c r="C2" s="117" t="s">
        <v>105</v>
      </c>
      <c r="D2" s="116" t="s">
        <v>106</v>
      </c>
      <c r="E2" s="117" t="s">
        <v>150</v>
      </c>
      <c r="F2" s="49" t="s">
        <v>156</v>
      </c>
      <c r="G2" s="49" t="s">
        <v>189</v>
      </c>
      <c r="H2" s="49" t="s">
        <v>121</v>
      </c>
      <c r="I2" s="49" t="s">
        <v>120</v>
      </c>
      <c r="J2" s="49" t="s">
        <v>127</v>
      </c>
      <c r="K2" s="49" t="s">
        <v>137</v>
      </c>
      <c r="L2" s="14"/>
      <c r="M2" s="49" t="s">
        <v>121</v>
      </c>
      <c r="N2" s="49" t="s">
        <v>120</v>
      </c>
      <c r="O2" s="49" t="s">
        <v>119</v>
      </c>
      <c r="P2" s="49" t="s">
        <v>111</v>
      </c>
      <c r="Q2" s="49" t="s">
        <v>126</v>
      </c>
      <c r="R2" s="49" t="s">
        <v>125</v>
      </c>
      <c r="S2" s="49" t="s">
        <v>124</v>
      </c>
      <c r="T2" s="49" t="s">
        <v>123</v>
      </c>
      <c r="U2" s="49" t="s">
        <v>122</v>
      </c>
      <c r="V2" s="49" t="s">
        <v>112</v>
      </c>
      <c r="W2" s="49" t="s">
        <v>110</v>
      </c>
      <c r="Y2" s="49" t="s">
        <v>121</v>
      </c>
      <c r="Z2" s="49" t="s">
        <v>120</v>
      </c>
      <c r="AA2" s="49" t="s">
        <v>119</v>
      </c>
      <c r="AB2" s="49" t="s">
        <v>118</v>
      </c>
      <c r="AC2" s="49" t="s">
        <v>117</v>
      </c>
      <c r="AD2" s="49" t="s">
        <v>116</v>
      </c>
      <c r="AE2" s="49" t="s">
        <v>115</v>
      </c>
      <c r="AG2" s="101" t="s">
        <v>157</v>
      </c>
      <c r="AH2" s="101" t="s">
        <v>158</v>
      </c>
      <c r="AI2" s="101" t="s">
        <v>159</v>
      </c>
      <c r="AJ2" s="101" t="s">
        <v>160</v>
      </c>
    </row>
    <row r="3" spans="1:36" ht="15" customHeight="1" x14ac:dyDescent="0.35">
      <c r="A3" s="115"/>
      <c r="B3" s="115"/>
      <c r="C3" s="115"/>
      <c r="D3" s="115"/>
      <c r="E3" s="115"/>
      <c r="F3" s="32"/>
      <c r="G3" s="32"/>
      <c r="H3" s="125"/>
      <c r="I3" s="104"/>
      <c r="J3" s="104"/>
      <c r="K3" s="54">
        <f>IF(J3&gt;0,1,0)</f>
        <v>0</v>
      </c>
      <c r="L3" s="14"/>
      <c r="M3" s="125"/>
      <c r="N3" s="104"/>
      <c r="O3" s="104"/>
      <c r="P3" s="104"/>
      <c r="Q3" s="112">
        <f>IF(O3&gt;1.2, 1.2, O3)</f>
        <v>0</v>
      </c>
      <c r="R3" s="112">
        <f>IF(O3&gt;3,1.8,MAX(0,O3-1.2))</f>
        <v>0</v>
      </c>
      <c r="S3" s="112">
        <f t="shared" ref="S3" si="0">M3*N3*Q3</f>
        <v>0</v>
      </c>
      <c r="T3" s="112">
        <f t="shared" ref="T3" si="1">M3*N3*R3</f>
        <v>0</v>
      </c>
      <c r="U3" s="112">
        <f>(2*M3)+(2*N3)</f>
        <v>0</v>
      </c>
      <c r="V3" s="112">
        <f t="shared" ref="V3" si="2">M3*N3*P3</f>
        <v>0</v>
      </c>
      <c r="W3" s="112">
        <f>M3*N3</f>
        <v>0</v>
      </c>
      <c r="Y3" s="104"/>
      <c r="Z3" s="104"/>
      <c r="AA3" s="104"/>
      <c r="AB3" s="112">
        <f t="shared" ref="AB3" si="3">IF(AA3&gt;3, 3, AA3)</f>
        <v>0</v>
      </c>
      <c r="AC3" s="112">
        <f t="shared" ref="AC3" si="4">IF(AA3&gt;4.5,4.5,MAX(0,AA3-3))</f>
        <v>0</v>
      </c>
      <c r="AD3" s="112">
        <f t="shared" ref="AD3" si="5">Y3*Z3*AB3</f>
        <v>0</v>
      </c>
      <c r="AE3" s="54">
        <f t="shared" ref="AE3" si="6">Y3*Z3*AC3</f>
        <v>0</v>
      </c>
      <c r="AG3" s="33">
        <f>IF(F3="RURAL",M3*N3*(O3-0.1),0)</f>
        <v>0</v>
      </c>
      <c r="AH3" s="33">
        <f>IF(F3="NATIONAL",(O3-0.45)*M3*N3,0)</f>
        <v>0</v>
      </c>
      <c r="AI3" s="33">
        <f>IF(F3="RURAL",(M3+0.2)*(N3+0.2),0)</f>
        <v>0</v>
      </c>
      <c r="AJ3" s="33">
        <f>IF(F3="NATIONAL",M3*N3,0)</f>
        <v>0</v>
      </c>
    </row>
    <row r="4" spans="1:36" x14ac:dyDescent="0.35">
      <c r="A4" s="115"/>
      <c r="B4" s="115"/>
      <c r="C4" s="115"/>
      <c r="D4" s="115"/>
      <c r="E4" s="115"/>
      <c r="F4" s="32"/>
      <c r="G4" s="32"/>
      <c r="H4" s="125"/>
      <c r="I4" s="104"/>
      <c r="J4" s="104"/>
      <c r="K4" s="54">
        <f t="shared" ref="K4:K92" si="7">IF(J4&gt;0,1,0)</f>
        <v>0</v>
      </c>
      <c r="L4" s="14"/>
      <c r="M4" s="125"/>
      <c r="N4" s="104"/>
      <c r="O4" s="104"/>
      <c r="P4" s="104"/>
      <c r="Q4" s="112">
        <f t="shared" ref="Q4:Q92" si="8">IF(O4&gt;1.2, 1.2, O4)</f>
        <v>0</v>
      </c>
      <c r="R4" s="112">
        <f t="shared" ref="R4:R92" si="9">IF(O4&gt;3,1.8,MAX(0,O4-1.2))</f>
        <v>0</v>
      </c>
      <c r="S4" s="112">
        <f t="shared" ref="S4:S92" si="10">M4*N4*Q4</f>
        <v>0</v>
      </c>
      <c r="T4" s="112">
        <f t="shared" ref="T4:T92" si="11">M4*N4*R4</f>
        <v>0</v>
      </c>
      <c r="U4" s="112">
        <f t="shared" ref="U4:U92" si="12">(2*M4)+(2*N4)</f>
        <v>0</v>
      </c>
      <c r="V4" s="112">
        <f t="shared" ref="V4:V92" si="13">M4*N4*P4</f>
        <v>0</v>
      </c>
      <c r="W4" s="112">
        <f t="shared" ref="W4:W92" si="14">M4*N4</f>
        <v>0</v>
      </c>
      <c r="Y4" s="53"/>
      <c r="Z4" s="53"/>
      <c r="AA4" s="53"/>
      <c r="AB4" s="112">
        <f t="shared" ref="AB4:AB92" si="15">IF(AA4&gt;3, 3, AA4)</f>
        <v>0</v>
      </c>
      <c r="AC4" s="112">
        <f t="shared" ref="AC4:AC92" si="16">IF(AA4&gt;4.5,4.5,MAX(0,AA4-3))</f>
        <v>0</v>
      </c>
      <c r="AD4" s="112">
        <f t="shared" ref="AD4:AD92" si="17">Y4*Z4*AB4</f>
        <v>0</v>
      </c>
      <c r="AE4" s="54">
        <f t="shared" ref="AE4:AE92" si="18">Y4*Z4*AC4</f>
        <v>0</v>
      </c>
      <c r="AG4" s="33">
        <f>IF(F4="RURAL",M4*N4*(O4-0.1),0)</f>
        <v>0</v>
      </c>
      <c r="AH4" s="33">
        <f>IF(F4="NATIONAL",(O4-0.45)*M4*N4,0)</f>
        <v>0</v>
      </c>
      <c r="AI4" s="33">
        <f>IF(F4="RURAL",(M4+0.2)*(N4+0.2),0)</f>
        <v>0</v>
      </c>
      <c r="AJ4" s="33">
        <f>IF(F4="NATIONAL",M4*N4,0)</f>
        <v>0</v>
      </c>
    </row>
    <row r="5" spans="1:36" x14ac:dyDescent="0.35">
      <c r="A5" s="115"/>
      <c r="B5" s="115"/>
      <c r="C5" s="115"/>
      <c r="D5" s="115"/>
      <c r="E5" s="115"/>
      <c r="F5" s="32"/>
      <c r="G5" s="32"/>
      <c r="H5" s="125"/>
      <c r="I5" s="104"/>
      <c r="J5" s="104"/>
      <c r="K5" s="54">
        <f t="shared" si="7"/>
        <v>0</v>
      </c>
      <c r="L5" s="14"/>
      <c r="M5" s="125"/>
      <c r="N5" s="104"/>
      <c r="O5" s="104"/>
      <c r="P5" s="104"/>
      <c r="Q5" s="112">
        <f t="shared" si="8"/>
        <v>0</v>
      </c>
      <c r="R5" s="112">
        <f t="shared" si="9"/>
        <v>0</v>
      </c>
      <c r="S5" s="112">
        <f t="shared" si="10"/>
        <v>0</v>
      </c>
      <c r="T5" s="112">
        <f t="shared" si="11"/>
        <v>0</v>
      </c>
      <c r="U5" s="112">
        <f t="shared" si="12"/>
        <v>0</v>
      </c>
      <c r="V5" s="112">
        <f t="shared" si="13"/>
        <v>0</v>
      </c>
      <c r="W5" s="112">
        <f t="shared" si="14"/>
        <v>0</v>
      </c>
      <c r="Y5" s="53"/>
      <c r="Z5" s="53"/>
      <c r="AA5" s="53"/>
      <c r="AB5" s="112">
        <f t="shared" si="15"/>
        <v>0</v>
      </c>
      <c r="AC5" s="112">
        <f t="shared" si="16"/>
        <v>0</v>
      </c>
      <c r="AD5" s="112">
        <f t="shared" si="17"/>
        <v>0</v>
      </c>
      <c r="AE5" s="54">
        <f t="shared" si="18"/>
        <v>0</v>
      </c>
      <c r="AG5" s="33">
        <f t="shared" ref="AG5:AG20" si="19">IF(F5="RURAL",M5*N5*(O5-0.1),0)</f>
        <v>0</v>
      </c>
      <c r="AH5" s="33">
        <f t="shared" ref="AH5:AH20" si="20">IF(F5="NATIONAL",(O5-0.45)*M5*N5,0)</f>
        <v>0</v>
      </c>
      <c r="AI5" s="33">
        <f t="shared" ref="AI5:AI20" si="21">IF(F5="RURAL",(M5+0.2)*(N5+0.2),0)</f>
        <v>0</v>
      </c>
      <c r="AJ5" s="33">
        <f t="shared" ref="AJ5:AJ20" si="22">IF(F5="NATIONAL",M5*N5,0)</f>
        <v>0</v>
      </c>
    </row>
    <row r="6" spans="1:36" x14ac:dyDescent="0.35">
      <c r="A6" s="115"/>
      <c r="B6" s="115"/>
      <c r="C6" s="115"/>
      <c r="D6" s="115"/>
      <c r="E6" s="115"/>
      <c r="F6" s="32"/>
      <c r="G6" s="32"/>
      <c r="H6" s="125"/>
      <c r="I6" s="104"/>
      <c r="J6" s="104"/>
      <c r="K6" s="54">
        <f t="shared" si="7"/>
        <v>0</v>
      </c>
      <c r="L6" s="14"/>
      <c r="M6" s="125"/>
      <c r="N6" s="104"/>
      <c r="O6" s="104"/>
      <c r="P6" s="104"/>
      <c r="Q6" s="112">
        <f t="shared" ref="Q6:Q19" si="23">IF(O6&gt;1.2, 1.2, O6)</f>
        <v>0</v>
      </c>
      <c r="R6" s="112">
        <f t="shared" ref="R6:R19" si="24">IF(O6&gt;3,1.8,MAX(0,O6-1.2))</f>
        <v>0</v>
      </c>
      <c r="S6" s="112">
        <f t="shared" ref="S6:S19" si="25">M6*N6*Q6</f>
        <v>0</v>
      </c>
      <c r="T6" s="112">
        <f t="shared" ref="T6:T19" si="26">M6*N6*R6</f>
        <v>0</v>
      </c>
      <c r="U6" s="112">
        <f t="shared" ref="U6:U19" si="27">(2*M6)+(2*N6)</f>
        <v>0</v>
      </c>
      <c r="V6" s="112">
        <f t="shared" ref="V6:V19" si="28">M6*N6*P6</f>
        <v>0</v>
      </c>
      <c r="W6" s="112">
        <f t="shared" ref="W6:W19" si="29">M6*N6</f>
        <v>0</v>
      </c>
      <c r="Y6" s="53"/>
      <c r="Z6" s="53"/>
      <c r="AA6" s="53"/>
      <c r="AB6" s="112">
        <f t="shared" ref="AB6:AB19" si="30">IF(AA6&gt;3, 3, AA6)</f>
        <v>0</v>
      </c>
      <c r="AC6" s="112">
        <f t="shared" ref="AC6:AC19" si="31">IF(AA6&gt;4.5,4.5,MAX(0,AA6-3))</f>
        <v>0</v>
      </c>
      <c r="AD6" s="112">
        <f t="shared" ref="AD6:AD19" si="32">Y6*Z6*AB6</f>
        <v>0</v>
      </c>
      <c r="AE6" s="54">
        <f t="shared" ref="AE6:AE19" si="33">Y6*Z6*AC6</f>
        <v>0</v>
      </c>
      <c r="AG6" s="33">
        <f t="shared" si="19"/>
        <v>0</v>
      </c>
      <c r="AH6" s="33">
        <f t="shared" si="20"/>
        <v>0</v>
      </c>
      <c r="AI6" s="33">
        <f t="shared" si="21"/>
        <v>0</v>
      </c>
      <c r="AJ6" s="33">
        <f t="shared" si="22"/>
        <v>0</v>
      </c>
    </row>
    <row r="7" spans="1:36" x14ac:dyDescent="0.35">
      <c r="A7" s="115"/>
      <c r="B7" s="115"/>
      <c r="C7" s="115"/>
      <c r="D7" s="115"/>
      <c r="E7" s="115"/>
      <c r="F7" s="32"/>
      <c r="G7" s="32"/>
      <c r="H7" s="125"/>
      <c r="I7" s="104"/>
      <c r="J7" s="104"/>
      <c r="K7" s="54">
        <f t="shared" si="7"/>
        <v>0</v>
      </c>
      <c r="L7" s="14"/>
      <c r="M7" s="125"/>
      <c r="N7" s="104"/>
      <c r="O7" s="104"/>
      <c r="P7" s="104"/>
      <c r="Q7" s="112">
        <f t="shared" si="23"/>
        <v>0</v>
      </c>
      <c r="R7" s="112">
        <f t="shared" si="24"/>
        <v>0</v>
      </c>
      <c r="S7" s="112">
        <f t="shared" si="25"/>
        <v>0</v>
      </c>
      <c r="T7" s="112">
        <f t="shared" si="26"/>
        <v>0</v>
      </c>
      <c r="U7" s="112">
        <f t="shared" si="27"/>
        <v>0</v>
      </c>
      <c r="V7" s="112">
        <f t="shared" si="28"/>
        <v>0</v>
      </c>
      <c r="W7" s="112">
        <f t="shared" si="29"/>
        <v>0</v>
      </c>
      <c r="Y7" s="53"/>
      <c r="Z7" s="53"/>
      <c r="AA7" s="53"/>
      <c r="AB7" s="112">
        <f t="shared" si="30"/>
        <v>0</v>
      </c>
      <c r="AC7" s="112">
        <f t="shared" si="31"/>
        <v>0</v>
      </c>
      <c r="AD7" s="112">
        <f t="shared" si="32"/>
        <v>0</v>
      </c>
      <c r="AE7" s="54">
        <f t="shared" si="33"/>
        <v>0</v>
      </c>
      <c r="AG7" s="33">
        <f t="shared" si="19"/>
        <v>0</v>
      </c>
      <c r="AH7" s="33">
        <f t="shared" si="20"/>
        <v>0</v>
      </c>
      <c r="AI7" s="33">
        <f t="shared" si="21"/>
        <v>0</v>
      </c>
      <c r="AJ7" s="33">
        <f t="shared" si="22"/>
        <v>0</v>
      </c>
    </row>
    <row r="8" spans="1:36" x14ac:dyDescent="0.35">
      <c r="A8" s="32"/>
      <c r="B8" s="32"/>
      <c r="C8" s="32"/>
      <c r="D8" s="32"/>
      <c r="E8" s="32"/>
      <c r="F8" s="32"/>
      <c r="G8" s="32"/>
      <c r="H8" s="53"/>
      <c r="I8" s="53"/>
      <c r="J8" s="104"/>
      <c r="K8" s="54">
        <f t="shared" si="7"/>
        <v>0</v>
      </c>
      <c r="L8" s="14"/>
      <c r="M8" s="53"/>
      <c r="N8" s="53"/>
      <c r="O8" s="53"/>
      <c r="P8" s="53"/>
      <c r="Q8" s="112">
        <f t="shared" si="23"/>
        <v>0</v>
      </c>
      <c r="R8" s="112">
        <f t="shared" si="24"/>
        <v>0</v>
      </c>
      <c r="S8" s="112">
        <f t="shared" si="25"/>
        <v>0</v>
      </c>
      <c r="T8" s="112">
        <f t="shared" si="26"/>
        <v>0</v>
      </c>
      <c r="U8" s="112">
        <f t="shared" si="27"/>
        <v>0</v>
      </c>
      <c r="V8" s="112">
        <f t="shared" si="28"/>
        <v>0</v>
      </c>
      <c r="W8" s="112">
        <f t="shared" si="29"/>
        <v>0</v>
      </c>
      <c r="Y8" s="53"/>
      <c r="Z8" s="53"/>
      <c r="AA8" s="53"/>
      <c r="AB8" s="112">
        <f t="shared" si="30"/>
        <v>0</v>
      </c>
      <c r="AC8" s="112">
        <f t="shared" si="31"/>
        <v>0</v>
      </c>
      <c r="AD8" s="112">
        <f t="shared" si="32"/>
        <v>0</v>
      </c>
      <c r="AE8" s="54">
        <f t="shared" si="33"/>
        <v>0</v>
      </c>
      <c r="AG8" s="33">
        <f t="shared" si="19"/>
        <v>0</v>
      </c>
      <c r="AH8" s="33">
        <f t="shared" si="20"/>
        <v>0</v>
      </c>
      <c r="AI8" s="33">
        <f t="shared" si="21"/>
        <v>0</v>
      </c>
      <c r="AJ8" s="33">
        <f t="shared" si="22"/>
        <v>0</v>
      </c>
    </row>
    <row r="9" spans="1:36" x14ac:dyDescent="0.35">
      <c r="A9" s="32"/>
      <c r="B9" s="32"/>
      <c r="C9" s="32"/>
      <c r="D9" s="32"/>
      <c r="E9" s="32"/>
      <c r="F9" s="32"/>
      <c r="G9" s="32"/>
      <c r="H9" s="53"/>
      <c r="I9" s="53"/>
      <c r="J9" s="104"/>
      <c r="K9" s="54">
        <f t="shared" si="7"/>
        <v>0</v>
      </c>
      <c r="L9" s="14"/>
      <c r="M9" s="53"/>
      <c r="N9" s="53"/>
      <c r="O9" s="53"/>
      <c r="P9" s="53"/>
      <c r="Q9" s="112">
        <f t="shared" ref="Q9:Q17" si="34">IF(O9&gt;1.2, 1.2, O9)</f>
        <v>0</v>
      </c>
      <c r="R9" s="112">
        <f t="shared" ref="R9:R17" si="35">IF(O9&gt;3,1.8,MAX(0,O9-1.2))</f>
        <v>0</v>
      </c>
      <c r="S9" s="112">
        <f t="shared" ref="S9:S17" si="36">M9*N9*Q9</f>
        <v>0</v>
      </c>
      <c r="T9" s="112">
        <f t="shared" ref="T9:T17" si="37">M9*N9*R9</f>
        <v>0</v>
      </c>
      <c r="U9" s="112">
        <f t="shared" ref="U9:U17" si="38">(2*M9)+(2*N9)</f>
        <v>0</v>
      </c>
      <c r="V9" s="112">
        <f t="shared" ref="V9:V17" si="39">M9*N9*P9</f>
        <v>0</v>
      </c>
      <c r="W9" s="112">
        <f t="shared" ref="W9:W17" si="40">M9*N9</f>
        <v>0</v>
      </c>
      <c r="Y9" s="53"/>
      <c r="Z9" s="53"/>
      <c r="AA9" s="53"/>
      <c r="AB9" s="112">
        <f t="shared" ref="AB9:AB17" si="41">IF(AA9&gt;3, 3, AA9)</f>
        <v>0</v>
      </c>
      <c r="AC9" s="112">
        <f t="shared" ref="AC9:AC17" si="42">IF(AA9&gt;4.5,4.5,MAX(0,AA9-3))</f>
        <v>0</v>
      </c>
      <c r="AD9" s="112">
        <f t="shared" ref="AD9:AD17" si="43">Y9*Z9*AB9</f>
        <v>0</v>
      </c>
      <c r="AE9" s="54">
        <f t="shared" ref="AE9:AE17" si="44">Y9*Z9*AC9</f>
        <v>0</v>
      </c>
      <c r="AG9" s="33">
        <f t="shared" si="19"/>
        <v>0</v>
      </c>
      <c r="AH9" s="33">
        <f t="shared" si="20"/>
        <v>0</v>
      </c>
      <c r="AI9" s="33">
        <f t="shared" si="21"/>
        <v>0</v>
      </c>
      <c r="AJ9" s="33">
        <f t="shared" si="22"/>
        <v>0</v>
      </c>
    </row>
    <row r="10" spans="1:36" x14ac:dyDescent="0.35">
      <c r="A10" s="32"/>
      <c r="B10" s="32"/>
      <c r="C10" s="32"/>
      <c r="D10" s="32"/>
      <c r="E10" s="32"/>
      <c r="F10" s="32"/>
      <c r="G10" s="32"/>
      <c r="H10" s="53"/>
      <c r="I10" s="53"/>
      <c r="J10" s="104"/>
      <c r="K10" s="54">
        <f t="shared" si="7"/>
        <v>0</v>
      </c>
      <c r="L10" s="14"/>
      <c r="M10" s="53"/>
      <c r="N10" s="53"/>
      <c r="O10" s="53"/>
      <c r="P10" s="53"/>
      <c r="Q10" s="112">
        <f t="shared" si="34"/>
        <v>0</v>
      </c>
      <c r="R10" s="112">
        <f t="shared" si="35"/>
        <v>0</v>
      </c>
      <c r="S10" s="112">
        <f t="shared" si="36"/>
        <v>0</v>
      </c>
      <c r="T10" s="112">
        <f t="shared" si="37"/>
        <v>0</v>
      </c>
      <c r="U10" s="112">
        <f t="shared" si="38"/>
        <v>0</v>
      </c>
      <c r="V10" s="112">
        <f t="shared" si="39"/>
        <v>0</v>
      </c>
      <c r="W10" s="112">
        <f t="shared" si="40"/>
        <v>0</v>
      </c>
      <c r="Y10" s="53"/>
      <c r="Z10" s="53"/>
      <c r="AA10" s="53"/>
      <c r="AB10" s="112">
        <f t="shared" si="41"/>
        <v>0</v>
      </c>
      <c r="AC10" s="112">
        <f t="shared" si="42"/>
        <v>0</v>
      </c>
      <c r="AD10" s="112">
        <f t="shared" si="43"/>
        <v>0</v>
      </c>
      <c r="AE10" s="54">
        <f t="shared" si="44"/>
        <v>0</v>
      </c>
      <c r="AG10" s="33">
        <f t="shared" si="19"/>
        <v>0</v>
      </c>
      <c r="AH10" s="33">
        <f t="shared" si="20"/>
        <v>0</v>
      </c>
      <c r="AI10" s="33">
        <f t="shared" si="21"/>
        <v>0</v>
      </c>
      <c r="AJ10" s="33">
        <f t="shared" si="22"/>
        <v>0</v>
      </c>
    </row>
    <row r="11" spans="1:36" x14ac:dyDescent="0.35">
      <c r="A11" s="32"/>
      <c r="B11" s="32"/>
      <c r="C11" s="32"/>
      <c r="D11" s="32"/>
      <c r="E11" s="32"/>
      <c r="F11" s="32"/>
      <c r="G11" s="32"/>
      <c r="H11" s="53"/>
      <c r="I11" s="53"/>
      <c r="J11" s="104"/>
      <c r="K11" s="54">
        <f t="shared" si="7"/>
        <v>0</v>
      </c>
      <c r="L11" s="14"/>
      <c r="M11" s="53"/>
      <c r="N11" s="53"/>
      <c r="O11" s="53"/>
      <c r="P11" s="53"/>
      <c r="Q11" s="112">
        <f t="shared" si="34"/>
        <v>0</v>
      </c>
      <c r="R11" s="112">
        <f t="shared" si="35"/>
        <v>0</v>
      </c>
      <c r="S11" s="112">
        <f t="shared" si="36"/>
        <v>0</v>
      </c>
      <c r="T11" s="112">
        <f t="shared" si="37"/>
        <v>0</v>
      </c>
      <c r="U11" s="112">
        <f t="shared" si="38"/>
        <v>0</v>
      </c>
      <c r="V11" s="112">
        <f t="shared" si="39"/>
        <v>0</v>
      </c>
      <c r="W11" s="112">
        <f t="shared" si="40"/>
        <v>0</v>
      </c>
      <c r="Y11" s="53"/>
      <c r="Z11" s="53"/>
      <c r="AA11" s="53"/>
      <c r="AB11" s="112">
        <f t="shared" si="41"/>
        <v>0</v>
      </c>
      <c r="AC11" s="112">
        <f t="shared" si="42"/>
        <v>0</v>
      </c>
      <c r="AD11" s="112">
        <f t="shared" si="43"/>
        <v>0</v>
      </c>
      <c r="AE11" s="54">
        <f t="shared" si="44"/>
        <v>0</v>
      </c>
      <c r="AG11" s="33">
        <f t="shared" si="19"/>
        <v>0</v>
      </c>
      <c r="AH11" s="33">
        <f t="shared" si="20"/>
        <v>0</v>
      </c>
      <c r="AI11" s="33">
        <f t="shared" si="21"/>
        <v>0</v>
      </c>
      <c r="AJ11" s="33">
        <f t="shared" si="22"/>
        <v>0</v>
      </c>
    </row>
    <row r="12" spans="1:36" x14ac:dyDescent="0.35">
      <c r="A12" s="32"/>
      <c r="B12" s="32"/>
      <c r="C12" s="32"/>
      <c r="D12" s="32"/>
      <c r="E12" s="32"/>
      <c r="F12" s="32"/>
      <c r="G12" s="32"/>
      <c r="H12" s="53"/>
      <c r="I12" s="53"/>
      <c r="J12" s="104"/>
      <c r="K12" s="54">
        <f t="shared" si="7"/>
        <v>0</v>
      </c>
      <c r="L12" s="14"/>
      <c r="M12" s="53"/>
      <c r="N12" s="53"/>
      <c r="O12" s="53"/>
      <c r="P12" s="53"/>
      <c r="Q12" s="112">
        <f t="shared" si="34"/>
        <v>0</v>
      </c>
      <c r="R12" s="112">
        <f t="shared" si="35"/>
        <v>0</v>
      </c>
      <c r="S12" s="112">
        <f t="shared" si="36"/>
        <v>0</v>
      </c>
      <c r="T12" s="112">
        <f t="shared" si="37"/>
        <v>0</v>
      </c>
      <c r="U12" s="112">
        <f t="shared" si="38"/>
        <v>0</v>
      </c>
      <c r="V12" s="112">
        <f t="shared" si="39"/>
        <v>0</v>
      </c>
      <c r="W12" s="112">
        <f t="shared" si="40"/>
        <v>0</v>
      </c>
      <c r="Y12" s="53"/>
      <c r="Z12" s="53"/>
      <c r="AA12" s="53"/>
      <c r="AB12" s="112">
        <f t="shared" si="41"/>
        <v>0</v>
      </c>
      <c r="AC12" s="112">
        <f t="shared" si="42"/>
        <v>0</v>
      </c>
      <c r="AD12" s="112">
        <f t="shared" si="43"/>
        <v>0</v>
      </c>
      <c r="AE12" s="54">
        <f t="shared" si="44"/>
        <v>0</v>
      </c>
      <c r="AG12" s="33">
        <f t="shared" si="19"/>
        <v>0</v>
      </c>
      <c r="AH12" s="33">
        <f t="shared" si="20"/>
        <v>0</v>
      </c>
      <c r="AI12" s="33">
        <f t="shared" si="21"/>
        <v>0</v>
      </c>
      <c r="AJ12" s="33">
        <f t="shared" si="22"/>
        <v>0</v>
      </c>
    </row>
    <row r="13" spans="1:36" x14ac:dyDescent="0.35">
      <c r="A13" s="32"/>
      <c r="B13" s="32"/>
      <c r="C13" s="32"/>
      <c r="D13" s="32"/>
      <c r="E13" s="32"/>
      <c r="F13" s="32"/>
      <c r="G13" s="32"/>
      <c r="H13" s="53"/>
      <c r="I13" s="53"/>
      <c r="J13" s="104"/>
      <c r="K13" s="54">
        <f t="shared" si="7"/>
        <v>0</v>
      </c>
      <c r="L13" s="14"/>
      <c r="M13" s="53"/>
      <c r="N13" s="53"/>
      <c r="O13" s="53"/>
      <c r="P13" s="53"/>
      <c r="Q13" s="112">
        <f t="shared" si="34"/>
        <v>0</v>
      </c>
      <c r="R13" s="112">
        <f t="shared" si="35"/>
        <v>0</v>
      </c>
      <c r="S13" s="112">
        <f t="shared" si="36"/>
        <v>0</v>
      </c>
      <c r="T13" s="112">
        <f t="shared" si="37"/>
        <v>0</v>
      </c>
      <c r="U13" s="112">
        <f t="shared" si="38"/>
        <v>0</v>
      </c>
      <c r="V13" s="112">
        <f t="shared" si="39"/>
        <v>0</v>
      </c>
      <c r="W13" s="112">
        <f t="shared" si="40"/>
        <v>0</v>
      </c>
      <c r="Y13" s="53"/>
      <c r="Z13" s="53"/>
      <c r="AA13" s="53"/>
      <c r="AB13" s="112">
        <f t="shared" si="41"/>
        <v>0</v>
      </c>
      <c r="AC13" s="112">
        <f t="shared" si="42"/>
        <v>0</v>
      </c>
      <c r="AD13" s="112">
        <f t="shared" si="43"/>
        <v>0</v>
      </c>
      <c r="AE13" s="54">
        <f t="shared" si="44"/>
        <v>0</v>
      </c>
      <c r="AG13" s="33">
        <f t="shared" si="19"/>
        <v>0</v>
      </c>
      <c r="AH13" s="33">
        <f t="shared" si="20"/>
        <v>0</v>
      </c>
      <c r="AI13" s="33">
        <f t="shared" si="21"/>
        <v>0</v>
      </c>
      <c r="AJ13" s="33">
        <f t="shared" si="22"/>
        <v>0</v>
      </c>
    </row>
    <row r="14" spans="1:36" x14ac:dyDescent="0.35">
      <c r="A14" s="32"/>
      <c r="B14" s="32"/>
      <c r="C14" s="32"/>
      <c r="D14" s="32"/>
      <c r="E14" s="32"/>
      <c r="F14" s="32"/>
      <c r="G14" s="32"/>
      <c r="H14" s="53"/>
      <c r="I14" s="53"/>
      <c r="J14" s="104"/>
      <c r="K14" s="54">
        <f t="shared" si="7"/>
        <v>0</v>
      </c>
      <c r="L14" s="14"/>
      <c r="M14" s="53"/>
      <c r="N14" s="53"/>
      <c r="O14" s="53"/>
      <c r="P14" s="53"/>
      <c r="Q14" s="112">
        <f t="shared" si="34"/>
        <v>0</v>
      </c>
      <c r="R14" s="112">
        <f t="shared" si="35"/>
        <v>0</v>
      </c>
      <c r="S14" s="112">
        <f t="shared" si="36"/>
        <v>0</v>
      </c>
      <c r="T14" s="112">
        <f t="shared" si="37"/>
        <v>0</v>
      </c>
      <c r="U14" s="112">
        <f t="shared" si="38"/>
        <v>0</v>
      </c>
      <c r="V14" s="112">
        <f t="shared" si="39"/>
        <v>0</v>
      </c>
      <c r="W14" s="112">
        <f t="shared" si="40"/>
        <v>0</v>
      </c>
      <c r="Y14" s="53"/>
      <c r="Z14" s="53"/>
      <c r="AA14" s="53"/>
      <c r="AB14" s="112">
        <f t="shared" si="41"/>
        <v>0</v>
      </c>
      <c r="AC14" s="112">
        <f t="shared" si="42"/>
        <v>0</v>
      </c>
      <c r="AD14" s="112">
        <f t="shared" si="43"/>
        <v>0</v>
      </c>
      <c r="AE14" s="54">
        <f t="shared" si="44"/>
        <v>0</v>
      </c>
      <c r="AG14" s="33">
        <f t="shared" si="19"/>
        <v>0</v>
      </c>
      <c r="AH14" s="33">
        <f t="shared" si="20"/>
        <v>0</v>
      </c>
      <c r="AI14" s="33">
        <f t="shared" si="21"/>
        <v>0</v>
      </c>
      <c r="AJ14" s="33">
        <f t="shared" si="22"/>
        <v>0</v>
      </c>
    </row>
    <row r="15" spans="1:36" x14ac:dyDescent="0.35">
      <c r="A15" s="32"/>
      <c r="B15" s="32"/>
      <c r="C15" s="32"/>
      <c r="D15" s="32"/>
      <c r="E15" s="32"/>
      <c r="F15" s="32"/>
      <c r="G15" s="32"/>
      <c r="H15" s="53"/>
      <c r="I15" s="53"/>
      <c r="J15" s="104"/>
      <c r="K15" s="54">
        <f t="shared" si="7"/>
        <v>0</v>
      </c>
      <c r="L15" s="14"/>
      <c r="M15" s="53"/>
      <c r="N15" s="53"/>
      <c r="O15" s="53"/>
      <c r="P15" s="53"/>
      <c r="Q15" s="112">
        <f t="shared" si="34"/>
        <v>0</v>
      </c>
      <c r="R15" s="112">
        <f t="shared" si="35"/>
        <v>0</v>
      </c>
      <c r="S15" s="112">
        <f t="shared" si="36"/>
        <v>0</v>
      </c>
      <c r="T15" s="112">
        <f t="shared" si="37"/>
        <v>0</v>
      </c>
      <c r="U15" s="112">
        <f t="shared" si="38"/>
        <v>0</v>
      </c>
      <c r="V15" s="112">
        <f t="shared" si="39"/>
        <v>0</v>
      </c>
      <c r="W15" s="112">
        <f t="shared" si="40"/>
        <v>0</v>
      </c>
      <c r="Y15" s="53"/>
      <c r="Z15" s="53"/>
      <c r="AA15" s="53"/>
      <c r="AB15" s="112">
        <f t="shared" si="41"/>
        <v>0</v>
      </c>
      <c r="AC15" s="112">
        <f t="shared" si="42"/>
        <v>0</v>
      </c>
      <c r="AD15" s="112">
        <f t="shared" si="43"/>
        <v>0</v>
      </c>
      <c r="AE15" s="54">
        <f t="shared" si="44"/>
        <v>0</v>
      </c>
      <c r="AG15" s="33">
        <f t="shared" si="19"/>
        <v>0</v>
      </c>
      <c r="AH15" s="33">
        <f t="shared" si="20"/>
        <v>0</v>
      </c>
      <c r="AI15" s="33">
        <f t="shared" si="21"/>
        <v>0</v>
      </c>
      <c r="AJ15" s="33">
        <f t="shared" si="22"/>
        <v>0</v>
      </c>
    </row>
    <row r="16" spans="1:36" x14ac:dyDescent="0.35">
      <c r="A16" s="32"/>
      <c r="B16" s="32"/>
      <c r="C16" s="32"/>
      <c r="D16" s="32"/>
      <c r="E16" s="32"/>
      <c r="F16" s="32"/>
      <c r="G16" s="32"/>
      <c r="H16" s="53"/>
      <c r="I16" s="53"/>
      <c r="J16" s="104"/>
      <c r="K16" s="54">
        <f t="shared" si="7"/>
        <v>0</v>
      </c>
      <c r="L16" s="14"/>
      <c r="M16" s="53"/>
      <c r="N16" s="53"/>
      <c r="O16" s="53"/>
      <c r="P16" s="53"/>
      <c r="Q16" s="112">
        <f t="shared" si="34"/>
        <v>0</v>
      </c>
      <c r="R16" s="112">
        <f t="shared" si="35"/>
        <v>0</v>
      </c>
      <c r="S16" s="112">
        <f t="shared" si="36"/>
        <v>0</v>
      </c>
      <c r="T16" s="112">
        <f t="shared" si="37"/>
        <v>0</v>
      </c>
      <c r="U16" s="112">
        <f t="shared" si="38"/>
        <v>0</v>
      </c>
      <c r="V16" s="112">
        <f t="shared" si="39"/>
        <v>0</v>
      </c>
      <c r="W16" s="112">
        <f t="shared" si="40"/>
        <v>0</v>
      </c>
      <c r="Y16" s="53"/>
      <c r="Z16" s="53"/>
      <c r="AA16" s="53"/>
      <c r="AB16" s="112">
        <f t="shared" si="41"/>
        <v>0</v>
      </c>
      <c r="AC16" s="112">
        <f t="shared" si="42"/>
        <v>0</v>
      </c>
      <c r="AD16" s="112">
        <f t="shared" si="43"/>
        <v>0</v>
      </c>
      <c r="AE16" s="54">
        <f t="shared" si="44"/>
        <v>0</v>
      </c>
      <c r="AG16" s="33">
        <f t="shared" si="19"/>
        <v>0</v>
      </c>
      <c r="AH16" s="33">
        <f t="shared" si="20"/>
        <v>0</v>
      </c>
      <c r="AI16" s="33">
        <f t="shared" si="21"/>
        <v>0</v>
      </c>
      <c r="AJ16" s="33">
        <f t="shared" si="22"/>
        <v>0</v>
      </c>
    </row>
    <row r="17" spans="1:36" x14ac:dyDescent="0.35">
      <c r="A17" s="32"/>
      <c r="B17" s="32"/>
      <c r="C17" s="32"/>
      <c r="D17" s="32"/>
      <c r="E17" s="32"/>
      <c r="F17" s="32"/>
      <c r="G17" s="32"/>
      <c r="H17" s="53"/>
      <c r="I17" s="53"/>
      <c r="J17" s="104"/>
      <c r="K17" s="54">
        <f t="shared" si="7"/>
        <v>0</v>
      </c>
      <c r="L17" s="14"/>
      <c r="M17" s="53"/>
      <c r="N17" s="53"/>
      <c r="O17" s="53"/>
      <c r="P17" s="53"/>
      <c r="Q17" s="112">
        <f t="shared" si="34"/>
        <v>0</v>
      </c>
      <c r="R17" s="112">
        <f t="shared" si="35"/>
        <v>0</v>
      </c>
      <c r="S17" s="112">
        <f t="shared" si="36"/>
        <v>0</v>
      </c>
      <c r="T17" s="112">
        <f t="shared" si="37"/>
        <v>0</v>
      </c>
      <c r="U17" s="112">
        <f t="shared" si="38"/>
        <v>0</v>
      </c>
      <c r="V17" s="112">
        <f t="shared" si="39"/>
        <v>0</v>
      </c>
      <c r="W17" s="112">
        <f t="shared" si="40"/>
        <v>0</v>
      </c>
      <c r="Y17" s="53"/>
      <c r="Z17" s="53"/>
      <c r="AA17" s="53"/>
      <c r="AB17" s="112">
        <f t="shared" si="41"/>
        <v>0</v>
      </c>
      <c r="AC17" s="112">
        <f t="shared" si="42"/>
        <v>0</v>
      </c>
      <c r="AD17" s="112">
        <f t="shared" si="43"/>
        <v>0</v>
      </c>
      <c r="AE17" s="54">
        <f t="shared" si="44"/>
        <v>0</v>
      </c>
      <c r="AG17" s="33">
        <f t="shared" si="19"/>
        <v>0</v>
      </c>
      <c r="AH17" s="33">
        <f t="shared" si="20"/>
        <v>0</v>
      </c>
      <c r="AI17" s="33">
        <f t="shared" si="21"/>
        <v>0</v>
      </c>
      <c r="AJ17" s="33">
        <f t="shared" si="22"/>
        <v>0</v>
      </c>
    </row>
    <row r="18" spans="1:36" x14ac:dyDescent="0.35">
      <c r="A18" s="32"/>
      <c r="B18" s="32"/>
      <c r="C18" s="32"/>
      <c r="D18" s="32"/>
      <c r="E18" s="32"/>
      <c r="F18" s="32"/>
      <c r="G18" s="32"/>
      <c r="H18" s="53"/>
      <c r="I18" s="53"/>
      <c r="J18" s="104"/>
      <c r="K18" s="54">
        <f t="shared" si="7"/>
        <v>0</v>
      </c>
      <c r="L18" s="14"/>
      <c r="M18" s="53"/>
      <c r="N18" s="53"/>
      <c r="O18" s="53"/>
      <c r="P18" s="53"/>
      <c r="Q18" s="112">
        <f t="shared" si="23"/>
        <v>0</v>
      </c>
      <c r="R18" s="112">
        <f t="shared" si="24"/>
        <v>0</v>
      </c>
      <c r="S18" s="112">
        <f t="shared" si="25"/>
        <v>0</v>
      </c>
      <c r="T18" s="112">
        <f t="shared" si="26"/>
        <v>0</v>
      </c>
      <c r="U18" s="112">
        <f t="shared" si="27"/>
        <v>0</v>
      </c>
      <c r="V18" s="112">
        <f t="shared" si="28"/>
        <v>0</v>
      </c>
      <c r="W18" s="112">
        <f t="shared" si="29"/>
        <v>0</v>
      </c>
      <c r="Y18" s="53"/>
      <c r="Z18" s="53"/>
      <c r="AA18" s="53"/>
      <c r="AB18" s="112">
        <f t="shared" si="30"/>
        <v>0</v>
      </c>
      <c r="AC18" s="112">
        <f t="shared" si="31"/>
        <v>0</v>
      </c>
      <c r="AD18" s="112">
        <f t="shared" si="32"/>
        <v>0</v>
      </c>
      <c r="AE18" s="54">
        <f t="shared" si="33"/>
        <v>0</v>
      </c>
      <c r="AG18" s="33">
        <f t="shared" si="19"/>
        <v>0</v>
      </c>
      <c r="AH18" s="33">
        <f t="shared" si="20"/>
        <v>0</v>
      </c>
      <c r="AI18" s="33">
        <f t="shared" si="21"/>
        <v>0</v>
      </c>
      <c r="AJ18" s="33">
        <f t="shared" si="22"/>
        <v>0</v>
      </c>
    </row>
    <row r="19" spans="1:36" x14ac:dyDescent="0.35">
      <c r="A19" s="32"/>
      <c r="B19" s="32"/>
      <c r="C19" s="32"/>
      <c r="D19" s="32"/>
      <c r="E19" s="32"/>
      <c r="F19" s="32"/>
      <c r="G19" s="32"/>
      <c r="H19" s="53"/>
      <c r="I19" s="53"/>
      <c r="J19" s="104"/>
      <c r="K19" s="54">
        <f t="shared" si="7"/>
        <v>0</v>
      </c>
      <c r="L19" s="14"/>
      <c r="M19" s="53"/>
      <c r="N19" s="53"/>
      <c r="O19" s="53"/>
      <c r="P19" s="53"/>
      <c r="Q19" s="112">
        <f t="shared" si="23"/>
        <v>0</v>
      </c>
      <c r="R19" s="112">
        <f t="shared" si="24"/>
        <v>0</v>
      </c>
      <c r="S19" s="112">
        <f t="shared" si="25"/>
        <v>0</v>
      </c>
      <c r="T19" s="112">
        <f t="shared" si="26"/>
        <v>0</v>
      </c>
      <c r="U19" s="112">
        <f t="shared" si="27"/>
        <v>0</v>
      </c>
      <c r="V19" s="112">
        <f t="shared" si="28"/>
        <v>0</v>
      </c>
      <c r="W19" s="112">
        <f t="shared" si="29"/>
        <v>0</v>
      </c>
      <c r="Y19" s="53"/>
      <c r="Z19" s="53"/>
      <c r="AA19" s="53"/>
      <c r="AB19" s="112">
        <f t="shared" si="30"/>
        <v>0</v>
      </c>
      <c r="AC19" s="112">
        <f t="shared" si="31"/>
        <v>0</v>
      </c>
      <c r="AD19" s="112">
        <f t="shared" si="32"/>
        <v>0</v>
      </c>
      <c r="AE19" s="54">
        <f t="shared" si="33"/>
        <v>0</v>
      </c>
      <c r="AG19" s="33">
        <f t="shared" si="19"/>
        <v>0</v>
      </c>
      <c r="AH19" s="33">
        <f t="shared" si="20"/>
        <v>0</v>
      </c>
      <c r="AI19" s="33">
        <f t="shared" si="21"/>
        <v>0</v>
      </c>
      <c r="AJ19" s="33">
        <f t="shared" si="22"/>
        <v>0</v>
      </c>
    </row>
    <row r="20" spans="1:36" x14ac:dyDescent="0.35">
      <c r="A20" s="32"/>
      <c r="B20" s="32"/>
      <c r="C20" s="32"/>
      <c r="D20" s="32"/>
      <c r="E20" s="32"/>
      <c r="F20" s="32"/>
      <c r="G20" s="32"/>
      <c r="H20" s="53"/>
      <c r="I20" s="53"/>
      <c r="J20" s="104"/>
      <c r="K20" s="54">
        <f t="shared" si="7"/>
        <v>0</v>
      </c>
      <c r="L20" s="14"/>
      <c r="M20" s="53"/>
      <c r="N20" s="53"/>
      <c r="O20" s="53"/>
      <c r="P20" s="53"/>
      <c r="Q20" s="112">
        <f t="shared" si="8"/>
        <v>0</v>
      </c>
      <c r="R20" s="112">
        <f t="shared" si="9"/>
        <v>0</v>
      </c>
      <c r="S20" s="112">
        <f t="shared" si="10"/>
        <v>0</v>
      </c>
      <c r="T20" s="112">
        <f t="shared" si="11"/>
        <v>0</v>
      </c>
      <c r="U20" s="112">
        <f t="shared" si="12"/>
        <v>0</v>
      </c>
      <c r="V20" s="112">
        <f t="shared" si="13"/>
        <v>0</v>
      </c>
      <c r="W20" s="112">
        <f t="shared" si="14"/>
        <v>0</v>
      </c>
      <c r="Y20" s="53"/>
      <c r="Z20" s="53"/>
      <c r="AA20" s="53"/>
      <c r="AB20" s="112">
        <f t="shared" si="15"/>
        <v>0</v>
      </c>
      <c r="AC20" s="112">
        <f t="shared" si="16"/>
        <v>0</v>
      </c>
      <c r="AD20" s="112">
        <f t="shared" si="17"/>
        <v>0</v>
      </c>
      <c r="AE20" s="54">
        <f t="shared" si="18"/>
        <v>0</v>
      </c>
      <c r="AG20" s="33">
        <f t="shared" si="19"/>
        <v>0</v>
      </c>
      <c r="AH20" s="33">
        <f t="shared" si="20"/>
        <v>0</v>
      </c>
      <c r="AI20" s="33">
        <f t="shared" si="21"/>
        <v>0</v>
      </c>
      <c r="AJ20" s="33">
        <f t="shared" si="22"/>
        <v>0</v>
      </c>
    </row>
    <row r="21" spans="1:36" x14ac:dyDescent="0.35">
      <c r="A21" s="32"/>
      <c r="B21" s="32"/>
      <c r="C21" s="32"/>
      <c r="D21" s="32"/>
      <c r="E21" s="32"/>
      <c r="F21" s="32"/>
      <c r="G21" s="32"/>
      <c r="H21" s="53"/>
      <c r="I21" s="53"/>
      <c r="J21" s="104"/>
      <c r="K21" s="54">
        <f t="shared" si="7"/>
        <v>0</v>
      </c>
      <c r="L21" s="14"/>
      <c r="M21" s="53"/>
      <c r="N21" s="53"/>
      <c r="O21" s="53"/>
      <c r="P21" s="53"/>
      <c r="Q21" s="112">
        <f t="shared" si="8"/>
        <v>0</v>
      </c>
      <c r="R21" s="112">
        <f t="shared" si="9"/>
        <v>0</v>
      </c>
      <c r="S21" s="112">
        <f t="shared" si="10"/>
        <v>0</v>
      </c>
      <c r="T21" s="112">
        <f t="shared" si="11"/>
        <v>0</v>
      </c>
      <c r="U21" s="112">
        <f t="shared" si="12"/>
        <v>0</v>
      </c>
      <c r="V21" s="112">
        <f t="shared" si="13"/>
        <v>0</v>
      </c>
      <c r="W21" s="112">
        <f t="shared" si="14"/>
        <v>0</v>
      </c>
      <c r="Y21" s="53"/>
      <c r="Z21" s="53"/>
      <c r="AA21" s="53"/>
      <c r="AB21" s="112">
        <f t="shared" si="15"/>
        <v>0</v>
      </c>
      <c r="AC21" s="112">
        <f t="shared" si="16"/>
        <v>0</v>
      </c>
      <c r="AD21" s="112">
        <f t="shared" si="17"/>
        <v>0</v>
      </c>
      <c r="AE21" s="54">
        <f t="shared" si="18"/>
        <v>0</v>
      </c>
      <c r="AG21" s="33">
        <f t="shared" ref="AG21:AG92" si="45">IF(F21="RURAL",M21*N21*(O21-0.1),0)</f>
        <v>0</v>
      </c>
      <c r="AH21" s="33">
        <f t="shared" ref="AH21:AH92" si="46">IF(F21="NATIONAL",(O21-0.45)*M21*N21,0)</f>
        <v>0</v>
      </c>
      <c r="AI21" s="33">
        <f t="shared" ref="AI21:AI92" si="47">IF(F21="RURAL",(M21+0.2)*(N21+0.2),0)</f>
        <v>0</v>
      </c>
      <c r="AJ21" s="33">
        <f t="shared" ref="AJ21:AJ92" si="48">IF(F21="NATIONAL",M21*N21,0)</f>
        <v>0</v>
      </c>
    </row>
    <row r="22" spans="1:36" x14ac:dyDescent="0.35">
      <c r="A22" s="32"/>
      <c r="B22" s="32"/>
      <c r="C22" s="32"/>
      <c r="D22" s="32"/>
      <c r="E22" s="32"/>
      <c r="F22" s="32"/>
      <c r="G22" s="32"/>
      <c r="H22" s="53"/>
      <c r="I22" s="53"/>
      <c r="J22" s="104"/>
      <c r="K22" s="54">
        <f t="shared" si="7"/>
        <v>0</v>
      </c>
      <c r="L22" s="14"/>
      <c r="M22" s="104"/>
      <c r="N22" s="104"/>
      <c r="O22" s="104"/>
      <c r="P22" s="53"/>
      <c r="Q22" s="112">
        <f t="shared" si="8"/>
        <v>0</v>
      </c>
      <c r="R22" s="112">
        <f t="shared" si="9"/>
        <v>0</v>
      </c>
      <c r="S22" s="112">
        <f t="shared" si="10"/>
        <v>0</v>
      </c>
      <c r="T22" s="112">
        <f t="shared" si="11"/>
        <v>0</v>
      </c>
      <c r="U22" s="112">
        <f t="shared" si="12"/>
        <v>0</v>
      </c>
      <c r="V22" s="112">
        <f t="shared" si="13"/>
        <v>0</v>
      </c>
      <c r="W22" s="112">
        <f t="shared" si="14"/>
        <v>0</v>
      </c>
      <c r="Y22" s="53"/>
      <c r="Z22" s="53"/>
      <c r="AA22" s="53"/>
      <c r="AB22" s="112">
        <f t="shared" si="15"/>
        <v>0</v>
      </c>
      <c r="AC22" s="112">
        <f t="shared" si="16"/>
        <v>0</v>
      </c>
      <c r="AD22" s="112">
        <f t="shared" si="17"/>
        <v>0</v>
      </c>
      <c r="AE22" s="54">
        <f t="shared" si="18"/>
        <v>0</v>
      </c>
      <c r="AG22" s="33">
        <f t="shared" si="45"/>
        <v>0</v>
      </c>
      <c r="AH22" s="33">
        <f t="shared" si="46"/>
        <v>0</v>
      </c>
      <c r="AI22" s="33">
        <f t="shared" si="47"/>
        <v>0</v>
      </c>
      <c r="AJ22" s="33">
        <f t="shared" si="48"/>
        <v>0</v>
      </c>
    </row>
    <row r="23" spans="1:36" x14ac:dyDescent="0.35">
      <c r="A23" s="32"/>
      <c r="B23" s="32"/>
      <c r="C23" s="32"/>
      <c r="D23" s="32"/>
      <c r="E23" s="32"/>
      <c r="F23" s="32"/>
      <c r="G23" s="32"/>
      <c r="H23" s="53"/>
      <c r="I23" s="53"/>
      <c r="J23" s="104"/>
      <c r="K23" s="54">
        <f t="shared" si="7"/>
        <v>0</v>
      </c>
      <c r="L23" s="14"/>
      <c r="M23" s="104"/>
      <c r="N23" s="104"/>
      <c r="O23" s="104"/>
      <c r="P23" s="53"/>
      <c r="Q23" s="112">
        <f t="shared" si="8"/>
        <v>0</v>
      </c>
      <c r="R23" s="112">
        <f t="shared" si="9"/>
        <v>0</v>
      </c>
      <c r="S23" s="112">
        <f t="shared" si="10"/>
        <v>0</v>
      </c>
      <c r="T23" s="112">
        <f t="shared" si="11"/>
        <v>0</v>
      </c>
      <c r="U23" s="112">
        <f t="shared" si="12"/>
        <v>0</v>
      </c>
      <c r="V23" s="112">
        <f t="shared" si="13"/>
        <v>0</v>
      </c>
      <c r="W23" s="112">
        <f t="shared" si="14"/>
        <v>0</v>
      </c>
      <c r="Y23" s="53"/>
      <c r="Z23" s="53"/>
      <c r="AA23" s="53"/>
      <c r="AB23" s="112">
        <f t="shared" si="15"/>
        <v>0</v>
      </c>
      <c r="AC23" s="112">
        <f t="shared" si="16"/>
        <v>0</v>
      </c>
      <c r="AD23" s="112">
        <f t="shared" si="17"/>
        <v>0</v>
      </c>
      <c r="AE23" s="54">
        <f t="shared" si="18"/>
        <v>0</v>
      </c>
      <c r="AG23" s="33">
        <f t="shared" si="45"/>
        <v>0</v>
      </c>
      <c r="AH23" s="33">
        <f t="shared" si="46"/>
        <v>0</v>
      </c>
      <c r="AI23" s="33">
        <f t="shared" si="47"/>
        <v>0</v>
      </c>
      <c r="AJ23" s="33">
        <f t="shared" si="48"/>
        <v>0</v>
      </c>
    </row>
    <row r="24" spans="1:36" x14ac:dyDescent="0.35">
      <c r="A24" s="32"/>
      <c r="B24" s="32"/>
      <c r="C24" s="32"/>
      <c r="D24" s="32"/>
      <c r="E24" s="32"/>
      <c r="F24" s="32"/>
      <c r="G24" s="32"/>
      <c r="H24" s="53"/>
      <c r="I24" s="53"/>
      <c r="J24" s="104"/>
      <c r="K24" s="54">
        <f t="shared" si="7"/>
        <v>0</v>
      </c>
      <c r="L24" s="14"/>
      <c r="M24" s="104"/>
      <c r="N24" s="104"/>
      <c r="O24" s="104"/>
      <c r="P24" s="53"/>
      <c r="Q24" s="112">
        <f t="shared" si="8"/>
        <v>0</v>
      </c>
      <c r="R24" s="112">
        <f t="shared" si="9"/>
        <v>0</v>
      </c>
      <c r="S24" s="112">
        <f t="shared" si="10"/>
        <v>0</v>
      </c>
      <c r="T24" s="112">
        <f t="shared" si="11"/>
        <v>0</v>
      </c>
      <c r="U24" s="112">
        <f t="shared" si="12"/>
        <v>0</v>
      </c>
      <c r="V24" s="112">
        <f t="shared" si="13"/>
        <v>0</v>
      </c>
      <c r="W24" s="112">
        <f t="shared" si="14"/>
        <v>0</v>
      </c>
      <c r="Y24" s="53"/>
      <c r="Z24" s="53"/>
      <c r="AA24" s="53"/>
      <c r="AB24" s="112">
        <f t="shared" si="15"/>
        <v>0</v>
      </c>
      <c r="AC24" s="112">
        <f t="shared" si="16"/>
        <v>0</v>
      </c>
      <c r="AD24" s="112">
        <f t="shared" si="17"/>
        <v>0</v>
      </c>
      <c r="AE24" s="54">
        <f t="shared" si="18"/>
        <v>0</v>
      </c>
      <c r="AG24" s="33">
        <f t="shared" si="45"/>
        <v>0</v>
      </c>
      <c r="AH24" s="33">
        <f t="shared" si="46"/>
        <v>0</v>
      </c>
      <c r="AI24" s="33">
        <f t="shared" si="47"/>
        <v>0</v>
      </c>
      <c r="AJ24" s="33">
        <f t="shared" si="48"/>
        <v>0</v>
      </c>
    </row>
    <row r="25" spans="1:36" x14ac:dyDescent="0.35">
      <c r="A25" s="32"/>
      <c r="B25" s="32"/>
      <c r="C25" s="32"/>
      <c r="D25" s="32"/>
      <c r="E25" s="32"/>
      <c r="F25" s="32"/>
      <c r="G25" s="32"/>
      <c r="H25" s="53"/>
      <c r="I25" s="53"/>
      <c r="J25" s="104"/>
      <c r="K25" s="54">
        <f t="shared" si="7"/>
        <v>0</v>
      </c>
      <c r="L25" s="14"/>
      <c r="M25" s="104"/>
      <c r="N25" s="104"/>
      <c r="O25" s="104"/>
      <c r="P25" s="53"/>
      <c r="Q25" s="112">
        <f t="shared" si="8"/>
        <v>0</v>
      </c>
      <c r="R25" s="112">
        <f t="shared" si="9"/>
        <v>0</v>
      </c>
      <c r="S25" s="112">
        <f t="shared" si="10"/>
        <v>0</v>
      </c>
      <c r="T25" s="112">
        <f t="shared" si="11"/>
        <v>0</v>
      </c>
      <c r="U25" s="112">
        <f t="shared" si="12"/>
        <v>0</v>
      </c>
      <c r="V25" s="112">
        <f t="shared" si="13"/>
        <v>0</v>
      </c>
      <c r="W25" s="112">
        <f t="shared" si="14"/>
        <v>0</v>
      </c>
      <c r="Y25" s="53"/>
      <c r="Z25" s="53"/>
      <c r="AA25" s="53"/>
      <c r="AB25" s="112">
        <f t="shared" si="15"/>
        <v>0</v>
      </c>
      <c r="AC25" s="112">
        <f t="shared" si="16"/>
        <v>0</v>
      </c>
      <c r="AD25" s="112">
        <f t="shared" si="17"/>
        <v>0</v>
      </c>
      <c r="AE25" s="54">
        <f t="shared" si="18"/>
        <v>0</v>
      </c>
      <c r="AG25" s="33">
        <f t="shared" si="45"/>
        <v>0</v>
      </c>
      <c r="AH25" s="33">
        <f t="shared" si="46"/>
        <v>0</v>
      </c>
      <c r="AI25" s="33">
        <f t="shared" si="47"/>
        <v>0</v>
      </c>
      <c r="AJ25" s="33">
        <f t="shared" si="48"/>
        <v>0</v>
      </c>
    </row>
    <row r="26" spans="1:36" ht="15" customHeight="1" x14ac:dyDescent="0.35">
      <c r="A26" s="115"/>
      <c r="B26" s="115"/>
      <c r="C26" s="115"/>
      <c r="D26" s="115"/>
      <c r="E26" s="115"/>
      <c r="F26" s="32"/>
      <c r="G26" s="32"/>
      <c r="H26" s="125"/>
      <c r="I26" s="104"/>
      <c r="J26" s="104"/>
      <c r="K26" s="54">
        <f>IF(J26&gt;0,1,0)</f>
        <v>0</v>
      </c>
      <c r="L26" s="14"/>
      <c r="M26" s="125"/>
      <c r="N26" s="104"/>
      <c r="O26" s="104"/>
      <c r="P26" s="104"/>
      <c r="Q26" s="112">
        <f>IF(O26&gt;1.2, 1.2, O26)</f>
        <v>0</v>
      </c>
      <c r="R26" s="112">
        <f>IF(O26&gt;3,1.8,MAX(0,O26-1.2))</f>
        <v>0</v>
      </c>
      <c r="S26" s="112">
        <f t="shared" si="10"/>
        <v>0</v>
      </c>
      <c r="T26" s="112">
        <f t="shared" si="11"/>
        <v>0</v>
      </c>
      <c r="U26" s="112">
        <f>(2*M26)+(2*N26)</f>
        <v>0</v>
      </c>
      <c r="V26" s="112">
        <f t="shared" si="13"/>
        <v>0</v>
      </c>
      <c r="W26" s="112">
        <f>M26*N26</f>
        <v>0</v>
      </c>
      <c r="Y26" s="104"/>
      <c r="Z26" s="104"/>
      <c r="AA26" s="104"/>
      <c r="AB26" s="112">
        <f t="shared" si="15"/>
        <v>0</v>
      </c>
      <c r="AC26" s="112">
        <f t="shared" si="16"/>
        <v>0</v>
      </c>
      <c r="AD26" s="112">
        <f t="shared" si="17"/>
        <v>0</v>
      </c>
      <c r="AE26" s="54">
        <f t="shared" si="18"/>
        <v>0</v>
      </c>
      <c r="AG26" s="33">
        <f>IF(F26="RURAL",M26*N26*(O26-0.1),0)</f>
        <v>0</v>
      </c>
      <c r="AH26" s="33">
        <f>IF(F26="NATIONAL",(O26-0.45)*M26*N26,0)</f>
        <v>0</v>
      </c>
      <c r="AI26" s="33">
        <f>IF(F26="RURAL",(M26+0.2)*(N26+0.2),0)</f>
        <v>0</v>
      </c>
      <c r="AJ26" s="33">
        <f>IF(F26="NATIONAL",M26*N26,0)</f>
        <v>0</v>
      </c>
    </row>
    <row r="27" spans="1:36" x14ac:dyDescent="0.35">
      <c r="A27" s="115"/>
      <c r="B27" s="115"/>
      <c r="C27" s="115"/>
      <c r="D27" s="115"/>
      <c r="E27" s="115"/>
      <c r="F27" s="32"/>
      <c r="G27" s="32"/>
      <c r="H27" s="125"/>
      <c r="I27" s="104"/>
      <c r="J27" s="104"/>
      <c r="K27" s="54">
        <f t="shared" ref="K27:K90" si="49">IF(J27&gt;0,1,0)</f>
        <v>0</v>
      </c>
      <c r="L27" s="14"/>
      <c r="M27" s="125"/>
      <c r="N27" s="104"/>
      <c r="O27" s="104"/>
      <c r="P27" s="104"/>
      <c r="Q27" s="112">
        <f t="shared" ref="Q27:Q90" si="50">IF(O27&gt;1.2, 1.2, O27)</f>
        <v>0</v>
      </c>
      <c r="R27" s="112">
        <f t="shared" ref="R27:R90" si="51">IF(O27&gt;3,1.8,MAX(0,O27-1.2))</f>
        <v>0</v>
      </c>
      <c r="S27" s="112">
        <f t="shared" ref="S27:S90" si="52">M27*N27*Q27</f>
        <v>0</v>
      </c>
      <c r="T27" s="112">
        <f t="shared" ref="T27:T90" si="53">M27*N27*R27</f>
        <v>0</v>
      </c>
      <c r="U27" s="112">
        <f t="shared" ref="U27:U90" si="54">(2*M27)+(2*N27)</f>
        <v>0</v>
      </c>
      <c r="V27" s="112">
        <f t="shared" ref="V27:V90" si="55">M27*N27*P27</f>
        <v>0</v>
      </c>
      <c r="W27" s="112">
        <f t="shared" ref="W27:W90" si="56">M27*N27</f>
        <v>0</v>
      </c>
      <c r="Y27" s="53"/>
      <c r="Z27" s="53"/>
      <c r="AA27" s="53"/>
      <c r="AB27" s="112">
        <f t="shared" ref="AB27:AB90" si="57">IF(AA27&gt;3, 3, AA27)</f>
        <v>0</v>
      </c>
      <c r="AC27" s="112">
        <f t="shared" ref="AC27:AC90" si="58">IF(AA27&gt;4.5,4.5,MAX(0,AA27-3))</f>
        <v>0</v>
      </c>
      <c r="AD27" s="112">
        <f t="shared" ref="AD27:AD90" si="59">Y27*Z27*AB27</f>
        <v>0</v>
      </c>
      <c r="AE27" s="54">
        <f t="shared" ref="AE27:AE90" si="60">Y27*Z27*AC27</f>
        <v>0</v>
      </c>
      <c r="AG27" s="33">
        <f>IF(F27="RURAL",M27*N27*(O27-0.1),0)</f>
        <v>0</v>
      </c>
      <c r="AH27" s="33">
        <f>IF(F27="NATIONAL",(O27-0.45)*M27*N27,0)</f>
        <v>0</v>
      </c>
      <c r="AI27" s="33">
        <f>IF(F27="RURAL",(M27+0.2)*(N27+0.2),0)</f>
        <v>0</v>
      </c>
      <c r="AJ27" s="33">
        <f>IF(F27="NATIONAL",M27*N27,0)</f>
        <v>0</v>
      </c>
    </row>
    <row r="28" spans="1:36" x14ac:dyDescent="0.35">
      <c r="A28" s="115"/>
      <c r="B28" s="115"/>
      <c r="C28" s="115"/>
      <c r="D28" s="115"/>
      <c r="E28" s="115"/>
      <c r="F28" s="32"/>
      <c r="G28" s="32"/>
      <c r="H28" s="125"/>
      <c r="I28" s="104"/>
      <c r="J28" s="104"/>
      <c r="K28" s="54">
        <f t="shared" si="49"/>
        <v>0</v>
      </c>
      <c r="L28" s="14"/>
      <c r="M28" s="125"/>
      <c r="N28" s="104"/>
      <c r="O28" s="104"/>
      <c r="P28" s="104"/>
      <c r="Q28" s="112">
        <f t="shared" si="50"/>
        <v>0</v>
      </c>
      <c r="R28" s="112">
        <f t="shared" si="51"/>
        <v>0</v>
      </c>
      <c r="S28" s="112">
        <f t="shared" si="52"/>
        <v>0</v>
      </c>
      <c r="T28" s="112">
        <f t="shared" si="53"/>
        <v>0</v>
      </c>
      <c r="U28" s="112">
        <f t="shared" si="54"/>
        <v>0</v>
      </c>
      <c r="V28" s="112">
        <f t="shared" si="55"/>
        <v>0</v>
      </c>
      <c r="W28" s="112">
        <f t="shared" si="56"/>
        <v>0</v>
      </c>
      <c r="Y28" s="53"/>
      <c r="Z28" s="53"/>
      <c r="AA28" s="53"/>
      <c r="AB28" s="112">
        <f t="shared" si="57"/>
        <v>0</v>
      </c>
      <c r="AC28" s="112">
        <f t="shared" si="58"/>
        <v>0</v>
      </c>
      <c r="AD28" s="112">
        <f t="shared" si="59"/>
        <v>0</v>
      </c>
      <c r="AE28" s="54">
        <f t="shared" si="60"/>
        <v>0</v>
      </c>
      <c r="AG28" s="33">
        <f t="shared" ref="AG28:AG90" si="61">IF(F28="RURAL",M28*N28*(O28-0.1),0)</f>
        <v>0</v>
      </c>
      <c r="AH28" s="33">
        <f t="shared" ref="AH28:AH90" si="62">IF(F28="NATIONAL",(O28-0.45)*M28*N28,0)</f>
        <v>0</v>
      </c>
      <c r="AI28" s="33">
        <f t="shared" ref="AI28:AI90" si="63">IF(F28="RURAL",(M28+0.2)*(N28+0.2),0)</f>
        <v>0</v>
      </c>
      <c r="AJ28" s="33">
        <f t="shared" ref="AJ28:AJ90" si="64">IF(F28="NATIONAL",M28*N28,0)</f>
        <v>0</v>
      </c>
    </row>
    <row r="29" spans="1:36" x14ac:dyDescent="0.35">
      <c r="A29" s="115"/>
      <c r="B29" s="115"/>
      <c r="C29" s="115"/>
      <c r="D29" s="115"/>
      <c r="E29" s="115"/>
      <c r="F29" s="32"/>
      <c r="G29" s="32"/>
      <c r="H29" s="125"/>
      <c r="I29" s="104"/>
      <c r="J29" s="104"/>
      <c r="K29" s="54">
        <f t="shared" si="49"/>
        <v>0</v>
      </c>
      <c r="L29" s="14"/>
      <c r="M29" s="125"/>
      <c r="N29" s="104"/>
      <c r="O29" s="104"/>
      <c r="P29" s="104"/>
      <c r="Q29" s="112">
        <f t="shared" si="50"/>
        <v>0</v>
      </c>
      <c r="R29" s="112">
        <f t="shared" si="51"/>
        <v>0</v>
      </c>
      <c r="S29" s="112">
        <f t="shared" si="52"/>
        <v>0</v>
      </c>
      <c r="T29" s="112">
        <f t="shared" si="53"/>
        <v>0</v>
      </c>
      <c r="U29" s="112">
        <f t="shared" si="54"/>
        <v>0</v>
      </c>
      <c r="V29" s="112">
        <f t="shared" si="55"/>
        <v>0</v>
      </c>
      <c r="W29" s="112">
        <f t="shared" si="56"/>
        <v>0</v>
      </c>
      <c r="Y29" s="53"/>
      <c r="Z29" s="53"/>
      <c r="AA29" s="53"/>
      <c r="AB29" s="112">
        <f t="shared" si="57"/>
        <v>0</v>
      </c>
      <c r="AC29" s="112">
        <f t="shared" si="58"/>
        <v>0</v>
      </c>
      <c r="AD29" s="112">
        <f t="shared" si="59"/>
        <v>0</v>
      </c>
      <c r="AE29" s="54">
        <f t="shared" si="60"/>
        <v>0</v>
      </c>
      <c r="AG29" s="33">
        <f t="shared" si="61"/>
        <v>0</v>
      </c>
      <c r="AH29" s="33">
        <f t="shared" si="62"/>
        <v>0</v>
      </c>
      <c r="AI29" s="33">
        <f t="shared" si="63"/>
        <v>0</v>
      </c>
      <c r="AJ29" s="33">
        <f t="shared" si="64"/>
        <v>0</v>
      </c>
    </row>
    <row r="30" spans="1:36" x14ac:dyDescent="0.35">
      <c r="A30" s="115"/>
      <c r="B30" s="115"/>
      <c r="C30" s="115"/>
      <c r="D30" s="115"/>
      <c r="E30" s="115"/>
      <c r="F30" s="32"/>
      <c r="G30" s="32"/>
      <c r="H30" s="125"/>
      <c r="I30" s="104"/>
      <c r="J30" s="104"/>
      <c r="K30" s="54">
        <f t="shared" si="49"/>
        <v>0</v>
      </c>
      <c r="L30" s="14"/>
      <c r="M30" s="125"/>
      <c r="N30" s="104"/>
      <c r="O30" s="104"/>
      <c r="P30" s="104"/>
      <c r="Q30" s="112">
        <f t="shared" si="50"/>
        <v>0</v>
      </c>
      <c r="R30" s="112">
        <f t="shared" si="51"/>
        <v>0</v>
      </c>
      <c r="S30" s="112">
        <f t="shared" si="52"/>
        <v>0</v>
      </c>
      <c r="T30" s="112">
        <f t="shared" si="53"/>
        <v>0</v>
      </c>
      <c r="U30" s="112">
        <f t="shared" si="54"/>
        <v>0</v>
      </c>
      <c r="V30" s="112">
        <f t="shared" si="55"/>
        <v>0</v>
      </c>
      <c r="W30" s="112">
        <f t="shared" si="56"/>
        <v>0</v>
      </c>
      <c r="Y30" s="53"/>
      <c r="Z30" s="53"/>
      <c r="AA30" s="53"/>
      <c r="AB30" s="112">
        <f t="shared" si="57"/>
        <v>0</v>
      </c>
      <c r="AC30" s="112">
        <f t="shared" si="58"/>
        <v>0</v>
      </c>
      <c r="AD30" s="112">
        <f t="shared" si="59"/>
        <v>0</v>
      </c>
      <c r="AE30" s="54">
        <f t="shared" si="60"/>
        <v>0</v>
      </c>
      <c r="AG30" s="33">
        <f t="shared" si="61"/>
        <v>0</v>
      </c>
      <c r="AH30" s="33">
        <f t="shared" si="62"/>
        <v>0</v>
      </c>
      <c r="AI30" s="33">
        <f t="shared" si="63"/>
        <v>0</v>
      </c>
      <c r="AJ30" s="33">
        <f t="shared" si="64"/>
        <v>0</v>
      </c>
    </row>
    <row r="31" spans="1:36" x14ac:dyDescent="0.35">
      <c r="A31" s="32"/>
      <c r="B31" s="32"/>
      <c r="C31" s="32"/>
      <c r="D31" s="32"/>
      <c r="E31" s="32"/>
      <c r="F31" s="32"/>
      <c r="G31" s="32"/>
      <c r="H31" s="53"/>
      <c r="I31" s="53"/>
      <c r="J31" s="104"/>
      <c r="K31" s="54">
        <f t="shared" si="49"/>
        <v>0</v>
      </c>
      <c r="L31" s="14"/>
      <c r="M31" s="53"/>
      <c r="N31" s="53"/>
      <c r="O31" s="53"/>
      <c r="P31" s="53"/>
      <c r="Q31" s="112">
        <f t="shared" si="50"/>
        <v>0</v>
      </c>
      <c r="R31" s="112">
        <f t="shared" si="51"/>
        <v>0</v>
      </c>
      <c r="S31" s="112">
        <f t="shared" si="52"/>
        <v>0</v>
      </c>
      <c r="T31" s="112">
        <f t="shared" si="53"/>
        <v>0</v>
      </c>
      <c r="U31" s="112">
        <f t="shared" si="54"/>
        <v>0</v>
      </c>
      <c r="V31" s="112">
        <f t="shared" si="55"/>
        <v>0</v>
      </c>
      <c r="W31" s="112">
        <f t="shared" si="56"/>
        <v>0</v>
      </c>
      <c r="Y31" s="53"/>
      <c r="Z31" s="53"/>
      <c r="AA31" s="53"/>
      <c r="AB31" s="112">
        <f t="shared" si="57"/>
        <v>0</v>
      </c>
      <c r="AC31" s="112">
        <f t="shared" si="58"/>
        <v>0</v>
      </c>
      <c r="AD31" s="112">
        <f t="shared" si="59"/>
        <v>0</v>
      </c>
      <c r="AE31" s="54">
        <f t="shared" si="60"/>
        <v>0</v>
      </c>
      <c r="AG31" s="33">
        <f t="shared" si="61"/>
        <v>0</v>
      </c>
      <c r="AH31" s="33">
        <f t="shared" si="62"/>
        <v>0</v>
      </c>
      <c r="AI31" s="33">
        <f t="shared" si="63"/>
        <v>0</v>
      </c>
      <c r="AJ31" s="33">
        <f t="shared" si="64"/>
        <v>0</v>
      </c>
    </row>
    <row r="32" spans="1:36" x14ac:dyDescent="0.35">
      <c r="A32" s="32"/>
      <c r="B32" s="32"/>
      <c r="C32" s="32"/>
      <c r="D32" s="32"/>
      <c r="E32" s="32"/>
      <c r="F32" s="32"/>
      <c r="G32" s="32"/>
      <c r="H32" s="53"/>
      <c r="I32" s="53"/>
      <c r="J32" s="104"/>
      <c r="K32" s="54">
        <f t="shared" si="49"/>
        <v>0</v>
      </c>
      <c r="L32" s="14"/>
      <c r="M32" s="53"/>
      <c r="N32" s="53"/>
      <c r="O32" s="53"/>
      <c r="P32" s="53"/>
      <c r="Q32" s="112">
        <f t="shared" si="50"/>
        <v>0</v>
      </c>
      <c r="R32" s="112">
        <f t="shared" si="51"/>
        <v>0</v>
      </c>
      <c r="S32" s="112">
        <f t="shared" si="52"/>
        <v>0</v>
      </c>
      <c r="T32" s="112">
        <f t="shared" si="53"/>
        <v>0</v>
      </c>
      <c r="U32" s="112">
        <f t="shared" si="54"/>
        <v>0</v>
      </c>
      <c r="V32" s="112">
        <f t="shared" si="55"/>
        <v>0</v>
      </c>
      <c r="W32" s="112">
        <f t="shared" si="56"/>
        <v>0</v>
      </c>
      <c r="Y32" s="53"/>
      <c r="Z32" s="53"/>
      <c r="AA32" s="53"/>
      <c r="AB32" s="112">
        <f t="shared" si="57"/>
        <v>0</v>
      </c>
      <c r="AC32" s="112">
        <f t="shared" si="58"/>
        <v>0</v>
      </c>
      <c r="AD32" s="112">
        <f t="shared" si="59"/>
        <v>0</v>
      </c>
      <c r="AE32" s="54">
        <f t="shared" si="60"/>
        <v>0</v>
      </c>
      <c r="AG32" s="33">
        <f t="shared" si="61"/>
        <v>0</v>
      </c>
      <c r="AH32" s="33">
        <f t="shared" si="62"/>
        <v>0</v>
      </c>
      <c r="AI32" s="33">
        <f t="shared" si="63"/>
        <v>0</v>
      </c>
      <c r="AJ32" s="33">
        <f t="shared" si="64"/>
        <v>0</v>
      </c>
    </row>
    <row r="33" spans="1:36" x14ac:dyDescent="0.35">
      <c r="A33" s="32"/>
      <c r="B33" s="32"/>
      <c r="C33" s="32"/>
      <c r="D33" s="32"/>
      <c r="E33" s="32"/>
      <c r="F33" s="32"/>
      <c r="G33" s="32"/>
      <c r="H33" s="53"/>
      <c r="I33" s="53"/>
      <c r="J33" s="104"/>
      <c r="K33" s="54">
        <f t="shared" si="49"/>
        <v>0</v>
      </c>
      <c r="L33" s="14"/>
      <c r="M33" s="53"/>
      <c r="N33" s="53"/>
      <c r="O33" s="53"/>
      <c r="P33" s="53"/>
      <c r="Q33" s="112">
        <f t="shared" si="50"/>
        <v>0</v>
      </c>
      <c r="R33" s="112">
        <f t="shared" si="51"/>
        <v>0</v>
      </c>
      <c r="S33" s="112">
        <f t="shared" si="52"/>
        <v>0</v>
      </c>
      <c r="T33" s="112">
        <f t="shared" si="53"/>
        <v>0</v>
      </c>
      <c r="U33" s="112">
        <f t="shared" si="54"/>
        <v>0</v>
      </c>
      <c r="V33" s="112">
        <f t="shared" si="55"/>
        <v>0</v>
      </c>
      <c r="W33" s="112">
        <f t="shared" si="56"/>
        <v>0</v>
      </c>
      <c r="Y33" s="53"/>
      <c r="Z33" s="53"/>
      <c r="AA33" s="53"/>
      <c r="AB33" s="112">
        <f t="shared" si="57"/>
        <v>0</v>
      </c>
      <c r="AC33" s="112">
        <f t="shared" si="58"/>
        <v>0</v>
      </c>
      <c r="AD33" s="112">
        <f t="shared" si="59"/>
        <v>0</v>
      </c>
      <c r="AE33" s="54">
        <f t="shared" si="60"/>
        <v>0</v>
      </c>
      <c r="AG33" s="33">
        <f t="shared" si="61"/>
        <v>0</v>
      </c>
      <c r="AH33" s="33">
        <f t="shared" si="62"/>
        <v>0</v>
      </c>
      <c r="AI33" s="33">
        <f t="shared" si="63"/>
        <v>0</v>
      </c>
      <c r="AJ33" s="33">
        <f t="shared" si="64"/>
        <v>0</v>
      </c>
    </row>
    <row r="34" spans="1:36" x14ac:dyDescent="0.35">
      <c r="A34" s="32"/>
      <c r="B34" s="32"/>
      <c r="C34" s="32"/>
      <c r="D34" s="32"/>
      <c r="E34" s="32"/>
      <c r="F34" s="32"/>
      <c r="G34" s="32"/>
      <c r="H34" s="53"/>
      <c r="I34" s="53"/>
      <c r="J34" s="104"/>
      <c r="K34" s="54">
        <f t="shared" si="49"/>
        <v>0</v>
      </c>
      <c r="L34" s="14"/>
      <c r="M34" s="53"/>
      <c r="N34" s="53"/>
      <c r="O34" s="53"/>
      <c r="P34" s="53"/>
      <c r="Q34" s="112">
        <f t="shared" si="50"/>
        <v>0</v>
      </c>
      <c r="R34" s="112">
        <f t="shared" si="51"/>
        <v>0</v>
      </c>
      <c r="S34" s="112">
        <f t="shared" si="52"/>
        <v>0</v>
      </c>
      <c r="T34" s="112">
        <f t="shared" si="53"/>
        <v>0</v>
      </c>
      <c r="U34" s="112">
        <f t="shared" si="54"/>
        <v>0</v>
      </c>
      <c r="V34" s="112">
        <f t="shared" si="55"/>
        <v>0</v>
      </c>
      <c r="W34" s="112">
        <f t="shared" si="56"/>
        <v>0</v>
      </c>
      <c r="Y34" s="53"/>
      <c r="Z34" s="53"/>
      <c r="AA34" s="53"/>
      <c r="AB34" s="112">
        <f t="shared" si="57"/>
        <v>0</v>
      </c>
      <c r="AC34" s="112">
        <f t="shared" si="58"/>
        <v>0</v>
      </c>
      <c r="AD34" s="112">
        <f t="shared" si="59"/>
        <v>0</v>
      </c>
      <c r="AE34" s="54">
        <f t="shared" si="60"/>
        <v>0</v>
      </c>
      <c r="AG34" s="33">
        <f t="shared" si="61"/>
        <v>0</v>
      </c>
      <c r="AH34" s="33">
        <f t="shared" si="62"/>
        <v>0</v>
      </c>
      <c r="AI34" s="33">
        <f t="shared" si="63"/>
        <v>0</v>
      </c>
      <c r="AJ34" s="33">
        <f t="shared" si="64"/>
        <v>0</v>
      </c>
    </row>
    <row r="35" spans="1:36" x14ac:dyDescent="0.35">
      <c r="A35" s="32"/>
      <c r="B35" s="32"/>
      <c r="C35" s="32"/>
      <c r="D35" s="32"/>
      <c r="E35" s="32"/>
      <c r="F35" s="32"/>
      <c r="G35" s="32"/>
      <c r="H35" s="53"/>
      <c r="I35" s="53"/>
      <c r="J35" s="104"/>
      <c r="K35" s="54">
        <f t="shared" si="49"/>
        <v>0</v>
      </c>
      <c r="L35" s="14"/>
      <c r="M35" s="53"/>
      <c r="N35" s="53"/>
      <c r="O35" s="53"/>
      <c r="P35" s="53"/>
      <c r="Q35" s="112">
        <f t="shared" si="50"/>
        <v>0</v>
      </c>
      <c r="R35" s="112">
        <f t="shared" si="51"/>
        <v>0</v>
      </c>
      <c r="S35" s="112">
        <f t="shared" si="52"/>
        <v>0</v>
      </c>
      <c r="T35" s="112">
        <f t="shared" si="53"/>
        <v>0</v>
      </c>
      <c r="U35" s="112">
        <f t="shared" si="54"/>
        <v>0</v>
      </c>
      <c r="V35" s="112">
        <f t="shared" si="55"/>
        <v>0</v>
      </c>
      <c r="W35" s="112">
        <f t="shared" si="56"/>
        <v>0</v>
      </c>
      <c r="Y35" s="53"/>
      <c r="Z35" s="53"/>
      <c r="AA35" s="53"/>
      <c r="AB35" s="112">
        <f t="shared" si="57"/>
        <v>0</v>
      </c>
      <c r="AC35" s="112">
        <f t="shared" si="58"/>
        <v>0</v>
      </c>
      <c r="AD35" s="112">
        <f t="shared" si="59"/>
        <v>0</v>
      </c>
      <c r="AE35" s="54">
        <f t="shared" si="60"/>
        <v>0</v>
      </c>
      <c r="AG35" s="33">
        <f t="shared" si="61"/>
        <v>0</v>
      </c>
      <c r="AH35" s="33">
        <f t="shared" si="62"/>
        <v>0</v>
      </c>
      <c r="AI35" s="33">
        <f t="shared" si="63"/>
        <v>0</v>
      </c>
      <c r="AJ35" s="33">
        <f t="shared" si="64"/>
        <v>0</v>
      </c>
    </row>
    <row r="36" spans="1:36" x14ac:dyDescent="0.35">
      <c r="A36" s="32"/>
      <c r="B36" s="32"/>
      <c r="C36" s="32"/>
      <c r="D36" s="32"/>
      <c r="E36" s="32"/>
      <c r="F36" s="32"/>
      <c r="G36" s="32"/>
      <c r="H36" s="53"/>
      <c r="I36" s="53"/>
      <c r="J36" s="104"/>
      <c r="K36" s="54">
        <f t="shared" si="49"/>
        <v>0</v>
      </c>
      <c r="L36" s="14"/>
      <c r="M36" s="53"/>
      <c r="N36" s="53"/>
      <c r="O36" s="53"/>
      <c r="P36" s="53"/>
      <c r="Q36" s="112">
        <f t="shared" si="50"/>
        <v>0</v>
      </c>
      <c r="R36" s="112">
        <f t="shared" si="51"/>
        <v>0</v>
      </c>
      <c r="S36" s="112">
        <f t="shared" si="52"/>
        <v>0</v>
      </c>
      <c r="T36" s="112">
        <f t="shared" si="53"/>
        <v>0</v>
      </c>
      <c r="U36" s="112">
        <f t="shared" si="54"/>
        <v>0</v>
      </c>
      <c r="V36" s="112">
        <f t="shared" si="55"/>
        <v>0</v>
      </c>
      <c r="W36" s="112">
        <f t="shared" si="56"/>
        <v>0</v>
      </c>
      <c r="Y36" s="53"/>
      <c r="Z36" s="53"/>
      <c r="AA36" s="53"/>
      <c r="AB36" s="112">
        <f t="shared" si="57"/>
        <v>0</v>
      </c>
      <c r="AC36" s="112">
        <f t="shared" si="58"/>
        <v>0</v>
      </c>
      <c r="AD36" s="112">
        <f t="shared" si="59"/>
        <v>0</v>
      </c>
      <c r="AE36" s="54">
        <f t="shared" si="60"/>
        <v>0</v>
      </c>
      <c r="AG36" s="33">
        <f t="shared" si="61"/>
        <v>0</v>
      </c>
      <c r="AH36" s="33">
        <f t="shared" si="62"/>
        <v>0</v>
      </c>
      <c r="AI36" s="33">
        <f t="shared" si="63"/>
        <v>0</v>
      </c>
      <c r="AJ36" s="33">
        <f t="shared" si="64"/>
        <v>0</v>
      </c>
    </row>
    <row r="37" spans="1:36" x14ac:dyDescent="0.35">
      <c r="A37" s="32"/>
      <c r="B37" s="32"/>
      <c r="C37" s="32"/>
      <c r="D37" s="32"/>
      <c r="E37" s="32"/>
      <c r="F37" s="32"/>
      <c r="G37" s="32"/>
      <c r="H37" s="53"/>
      <c r="I37" s="53"/>
      <c r="J37" s="104"/>
      <c r="K37" s="54">
        <f t="shared" si="49"/>
        <v>0</v>
      </c>
      <c r="L37" s="14"/>
      <c r="M37" s="53"/>
      <c r="N37" s="53"/>
      <c r="O37" s="53"/>
      <c r="P37" s="53"/>
      <c r="Q37" s="112">
        <f t="shared" si="50"/>
        <v>0</v>
      </c>
      <c r="R37" s="112">
        <f t="shared" si="51"/>
        <v>0</v>
      </c>
      <c r="S37" s="112">
        <f t="shared" si="52"/>
        <v>0</v>
      </c>
      <c r="T37" s="112">
        <f t="shared" si="53"/>
        <v>0</v>
      </c>
      <c r="U37" s="112">
        <f t="shared" si="54"/>
        <v>0</v>
      </c>
      <c r="V37" s="112">
        <f t="shared" si="55"/>
        <v>0</v>
      </c>
      <c r="W37" s="112">
        <f t="shared" si="56"/>
        <v>0</v>
      </c>
      <c r="Y37" s="53"/>
      <c r="Z37" s="53"/>
      <c r="AA37" s="53"/>
      <c r="AB37" s="112">
        <f t="shared" si="57"/>
        <v>0</v>
      </c>
      <c r="AC37" s="112">
        <f t="shared" si="58"/>
        <v>0</v>
      </c>
      <c r="AD37" s="112">
        <f t="shared" si="59"/>
        <v>0</v>
      </c>
      <c r="AE37" s="54">
        <f t="shared" si="60"/>
        <v>0</v>
      </c>
      <c r="AG37" s="33">
        <f t="shared" si="61"/>
        <v>0</v>
      </c>
      <c r="AH37" s="33">
        <f t="shared" si="62"/>
        <v>0</v>
      </c>
      <c r="AI37" s="33">
        <f t="shared" si="63"/>
        <v>0</v>
      </c>
      <c r="AJ37" s="33">
        <f t="shared" si="64"/>
        <v>0</v>
      </c>
    </row>
    <row r="38" spans="1:36" x14ac:dyDescent="0.35">
      <c r="A38" s="32"/>
      <c r="B38" s="32"/>
      <c r="C38" s="32"/>
      <c r="D38" s="32"/>
      <c r="E38" s="32"/>
      <c r="F38" s="32"/>
      <c r="G38" s="32"/>
      <c r="H38" s="53"/>
      <c r="I38" s="53"/>
      <c r="J38" s="104"/>
      <c r="K38" s="54">
        <f t="shared" si="49"/>
        <v>0</v>
      </c>
      <c r="L38" s="14"/>
      <c r="M38" s="53"/>
      <c r="N38" s="53"/>
      <c r="O38" s="53"/>
      <c r="P38" s="53"/>
      <c r="Q38" s="112">
        <f t="shared" si="50"/>
        <v>0</v>
      </c>
      <c r="R38" s="112">
        <f t="shared" si="51"/>
        <v>0</v>
      </c>
      <c r="S38" s="112">
        <f t="shared" si="52"/>
        <v>0</v>
      </c>
      <c r="T38" s="112">
        <f t="shared" si="53"/>
        <v>0</v>
      </c>
      <c r="U38" s="112">
        <f t="shared" si="54"/>
        <v>0</v>
      </c>
      <c r="V38" s="112">
        <f t="shared" si="55"/>
        <v>0</v>
      </c>
      <c r="W38" s="112">
        <f t="shared" si="56"/>
        <v>0</v>
      </c>
      <c r="Y38" s="53"/>
      <c r="Z38" s="53"/>
      <c r="AA38" s="53"/>
      <c r="AB38" s="112">
        <f t="shared" si="57"/>
        <v>0</v>
      </c>
      <c r="AC38" s="112">
        <f t="shared" si="58"/>
        <v>0</v>
      </c>
      <c r="AD38" s="112">
        <f t="shared" si="59"/>
        <v>0</v>
      </c>
      <c r="AE38" s="54">
        <f t="shared" si="60"/>
        <v>0</v>
      </c>
      <c r="AG38" s="33">
        <f t="shared" si="61"/>
        <v>0</v>
      </c>
      <c r="AH38" s="33">
        <f t="shared" si="62"/>
        <v>0</v>
      </c>
      <c r="AI38" s="33">
        <f t="shared" si="63"/>
        <v>0</v>
      </c>
      <c r="AJ38" s="33">
        <f t="shared" si="64"/>
        <v>0</v>
      </c>
    </row>
    <row r="39" spans="1:36" x14ac:dyDescent="0.35">
      <c r="A39" s="32"/>
      <c r="B39" s="32"/>
      <c r="C39" s="32"/>
      <c r="D39" s="32"/>
      <c r="E39" s="32"/>
      <c r="F39" s="32"/>
      <c r="G39" s="32"/>
      <c r="H39" s="53"/>
      <c r="I39" s="53"/>
      <c r="J39" s="104"/>
      <c r="K39" s="54">
        <f t="shared" si="49"/>
        <v>0</v>
      </c>
      <c r="L39" s="14"/>
      <c r="M39" s="53"/>
      <c r="N39" s="53"/>
      <c r="O39" s="53"/>
      <c r="P39" s="53"/>
      <c r="Q39" s="112">
        <f t="shared" si="50"/>
        <v>0</v>
      </c>
      <c r="R39" s="112">
        <f t="shared" si="51"/>
        <v>0</v>
      </c>
      <c r="S39" s="112">
        <f t="shared" si="52"/>
        <v>0</v>
      </c>
      <c r="T39" s="112">
        <f t="shared" si="53"/>
        <v>0</v>
      </c>
      <c r="U39" s="112">
        <f t="shared" si="54"/>
        <v>0</v>
      </c>
      <c r="V39" s="112">
        <f t="shared" si="55"/>
        <v>0</v>
      </c>
      <c r="W39" s="112">
        <f t="shared" si="56"/>
        <v>0</v>
      </c>
      <c r="Y39" s="53"/>
      <c r="Z39" s="53"/>
      <c r="AA39" s="53"/>
      <c r="AB39" s="112">
        <f t="shared" si="57"/>
        <v>0</v>
      </c>
      <c r="AC39" s="112">
        <f t="shared" si="58"/>
        <v>0</v>
      </c>
      <c r="AD39" s="112">
        <f t="shared" si="59"/>
        <v>0</v>
      </c>
      <c r="AE39" s="54">
        <f t="shared" si="60"/>
        <v>0</v>
      </c>
      <c r="AG39" s="33">
        <f t="shared" si="61"/>
        <v>0</v>
      </c>
      <c r="AH39" s="33">
        <f t="shared" si="62"/>
        <v>0</v>
      </c>
      <c r="AI39" s="33">
        <f t="shared" si="63"/>
        <v>0</v>
      </c>
      <c r="AJ39" s="33">
        <f t="shared" si="64"/>
        <v>0</v>
      </c>
    </row>
    <row r="40" spans="1:36" x14ac:dyDescent="0.35">
      <c r="A40" s="32"/>
      <c r="B40" s="32"/>
      <c r="C40" s="32"/>
      <c r="D40" s="32"/>
      <c r="E40" s="32"/>
      <c r="F40" s="32"/>
      <c r="G40" s="32"/>
      <c r="H40" s="53"/>
      <c r="I40" s="53"/>
      <c r="J40" s="104"/>
      <c r="K40" s="54">
        <f t="shared" si="49"/>
        <v>0</v>
      </c>
      <c r="L40" s="14"/>
      <c r="M40" s="53"/>
      <c r="N40" s="53"/>
      <c r="O40" s="53"/>
      <c r="P40" s="53"/>
      <c r="Q40" s="112">
        <f t="shared" si="50"/>
        <v>0</v>
      </c>
      <c r="R40" s="112">
        <f t="shared" si="51"/>
        <v>0</v>
      </c>
      <c r="S40" s="112">
        <f t="shared" si="52"/>
        <v>0</v>
      </c>
      <c r="T40" s="112">
        <f t="shared" si="53"/>
        <v>0</v>
      </c>
      <c r="U40" s="112">
        <f t="shared" si="54"/>
        <v>0</v>
      </c>
      <c r="V40" s="112">
        <f t="shared" si="55"/>
        <v>0</v>
      </c>
      <c r="W40" s="112">
        <f t="shared" si="56"/>
        <v>0</v>
      </c>
      <c r="Y40" s="53"/>
      <c r="Z40" s="53"/>
      <c r="AA40" s="53"/>
      <c r="AB40" s="112">
        <f t="shared" si="57"/>
        <v>0</v>
      </c>
      <c r="AC40" s="112">
        <f t="shared" si="58"/>
        <v>0</v>
      </c>
      <c r="AD40" s="112">
        <f t="shared" si="59"/>
        <v>0</v>
      </c>
      <c r="AE40" s="54">
        <f t="shared" si="60"/>
        <v>0</v>
      </c>
      <c r="AG40" s="33">
        <f t="shared" si="61"/>
        <v>0</v>
      </c>
      <c r="AH40" s="33">
        <f t="shared" si="62"/>
        <v>0</v>
      </c>
      <c r="AI40" s="33">
        <f t="shared" si="63"/>
        <v>0</v>
      </c>
      <c r="AJ40" s="33">
        <f t="shared" si="64"/>
        <v>0</v>
      </c>
    </row>
    <row r="41" spans="1:36" x14ac:dyDescent="0.35">
      <c r="A41" s="32"/>
      <c r="B41" s="32"/>
      <c r="C41" s="32"/>
      <c r="D41" s="32"/>
      <c r="E41" s="32"/>
      <c r="F41" s="32"/>
      <c r="G41" s="32"/>
      <c r="H41" s="53"/>
      <c r="I41" s="53"/>
      <c r="J41" s="104"/>
      <c r="K41" s="54">
        <f t="shared" si="49"/>
        <v>0</v>
      </c>
      <c r="L41" s="14"/>
      <c r="M41" s="53"/>
      <c r="N41" s="53"/>
      <c r="O41" s="53"/>
      <c r="P41" s="53"/>
      <c r="Q41" s="112">
        <f t="shared" si="50"/>
        <v>0</v>
      </c>
      <c r="R41" s="112">
        <f t="shared" si="51"/>
        <v>0</v>
      </c>
      <c r="S41" s="112">
        <f t="shared" si="52"/>
        <v>0</v>
      </c>
      <c r="T41" s="112">
        <f t="shared" si="53"/>
        <v>0</v>
      </c>
      <c r="U41" s="112">
        <f t="shared" si="54"/>
        <v>0</v>
      </c>
      <c r="V41" s="112">
        <f t="shared" si="55"/>
        <v>0</v>
      </c>
      <c r="W41" s="112">
        <f t="shared" si="56"/>
        <v>0</v>
      </c>
      <c r="Y41" s="53"/>
      <c r="Z41" s="53"/>
      <c r="AA41" s="53"/>
      <c r="AB41" s="112">
        <f t="shared" si="57"/>
        <v>0</v>
      </c>
      <c r="AC41" s="112">
        <f t="shared" si="58"/>
        <v>0</v>
      </c>
      <c r="AD41" s="112">
        <f t="shared" si="59"/>
        <v>0</v>
      </c>
      <c r="AE41" s="54">
        <f t="shared" si="60"/>
        <v>0</v>
      </c>
      <c r="AG41" s="33">
        <f t="shared" si="61"/>
        <v>0</v>
      </c>
      <c r="AH41" s="33">
        <f t="shared" si="62"/>
        <v>0</v>
      </c>
      <c r="AI41" s="33">
        <f t="shared" si="63"/>
        <v>0</v>
      </c>
      <c r="AJ41" s="33">
        <f t="shared" si="64"/>
        <v>0</v>
      </c>
    </row>
    <row r="42" spans="1:36" x14ac:dyDescent="0.35">
      <c r="A42" s="32"/>
      <c r="B42" s="32"/>
      <c r="C42" s="32"/>
      <c r="D42" s="32"/>
      <c r="E42" s="32"/>
      <c r="F42" s="32"/>
      <c r="G42" s="32"/>
      <c r="H42" s="53"/>
      <c r="I42" s="53"/>
      <c r="J42" s="104"/>
      <c r="K42" s="54">
        <f t="shared" si="49"/>
        <v>0</v>
      </c>
      <c r="L42" s="14"/>
      <c r="M42" s="53"/>
      <c r="N42" s="53"/>
      <c r="O42" s="53"/>
      <c r="P42" s="53"/>
      <c r="Q42" s="112">
        <f t="shared" si="50"/>
        <v>0</v>
      </c>
      <c r="R42" s="112">
        <f t="shared" si="51"/>
        <v>0</v>
      </c>
      <c r="S42" s="112">
        <f t="shared" si="52"/>
        <v>0</v>
      </c>
      <c r="T42" s="112">
        <f t="shared" si="53"/>
        <v>0</v>
      </c>
      <c r="U42" s="112">
        <f t="shared" si="54"/>
        <v>0</v>
      </c>
      <c r="V42" s="112">
        <f t="shared" si="55"/>
        <v>0</v>
      </c>
      <c r="W42" s="112">
        <f t="shared" si="56"/>
        <v>0</v>
      </c>
      <c r="Y42" s="53"/>
      <c r="Z42" s="53"/>
      <c r="AA42" s="53"/>
      <c r="AB42" s="112">
        <f t="shared" si="57"/>
        <v>0</v>
      </c>
      <c r="AC42" s="112">
        <f t="shared" si="58"/>
        <v>0</v>
      </c>
      <c r="AD42" s="112">
        <f t="shared" si="59"/>
        <v>0</v>
      </c>
      <c r="AE42" s="54">
        <f t="shared" si="60"/>
        <v>0</v>
      </c>
      <c r="AG42" s="33">
        <f t="shared" si="61"/>
        <v>0</v>
      </c>
      <c r="AH42" s="33">
        <f t="shared" si="62"/>
        <v>0</v>
      </c>
      <c r="AI42" s="33">
        <f t="shared" si="63"/>
        <v>0</v>
      </c>
      <c r="AJ42" s="33">
        <f t="shared" si="64"/>
        <v>0</v>
      </c>
    </row>
    <row r="43" spans="1:36" x14ac:dyDescent="0.35">
      <c r="A43" s="32"/>
      <c r="B43" s="32"/>
      <c r="C43" s="32"/>
      <c r="D43" s="32"/>
      <c r="E43" s="32"/>
      <c r="F43" s="32"/>
      <c r="G43" s="32"/>
      <c r="H43" s="53"/>
      <c r="I43" s="53"/>
      <c r="J43" s="104"/>
      <c r="K43" s="54">
        <f t="shared" si="49"/>
        <v>0</v>
      </c>
      <c r="L43" s="14"/>
      <c r="M43" s="53"/>
      <c r="N43" s="53"/>
      <c r="O43" s="53"/>
      <c r="P43" s="53"/>
      <c r="Q43" s="112">
        <f t="shared" si="50"/>
        <v>0</v>
      </c>
      <c r="R43" s="112">
        <f t="shared" si="51"/>
        <v>0</v>
      </c>
      <c r="S43" s="112">
        <f t="shared" si="52"/>
        <v>0</v>
      </c>
      <c r="T43" s="112">
        <f t="shared" si="53"/>
        <v>0</v>
      </c>
      <c r="U43" s="112">
        <f t="shared" si="54"/>
        <v>0</v>
      </c>
      <c r="V43" s="112">
        <f t="shared" si="55"/>
        <v>0</v>
      </c>
      <c r="W43" s="112">
        <f t="shared" si="56"/>
        <v>0</v>
      </c>
      <c r="Y43" s="53"/>
      <c r="Z43" s="53"/>
      <c r="AA43" s="53"/>
      <c r="AB43" s="112">
        <f t="shared" si="57"/>
        <v>0</v>
      </c>
      <c r="AC43" s="112">
        <f t="shared" si="58"/>
        <v>0</v>
      </c>
      <c r="AD43" s="112">
        <f t="shared" si="59"/>
        <v>0</v>
      </c>
      <c r="AE43" s="54">
        <f t="shared" si="60"/>
        <v>0</v>
      </c>
      <c r="AG43" s="33">
        <f t="shared" si="61"/>
        <v>0</v>
      </c>
      <c r="AH43" s="33">
        <f t="shared" si="62"/>
        <v>0</v>
      </c>
      <c r="AI43" s="33">
        <f t="shared" si="63"/>
        <v>0</v>
      </c>
      <c r="AJ43" s="33">
        <f t="shared" si="64"/>
        <v>0</v>
      </c>
    </row>
    <row r="44" spans="1:36" x14ac:dyDescent="0.35">
      <c r="A44" s="32"/>
      <c r="B44" s="32"/>
      <c r="C44" s="32"/>
      <c r="D44" s="32"/>
      <c r="E44" s="32"/>
      <c r="F44" s="32"/>
      <c r="G44" s="32"/>
      <c r="H44" s="53"/>
      <c r="I44" s="53"/>
      <c r="J44" s="104"/>
      <c r="K44" s="54">
        <f t="shared" si="49"/>
        <v>0</v>
      </c>
      <c r="L44" s="14"/>
      <c r="M44" s="53"/>
      <c r="N44" s="53"/>
      <c r="O44" s="53"/>
      <c r="P44" s="53"/>
      <c r="Q44" s="112">
        <f t="shared" si="50"/>
        <v>0</v>
      </c>
      <c r="R44" s="112">
        <f t="shared" si="51"/>
        <v>0</v>
      </c>
      <c r="S44" s="112">
        <f t="shared" si="52"/>
        <v>0</v>
      </c>
      <c r="T44" s="112">
        <f t="shared" si="53"/>
        <v>0</v>
      </c>
      <c r="U44" s="112">
        <f t="shared" si="54"/>
        <v>0</v>
      </c>
      <c r="V44" s="112">
        <f t="shared" si="55"/>
        <v>0</v>
      </c>
      <c r="W44" s="112">
        <f t="shared" si="56"/>
        <v>0</v>
      </c>
      <c r="Y44" s="53"/>
      <c r="Z44" s="53"/>
      <c r="AA44" s="53"/>
      <c r="AB44" s="112">
        <f t="shared" si="57"/>
        <v>0</v>
      </c>
      <c r="AC44" s="112">
        <f t="shared" si="58"/>
        <v>0</v>
      </c>
      <c r="AD44" s="112">
        <f t="shared" si="59"/>
        <v>0</v>
      </c>
      <c r="AE44" s="54">
        <f t="shared" si="60"/>
        <v>0</v>
      </c>
      <c r="AG44" s="33">
        <f t="shared" si="61"/>
        <v>0</v>
      </c>
      <c r="AH44" s="33">
        <f t="shared" si="62"/>
        <v>0</v>
      </c>
      <c r="AI44" s="33">
        <f t="shared" si="63"/>
        <v>0</v>
      </c>
      <c r="AJ44" s="33">
        <f t="shared" si="64"/>
        <v>0</v>
      </c>
    </row>
    <row r="45" spans="1:36" x14ac:dyDescent="0.35">
      <c r="A45" s="32"/>
      <c r="B45" s="32"/>
      <c r="C45" s="32"/>
      <c r="D45" s="32"/>
      <c r="E45" s="32"/>
      <c r="F45" s="32"/>
      <c r="G45" s="32"/>
      <c r="H45" s="53"/>
      <c r="I45" s="53"/>
      <c r="J45" s="104"/>
      <c r="K45" s="54">
        <f t="shared" si="49"/>
        <v>0</v>
      </c>
      <c r="L45" s="14"/>
      <c r="M45" s="104"/>
      <c r="N45" s="104"/>
      <c r="O45" s="104"/>
      <c r="P45" s="53"/>
      <c r="Q45" s="112">
        <f t="shared" si="50"/>
        <v>0</v>
      </c>
      <c r="R45" s="112">
        <f t="shared" si="51"/>
        <v>0</v>
      </c>
      <c r="S45" s="112">
        <f t="shared" si="52"/>
        <v>0</v>
      </c>
      <c r="T45" s="112">
        <f t="shared" si="53"/>
        <v>0</v>
      </c>
      <c r="U45" s="112">
        <f t="shared" si="54"/>
        <v>0</v>
      </c>
      <c r="V45" s="112">
        <f t="shared" si="55"/>
        <v>0</v>
      </c>
      <c r="W45" s="112">
        <f t="shared" si="56"/>
        <v>0</v>
      </c>
      <c r="Y45" s="53"/>
      <c r="Z45" s="53"/>
      <c r="AA45" s="53"/>
      <c r="AB45" s="112">
        <f t="shared" si="57"/>
        <v>0</v>
      </c>
      <c r="AC45" s="112">
        <f t="shared" si="58"/>
        <v>0</v>
      </c>
      <c r="AD45" s="112">
        <f t="shared" si="59"/>
        <v>0</v>
      </c>
      <c r="AE45" s="54">
        <f t="shared" si="60"/>
        <v>0</v>
      </c>
      <c r="AG45" s="33">
        <f t="shared" si="61"/>
        <v>0</v>
      </c>
      <c r="AH45" s="33">
        <f t="shared" si="62"/>
        <v>0</v>
      </c>
      <c r="AI45" s="33">
        <f t="shared" si="63"/>
        <v>0</v>
      </c>
      <c r="AJ45" s="33">
        <f t="shared" si="64"/>
        <v>0</v>
      </c>
    </row>
    <row r="46" spans="1:36" x14ac:dyDescent="0.35">
      <c r="A46" s="32"/>
      <c r="B46" s="32"/>
      <c r="C46" s="32"/>
      <c r="D46" s="32"/>
      <c r="E46" s="32"/>
      <c r="F46" s="32"/>
      <c r="G46" s="32"/>
      <c r="H46" s="53"/>
      <c r="I46" s="53"/>
      <c r="J46" s="104"/>
      <c r="K46" s="54">
        <f t="shared" si="49"/>
        <v>0</v>
      </c>
      <c r="L46" s="14"/>
      <c r="M46" s="104"/>
      <c r="N46" s="104"/>
      <c r="O46" s="104"/>
      <c r="P46" s="53"/>
      <c r="Q46" s="112">
        <f t="shared" si="50"/>
        <v>0</v>
      </c>
      <c r="R46" s="112">
        <f t="shared" si="51"/>
        <v>0</v>
      </c>
      <c r="S46" s="112">
        <f t="shared" si="52"/>
        <v>0</v>
      </c>
      <c r="T46" s="112">
        <f t="shared" si="53"/>
        <v>0</v>
      </c>
      <c r="U46" s="112">
        <f t="shared" si="54"/>
        <v>0</v>
      </c>
      <c r="V46" s="112">
        <f t="shared" si="55"/>
        <v>0</v>
      </c>
      <c r="W46" s="112">
        <f t="shared" si="56"/>
        <v>0</v>
      </c>
      <c r="Y46" s="53"/>
      <c r="Z46" s="53"/>
      <c r="AA46" s="53"/>
      <c r="AB46" s="112">
        <f t="shared" si="57"/>
        <v>0</v>
      </c>
      <c r="AC46" s="112">
        <f t="shared" si="58"/>
        <v>0</v>
      </c>
      <c r="AD46" s="112">
        <f t="shared" si="59"/>
        <v>0</v>
      </c>
      <c r="AE46" s="54">
        <f t="shared" si="60"/>
        <v>0</v>
      </c>
      <c r="AG46" s="33">
        <f t="shared" si="61"/>
        <v>0</v>
      </c>
      <c r="AH46" s="33">
        <f t="shared" si="62"/>
        <v>0</v>
      </c>
      <c r="AI46" s="33">
        <f t="shared" si="63"/>
        <v>0</v>
      </c>
      <c r="AJ46" s="33">
        <f t="shared" si="64"/>
        <v>0</v>
      </c>
    </row>
    <row r="47" spans="1:36" ht="15" customHeight="1" x14ac:dyDescent="0.35">
      <c r="A47" s="115"/>
      <c r="B47" s="115"/>
      <c r="C47" s="115"/>
      <c r="D47" s="115"/>
      <c r="E47" s="115"/>
      <c r="F47" s="32"/>
      <c r="G47" s="32"/>
      <c r="H47" s="125"/>
      <c r="I47" s="104"/>
      <c r="J47" s="104"/>
      <c r="K47" s="54">
        <f>IF(J47&gt;0,1,0)</f>
        <v>0</v>
      </c>
      <c r="L47" s="14"/>
      <c r="M47" s="125"/>
      <c r="N47" s="104"/>
      <c r="O47" s="104"/>
      <c r="P47" s="104"/>
      <c r="Q47" s="112">
        <f>IF(O47&gt;1.2, 1.2, O47)</f>
        <v>0</v>
      </c>
      <c r="R47" s="112">
        <f>IF(O47&gt;3,1.8,MAX(0,O47-1.2))</f>
        <v>0</v>
      </c>
      <c r="S47" s="112">
        <f t="shared" si="52"/>
        <v>0</v>
      </c>
      <c r="T47" s="112">
        <f t="shared" si="53"/>
        <v>0</v>
      </c>
      <c r="U47" s="112">
        <f>(2*M47)+(2*N47)</f>
        <v>0</v>
      </c>
      <c r="V47" s="112">
        <f t="shared" si="55"/>
        <v>0</v>
      </c>
      <c r="W47" s="112">
        <f>M47*N47</f>
        <v>0</v>
      </c>
      <c r="Y47" s="104"/>
      <c r="Z47" s="104"/>
      <c r="AA47" s="104"/>
      <c r="AB47" s="112">
        <f t="shared" si="57"/>
        <v>0</v>
      </c>
      <c r="AC47" s="112">
        <f t="shared" si="58"/>
        <v>0</v>
      </c>
      <c r="AD47" s="112">
        <f t="shared" si="59"/>
        <v>0</v>
      </c>
      <c r="AE47" s="54">
        <f t="shared" si="60"/>
        <v>0</v>
      </c>
      <c r="AG47" s="33">
        <f>IF(F47="RURAL",M47*N47*(O47-0.1),0)</f>
        <v>0</v>
      </c>
      <c r="AH47" s="33">
        <f>IF(F47="NATIONAL",(O47-0.45)*M47*N47,0)</f>
        <v>0</v>
      </c>
      <c r="AI47" s="33">
        <f>IF(F47="RURAL",(M47+0.2)*(N47+0.2),0)</f>
        <v>0</v>
      </c>
      <c r="AJ47" s="33">
        <f>IF(F47="NATIONAL",M47*N47,0)</f>
        <v>0</v>
      </c>
    </row>
    <row r="48" spans="1:36" x14ac:dyDescent="0.35">
      <c r="A48" s="115"/>
      <c r="B48" s="115"/>
      <c r="C48" s="115"/>
      <c r="D48" s="115"/>
      <c r="E48" s="115"/>
      <c r="F48" s="32"/>
      <c r="G48" s="32"/>
      <c r="H48" s="125"/>
      <c r="I48" s="104"/>
      <c r="J48" s="104"/>
      <c r="K48" s="54">
        <f t="shared" ref="K48:K69" si="65">IF(J48&gt;0,1,0)</f>
        <v>0</v>
      </c>
      <c r="L48" s="14"/>
      <c r="M48" s="125"/>
      <c r="N48" s="104"/>
      <c r="O48" s="104"/>
      <c r="P48" s="104"/>
      <c r="Q48" s="112">
        <f t="shared" ref="Q48:Q69" si="66">IF(O48&gt;1.2, 1.2, O48)</f>
        <v>0</v>
      </c>
      <c r="R48" s="112">
        <f t="shared" ref="R48:R69" si="67">IF(O48&gt;3,1.8,MAX(0,O48-1.2))</f>
        <v>0</v>
      </c>
      <c r="S48" s="112">
        <f t="shared" si="52"/>
        <v>0</v>
      </c>
      <c r="T48" s="112">
        <f t="shared" si="53"/>
        <v>0</v>
      </c>
      <c r="U48" s="112">
        <f t="shared" ref="U48:U69" si="68">(2*M48)+(2*N48)</f>
        <v>0</v>
      </c>
      <c r="V48" s="112">
        <f t="shared" si="55"/>
        <v>0</v>
      </c>
      <c r="W48" s="112">
        <f t="shared" ref="W48:W69" si="69">M48*N48</f>
        <v>0</v>
      </c>
      <c r="Y48" s="53"/>
      <c r="Z48" s="53"/>
      <c r="AA48" s="53"/>
      <c r="AB48" s="112">
        <f t="shared" si="57"/>
        <v>0</v>
      </c>
      <c r="AC48" s="112">
        <f t="shared" si="58"/>
        <v>0</v>
      </c>
      <c r="AD48" s="112">
        <f t="shared" si="59"/>
        <v>0</v>
      </c>
      <c r="AE48" s="54">
        <f t="shared" si="60"/>
        <v>0</v>
      </c>
      <c r="AG48" s="33">
        <f>IF(F48="RURAL",M48*N48*(O48-0.1),0)</f>
        <v>0</v>
      </c>
      <c r="AH48" s="33">
        <f>IF(F48="NATIONAL",(O48-0.45)*M48*N48,0)</f>
        <v>0</v>
      </c>
      <c r="AI48" s="33">
        <f>IF(F48="RURAL",(M48+0.2)*(N48+0.2),0)</f>
        <v>0</v>
      </c>
      <c r="AJ48" s="33">
        <f>IF(F48="NATIONAL",M48*N48,0)</f>
        <v>0</v>
      </c>
    </row>
    <row r="49" spans="1:36" x14ac:dyDescent="0.35">
      <c r="A49" s="115"/>
      <c r="B49" s="115"/>
      <c r="C49" s="115"/>
      <c r="D49" s="115"/>
      <c r="E49" s="115"/>
      <c r="F49" s="32"/>
      <c r="G49" s="32"/>
      <c r="H49" s="125"/>
      <c r="I49" s="104"/>
      <c r="J49" s="104"/>
      <c r="K49" s="54">
        <f t="shared" si="65"/>
        <v>0</v>
      </c>
      <c r="L49" s="14"/>
      <c r="M49" s="125"/>
      <c r="N49" s="104"/>
      <c r="O49" s="104"/>
      <c r="P49" s="104"/>
      <c r="Q49" s="112">
        <f t="shared" si="66"/>
        <v>0</v>
      </c>
      <c r="R49" s="112">
        <f t="shared" si="67"/>
        <v>0</v>
      </c>
      <c r="S49" s="112">
        <f t="shared" si="52"/>
        <v>0</v>
      </c>
      <c r="T49" s="112">
        <f t="shared" si="53"/>
        <v>0</v>
      </c>
      <c r="U49" s="112">
        <f t="shared" si="68"/>
        <v>0</v>
      </c>
      <c r="V49" s="112">
        <f t="shared" si="55"/>
        <v>0</v>
      </c>
      <c r="W49" s="112">
        <f t="shared" si="69"/>
        <v>0</v>
      </c>
      <c r="Y49" s="53"/>
      <c r="Z49" s="53"/>
      <c r="AA49" s="53"/>
      <c r="AB49" s="112">
        <f t="shared" si="57"/>
        <v>0</v>
      </c>
      <c r="AC49" s="112">
        <f t="shared" si="58"/>
        <v>0</v>
      </c>
      <c r="AD49" s="112">
        <f t="shared" si="59"/>
        <v>0</v>
      </c>
      <c r="AE49" s="54">
        <f t="shared" si="60"/>
        <v>0</v>
      </c>
      <c r="AG49" s="33">
        <f t="shared" ref="AG49:AG69" si="70">IF(F49="RURAL",M49*N49*(O49-0.1),0)</f>
        <v>0</v>
      </c>
      <c r="AH49" s="33">
        <f t="shared" ref="AH49:AH69" si="71">IF(F49="NATIONAL",(O49-0.45)*M49*N49,0)</f>
        <v>0</v>
      </c>
      <c r="AI49" s="33">
        <f t="shared" ref="AI49:AI69" si="72">IF(F49="RURAL",(M49+0.2)*(N49+0.2),0)</f>
        <v>0</v>
      </c>
      <c r="AJ49" s="33">
        <f t="shared" ref="AJ49:AJ69" si="73">IF(F49="NATIONAL",M49*N49,0)</f>
        <v>0</v>
      </c>
    </row>
    <row r="50" spans="1:36" x14ac:dyDescent="0.35">
      <c r="A50" s="115"/>
      <c r="B50" s="115"/>
      <c r="C50" s="115"/>
      <c r="D50" s="115"/>
      <c r="E50" s="115"/>
      <c r="F50" s="32"/>
      <c r="G50" s="32"/>
      <c r="H50" s="125"/>
      <c r="I50" s="104"/>
      <c r="J50" s="104"/>
      <c r="K50" s="54">
        <f t="shared" si="65"/>
        <v>0</v>
      </c>
      <c r="L50" s="14"/>
      <c r="M50" s="125"/>
      <c r="N50" s="104"/>
      <c r="O50" s="104"/>
      <c r="P50" s="104"/>
      <c r="Q50" s="112">
        <f t="shared" si="66"/>
        <v>0</v>
      </c>
      <c r="R50" s="112">
        <f t="shared" si="67"/>
        <v>0</v>
      </c>
      <c r="S50" s="112">
        <f t="shared" si="52"/>
        <v>0</v>
      </c>
      <c r="T50" s="112">
        <f t="shared" si="53"/>
        <v>0</v>
      </c>
      <c r="U50" s="112">
        <f t="shared" si="68"/>
        <v>0</v>
      </c>
      <c r="V50" s="112">
        <f t="shared" si="55"/>
        <v>0</v>
      </c>
      <c r="W50" s="112">
        <f t="shared" si="69"/>
        <v>0</v>
      </c>
      <c r="Y50" s="53"/>
      <c r="Z50" s="53"/>
      <c r="AA50" s="53"/>
      <c r="AB50" s="112">
        <f t="shared" si="57"/>
        <v>0</v>
      </c>
      <c r="AC50" s="112">
        <f t="shared" si="58"/>
        <v>0</v>
      </c>
      <c r="AD50" s="112">
        <f t="shared" si="59"/>
        <v>0</v>
      </c>
      <c r="AE50" s="54">
        <f t="shared" si="60"/>
        <v>0</v>
      </c>
      <c r="AG50" s="33">
        <f t="shared" si="70"/>
        <v>0</v>
      </c>
      <c r="AH50" s="33">
        <f t="shared" si="71"/>
        <v>0</v>
      </c>
      <c r="AI50" s="33">
        <f t="shared" si="72"/>
        <v>0</v>
      </c>
      <c r="AJ50" s="33">
        <f t="shared" si="73"/>
        <v>0</v>
      </c>
    </row>
    <row r="51" spans="1:36" x14ac:dyDescent="0.35">
      <c r="A51" s="115"/>
      <c r="B51" s="115"/>
      <c r="C51" s="115"/>
      <c r="D51" s="115"/>
      <c r="E51" s="115"/>
      <c r="F51" s="32"/>
      <c r="G51" s="32"/>
      <c r="H51" s="125"/>
      <c r="I51" s="104"/>
      <c r="J51" s="104"/>
      <c r="K51" s="54">
        <f t="shared" si="65"/>
        <v>0</v>
      </c>
      <c r="L51" s="14"/>
      <c r="M51" s="125"/>
      <c r="N51" s="104"/>
      <c r="O51" s="104"/>
      <c r="P51" s="104"/>
      <c r="Q51" s="112">
        <f t="shared" si="66"/>
        <v>0</v>
      </c>
      <c r="R51" s="112">
        <f t="shared" si="67"/>
        <v>0</v>
      </c>
      <c r="S51" s="112">
        <f t="shared" si="52"/>
        <v>0</v>
      </c>
      <c r="T51" s="112">
        <f t="shared" si="53"/>
        <v>0</v>
      </c>
      <c r="U51" s="112">
        <f t="shared" si="68"/>
        <v>0</v>
      </c>
      <c r="V51" s="112">
        <f t="shared" si="55"/>
        <v>0</v>
      </c>
      <c r="W51" s="112">
        <f t="shared" si="69"/>
        <v>0</v>
      </c>
      <c r="Y51" s="53"/>
      <c r="Z51" s="53"/>
      <c r="AA51" s="53"/>
      <c r="AB51" s="112">
        <f t="shared" si="57"/>
        <v>0</v>
      </c>
      <c r="AC51" s="112">
        <f t="shared" si="58"/>
        <v>0</v>
      </c>
      <c r="AD51" s="112">
        <f t="shared" si="59"/>
        <v>0</v>
      </c>
      <c r="AE51" s="54">
        <f t="shared" si="60"/>
        <v>0</v>
      </c>
      <c r="AG51" s="33">
        <f t="shared" si="70"/>
        <v>0</v>
      </c>
      <c r="AH51" s="33">
        <f t="shared" si="71"/>
        <v>0</v>
      </c>
      <c r="AI51" s="33">
        <f t="shared" si="72"/>
        <v>0</v>
      </c>
      <c r="AJ51" s="33">
        <f t="shared" si="73"/>
        <v>0</v>
      </c>
    </row>
    <row r="52" spans="1:36" x14ac:dyDescent="0.35">
      <c r="A52" s="32"/>
      <c r="B52" s="32"/>
      <c r="C52" s="32"/>
      <c r="D52" s="32"/>
      <c r="E52" s="32"/>
      <c r="F52" s="32"/>
      <c r="G52" s="32"/>
      <c r="H52" s="53"/>
      <c r="I52" s="53"/>
      <c r="J52" s="104"/>
      <c r="K52" s="54">
        <f t="shared" si="65"/>
        <v>0</v>
      </c>
      <c r="L52" s="14"/>
      <c r="M52" s="53"/>
      <c r="N52" s="53"/>
      <c r="O52" s="53"/>
      <c r="P52" s="53"/>
      <c r="Q52" s="112">
        <f t="shared" si="66"/>
        <v>0</v>
      </c>
      <c r="R52" s="112">
        <f t="shared" si="67"/>
        <v>0</v>
      </c>
      <c r="S52" s="112">
        <f t="shared" si="52"/>
        <v>0</v>
      </c>
      <c r="T52" s="112">
        <f t="shared" si="53"/>
        <v>0</v>
      </c>
      <c r="U52" s="112">
        <f t="shared" si="68"/>
        <v>0</v>
      </c>
      <c r="V52" s="112">
        <f t="shared" si="55"/>
        <v>0</v>
      </c>
      <c r="W52" s="112">
        <f t="shared" si="69"/>
        <v>0</v>
      </c>
      <c r="Y52" s="53"/>
      <c r="Z52" s="53"/>
      <c r="AA52" s="53"/>
      <c r="AB52" s="112">
        <f t="shared" si="57"/>
        <v>0</v>
      </c>
      <c r="AC52" s="112">
        <f t="shared" si="58"/>
        <v>0</v>
      </c>
      <c r="AD52" s="112">
        <f t="shared" si="59"/>
        <v>0</v>
      </c>
      <c r="AE52" s="54">
        <f t="shared" si="60"/>
        <v>0</v>
      </c>
      <c r="AG52" s="33">
        <f t="shared" si="70"/>
        <v>0</v>
      </c>
      <c r="AH52" s="33">
        <f t="shared" si="71"/>
        <v>0</v>
      </c>
      <c r="AI52" s="33">
        <f t="shared" si="72"/>
        <v>0</v>
      </c>
      <c r="AJ52" s="33">
        <f t="shared" si="73"/>
        <v>0</v>
      </c>
    </row>
    <row r="53" spans="1:36" x14ac:dyDescent="0.35">
      <c r="A53" s="32"/>
      <c r="B53" s="32"/>
      <c r="C53" s="32"/>
      <c r="D53" s="32"/>
      <c r="E53" s="32"/>
      <c r="F53" s="32"/>
      <c r="G53" s="32"/>
      <c r="H53" s="53"/>
      <c r="I53" s="53"/>
      <c r="J53" s="104"/>
      <c r="K53" s="54">
        <f t="shared" si="65"/>
        <v>0</v>
      </c>
      <c r="L53" s="14"/>
      <c r="M53" s="53"/>
      <c r="N53" s="53"/>
      <c r="O53" s="53"/>
      <c r="P53" s="53"/>
      <c r="Q53" s="112">
        <f t="shared" si="66"/>
        <v>0</v>
      </c>
      <c r="R53" s="112">
        <f t="shared" si="67"/>
        <v>0</v>
      </c>
      <c r="S53" s="112">
        <f t="shared" si="52"/>
        <v>0</v>
      </c>
      <c r="T53" s="112">
        <f t="shared" si="53"/>
        <v>0</v>
      </c>
      <c r="U53" s="112">
        <f t="shared" si="68"/>
        <v>0</v>
      </c>
      <c r="V53" s="112">
        <f t="shared" si="55"/>
        <v>0</v>
      </c>
      <c r="W53" s="112">
        <f t="shared" si="69"/>
        <v>0</v>
      </c>
      <c r="Y53" s="53"/>
      <c r="Z53" s="53"/>
      <c r="AA53" s="53"/>
      <c r="AB53" s="112">
        <f t="shared" si="57"/>
        <v>0</v>
      </c>
      <c r="AC53" s="112">
        <f t="shared" si="58"/>
        <v>0</v>
      </c>
      <c r="AD53" s="112">
        <f t="shared" si="59"/>
        <v>0</v>
      </c>
      <c r="AE53" s="54">
        <f t="shared" si="60"/>
        <v>0</v>
      </c>
      <c r="AG53" s="33">
        <f t="shared" si="70"/>
        <v>0</v>
      </c>
      <c r="AH53" s="33">
        <f t="shared" si="71"/>
        <v>0</v>
      </c>
      <c r="AI53" s="33">
        <f t="shared" si="72"/>
        <v>0</v>
      </c>
      <c r="AJ53" s="33">
        <f t="shared" si="73"/>
        <v>0</v>
      </c>
    </row>
    <row r="54" spans="1:36" x14ac:dyDescent="0.35">
      <c r="A54" s="32"/>
      <c r="B54" s="32"/>
      <c r="C54" s="32"/>
      <c r="D54" s="32"/>
      <c r="E54" s="32"/>
      <c r="F54" s="32"/>
      <c r="G54" s="32"/>
      <c r="H54" s="53"/>
      <c r="I54" s="53"/>
      <c r="J54" s="104"/>
      <c r="K54" s="54">
        <f t="shared" si="65"/>
        <v>0</v>
      </c>
      <c r="L54" s="14"/>
      <c r="M54" s="53"/>
      <c r="N54" s="53"/>
      <c r="O54" s="53"/>
      <c r="P54" s="53"/>
      <c r="Q54" s="112">
        <f t="shared" si="66"/>
        <v>0</v>
      </c>
      <c r="R54" s="112">
        <f t="shared" si="67"/>
        <v>0</v>
      </c>
      <c r="S54" s="112">
        <f t="shared" si="52"/>
        <v>0</v>
      </c>
      <c r="T54" s="112">
        <f t="shared" si="53"/>
        <v>0</v>
      </c>
      <c r="U54" s="112">
        <f t="shared" si="68"/>
        <v>0</v>
      </c>
      <c r="V54" s="112">
        <f t="shared" si="55"/>
        <v>0</v>
      </c>
      <c r="W54" s="112">
        <f t="shared" si="69"/>
        <v>0</v>
      </c>
      <c r="Y54" s="53"/>
      <c r="Z54" s="53"/>
      <c r="AA54" s="53"/>
      <c r="AB54" s="112">
        <f t="shared" si="57"/>
        <v>0</v>
      </c>
      <c r="AC54" s="112">
        <f t="shared" si="58"/>
        <v>0</v>
      </c>
      <c r="AD54" s="112">
        <f t="shared" si="59"/>
        <v>0</v>
      </c>
      <c r="AE54" s="54">
        <f t="shared" si="60"/>
        <v>0</v>
      </c>
      <c r="AG54" s="33">
        <f t="shared" si="70"/>
        <v>0</v>
      </c>
      <c r="AH54" s="33">
        <f t="shared" si="71"/>
        <v>0</v>
      </c>
      <c r="AI54" s="33">
        <f t="shared" si="72"/>
        <v>0</v>
      </c>
      <c r="AJ54" s="33">
        <f t="shared" si="73"/>
        <v>0</v>
      </c>
    </row>
    <row r="55" spans="1:36" x14ac:dyDescent="0.35">
      <c r="A55" s="32"/>
      <c r="B55" s="32"/>
      <c r="C55" s="32"/>
      <c r="D55" s="32"/>
      <c r="E55" s="32"/>
      <c r="F55" s="32"/>
      <c r="G55" s="32"/>
      <c r="H55" s="53"/>
      <c r="I55" s="53"/>
      <c r="J55" s="104"/>
      <c r="K55" s="54">
        <f t="shared" si="65"/>
        <v>0</v>
      </c>
      <c r="L55" s="14"/>
      <c r="M55" s="53"/>
      <c r="N55" s="53"/>
      <c r="O55" s="53"/>
      <c r="P55" s="53"/>
      <c r="Q55" s="112">
        <f t="shared" si="66"/>
        <v>0</v>
      </c>
      <c r="R55" s="112">
        <f t="shared" si="67"/>
        <v>0</v>
      </c>
      <c r="S55" s="112">
        <f t="shared" si="52"/>
        <v>0</v>
      </c>
      <c r="T55" s="112">
        <f t="shared" si="53"/>
        <v>0</v>
      </c>
      <c r="U55" s="112">
        <f t="shared" si="68"/>
        <v>0</v>
      </c>
      <c r="V55" s="112">
        <f t="shared" si="55"/>
        <v>0</v>
      </c>
      <c r="W55" s="112">
        <f t="shared" si="69"/>
        <v>0</v>
      </c>
      <c r="Y55" s="53"/>
      <c r="Z55" s="53"/>
      <c r="AA55" s="53"/>
      <c r="AB55" s="112">
        <f t="shared" si="57"/>
        <v>0</v>
      </c>
      <c r="AC55" s="112">
        <f t="shared" si="58"/>
        <v>0</v>
      </c>
      <c r="AD55" s="112">
        <f t="shared" si="59"/>
        <v>0</v>
      </c>
      <c r="AE55" s="54">
        <f t="shared" si="60"/>
        <v>0</v>
      </c>
      <c r="AG55" s="33">
        <f t="shared" si="70"/>
        <v>0</v>
      </c>
      <c r="AH55" s="33">
        <f t="shared" si="71"/>
        <v>0</v>
      </c>
      <c r="AI55" s="33">
        <f t="shared" si="72"/>
        <v>0</v>
      </c>
      <c r="AJ55" s="33">
        <f t="shared" si="73"/>
        <v>0</v>
      </c>
    </row>
    <row r="56" spans="1:36" x14ac:dyDescent="0.35">
      <c r="A56" s="32"/>
      <c r="B56" s="32"/>
      <c r="C56" s="32"/>
      <c r="D56" s="32"/>
      <c r="E56" s="32"/>
      <c r="F56" s="32"/>
      <c r="G56" s="32"/>
      <c r="H56" s="53"/>
      <c r="I56" s="53"/>
      <c r="J56" s="104"/>
      <c r="K56" s="54">
        <f t="shared" si="65"/>
        <v>0</v>
      </c>
      <c r="L56" s="14"/>
      <c r="M56" s="53"/>
      <c r="N56" s="53"/>
      <c r="O56" s="53"/>
      <c r="P56" s="53"/>
      <c r="Q56" s="112">
        <f t="shared" si="66"/>
        <v>0</v>
      </c>
      <c r="R56" s="112">
        <f t="shared" si="67"/>
        <v>0</v>
      </c>
      <c r="S56" s="112">
        <f t="shared" si="52"/>
        <v>0</v>
      </c>
      <c r="T56" s="112">
        <f t="shared" si="53"/>
        <v>0</v>
      </c>
      <c r="U56" s="112">
        <f t="shared" si="68"/>
        <v>0</v>
      </c>
      <c r="V56" s="112">
        <f t="shared" si="55"/>
        <v>0</v>
      </c>
      <c r="W56" s="112">
        <f t="shared" si="69"/>
        <v>0</v>
      </c>
      <c r="Y56" s="53"/>
      <c r="Z56" s="53"/>
      <c r="AA56" s="53"/>
      <c r="AB56" s="112">
        <f t="shared" si="57"/>
        <v>0</v>
      </c>
      <c r="AC56" s="112">
        <f t="shared" si="58"/>
        <v>0</v>
      </c>
      <c r="AD56" s="112">
        <f t="shared" si="59"/>
        <v>0</v>
      </c>
      <c r="AE56" s="54">
        <f t="shared" si="60"/>
        <v>0</v>
      </c>
      <c r="AG56" s="33">
        <f t="shared" si="70"/>
        <v>0</v>
      </c>
      <c r="AH56" s="33">
        <f t="shared" si="71"/>
        <v>0</v>
      </c>
      <c r="AI56" s="33">
        <f t="shared" si="72"/>
        <v>0</v>
      </c>
      <c r="AJ56" s="33">
        <f t="shared" si="73"/>
        <v>0</v>
      </c>
    </row>
    <row r="57" spans="1:36" x14ac:dyDescent="0.35">
      <c r="A57" s="32"/>
      <c r="B57" s="32"/>
      <c r="C57" s="32"/>
      <c r="D57" s="32"/>
      <c r="E57" s="32"/>
      <c r="F57" s="32"/>
      <c r="G57" s="32"/>
      <c r="H57" s="53"/>
      <c r="I57" s="53"/>
      <c r="J57" s="104"/>
      <c r="K57" s="54">
        <f t="shared" si="65"/>
        <v>0</v>
      </c>
      <c r="L57" s="14"/>
      <c r="M57" s="53"/>
      <c r="N57" s="53"/>
      <c r="O57" s="53"/>
      <c r="P57" s="53"/>
      <c r="Q57" s="112">
        <f t="shared" si="66"/>
        <v>0</v>
      </c>
      <c r="R57" s="112">
        <f t="shared" si="67"/>
        <v>0</v>
      </c>
      <c r="S57" s="112">
        <f t="shared" si="52"/>
        <v>0</v>
      </c>
      <c r="T57" s="112">
        <f t="shared" si="53"/>
        <v>0</v>
      </c>
      <c r="U57" s="112">
        <f t="shared" si="68"/>
        <v>0</v>
      </c>
      <c r="V57" s="112">
        <f t="shared" si="55"/>
        <v>0</v>
      </c>
      <c r="W57" s="112">
        <f t="shared" si="69"/>
        <v>0</v>
      </c>
      <c r="Y57" s="53"/>
      <c r="Z57" s="53"/>
      <c r="AA57" s="53"/>
      <c r="AB57" s="112">
        <f t="shared" si="57"/>
        <v>0</v>
      </c>
      <c r="AC57" s="112">
        <f t="shared" si="58"/>
        <v>0</v>
      </c>
      <c r="AD57" s="112">
        <f t="shared" si="59"/>
        <v>0</v>
      </c>
      <c r="AE57" s="54">
        <f t="shared" si="60"/>
        <v>0</v>
      </c>
      <c r="AG57" s="33">
        <f t="shared" si="70"/>
        <v>0</v>
      </c>
      <c r="AH57" s="33">
        <f t="shared" si="71"/>
        <v>0</v>
      </c>
      <c r="AI57" s="33">
        <f t="shared" si="72"/>
        <v>0</v>
      </c>
      <c r="AJ57" s="33">
        <f t="shared" si="73"/>
        <v>0</v>
      </c>
    </row>
    <row r="58" spans="1:36" x14ac:dyDescent="0.35">
      <c r="A58" s="32"/>
      <c r="B58" s="32"/>
      <c r="C58" s="32"/>
      <c r="D58" s="32"/>
      <c r="E58" s="32"/>
      <c r="F58" s="32"/>
      <c r="G58" s="32"/>
      <c r="H58" s="53"/>
      <c r="I58" s="53"/>
      <c r="J58" s="104"/>
      <c r="K58" s="54">
        <f t="shared" si="65"/>
        <v>0</v>
      </c>
      <c r="L58" s="14"/>
      <c r="M58" s="53"/>
      <c r="N58" s="53"/>
      <c r="O58" s="53"/>
      <c r="P58" s="53"/>
      <c r="Q58" s="112">
        <f t="shared" si="66"/>
        <v>0</v>
      </c>
      <c r="R58" s="112">
        <f t="shared" si="67"/>
        <v>0</v>
      </c>
      <c r="S58" s="112">
        <f t="shared" si="52"/>
        <v>0</v>
      </c>
      <c r="T58" s="112">
        <f t="shared" si="53"/>
        <v>0</v>
      </c>
      <c r="U58" s="112">
        <f t="shared" si="68"/>
        <v>0</v>
      </c>
      <c r="V58" s="112">
        <f t="shared" si="55"/>
        <v>0</v>
      </c>
      <c r="W58" s="112">
        <f t="shared" si="69"/>
        <v>0</v>
      </c>
      <c r="Y58" s="53"/>
      <c r="Z58" s="53"/>
      <c r="AA58" s="53"/>
      <c r="AB58" s="112">
        <f t="shared" si="57"/>
        <v>0</v>
      </c>
      <c r="AC58" s="112">
        <f t="shared" si="58"/>
        <v>0</v>
      </c>
      <c r="AD58" s="112">
        <f t="shared" si="59"/>
        <v>0</v>
      </c>
      <c r="AE58" s="54">
        <f t="shared" si="60"/>
        <v>0</v>
      </c>
      <c r="AG58" s="33">
        <f t="shared" si="70"/>
        <v>0</v>
      </c>
      <c r="AH58" s="33">
        <f t="shared" si="71"/>
        <v>0</v>
      </c>
      <c r="AI58" s="33">
        <f t="shared" si="72"/>
        <v>0</v>
      </c>
      <c r="AJ58" s="33">
        <f t="shared" si="73"/>
        <v>0</v>
      </c>
    </row>
    <row r="59" spans="1:36" x14ac:dyDescent="0.35">
      <c r="A59" s="32"/>
      <c r="B59" s="32"/>
      <c r="C59" s="32"/>
      <c r="D59" s="32"/>
      <c r="E59" s="32"/>
      <c r="F59" s="32"/>
      <c r="G59" s="32"/>
      <c r="H59" s="53"/>
      <c r="I59" s="53"/>
      <c r="J59" s="104"/>
      <c r="K59" s="54">
        <f t="shared" si="65"/>
        <v>0</v>
      </c>
      <c r="L59" s="14"/>
      <c r="M59" s="53"/>
      <c r="N59" s="53"/>
      <c r="O59" s="53"/>
      <c r="P59" s="53"/>
      <c r="Q59" s="112">
        <f t="shared" si="66"/>
        <v>0</v>
      </c>
      <c r="R59" s="112">
        <f t="shared" si="67"/>
        <v>0</v>
      </c>
      <c r="S59" s="112">
        <f t="shared" si="52"/>
        <v>0</v>
      </c>
      <c r="T59" s="112">
        <f t="shared" si="53"/>
        <v>0</v>
      </c>
      <c r="U59" s="112">
        <f t="shared" si="68"/>
        <v>0</v>
      </c>
      <c r="V59" s="112">
        <f t="shared" si="55"/>
        <v>0</v>
      </c>
      <c r="W59" s="112">
        <f t="shared" si="69"/>
        <v>0</v>
      </c>
      <c r="Y59" s="53"/>
      <c r="Z59" s="53"/>
      <c r="AA59" s="53"/>
      <c r="AB59" s="112">
        <f t="shared" si="57"/>
        <v>0</v>
      </c>
      <c r="AC59" s="112">
        <f t="shared" si="58"/>
        <v>0</v>
      </c>
      <c r="AD59" s="112">
        <f t="shared" si="59"/>
        <v>0</v>
      </c>
      <c r="AE59" s="54">
        <f t="shared" si="60"/>
        <v>0</v>
      </c>
      <c r="AG59" s="33">
        <f t="shared" si="70"/>
        <v>0</v>
      </c>
      <c r="AH59" s="33">
        <f t="shared" si="71"/>
        <v>0</v>
      </c>
      <c r="AI59" s="33">
        <f t="shared" si="72"/>
        <v>0</v>
      </c>
      <c r="AJ59" s="33">
        <f t="shared" si="73"/>
        <v>0</v>
      </c>
    </row>
    <row r="60" spans="1:36" x14ac:dyDescent="0.35">
      <c r="A60" s="32"/>
      <c r="B60" s="32"/>
      <c r="C60" s="32"/>
      <c r="D60" s="32"/>
      <c r="E60" s="32"/>
      <c r="F60" s="32"/>
      <c r="G60" s="32"/>
      <c r="H60" s="53"/>
      <c r="I60" s="53"/>
      <c r="J60" s="104"/>
      <c r="K60" s="54">
        <f t="shared" si="65"/>
        <v>0</v>
      </c>
      <c r="L60" s="14"/>
      <c r="M60" s="53"/>
      <c r="N60" s="53"/>
      <c r="O60" s="53"/>
      <c r="P60" s="53"/>
      <c r="Q60" s="112">
        <f t="shared" si="66"/>
        <v>0</v>
      </c>
      <c r="R60" s="112">
        <f t="shared" si="67"/>
        <v>0</v>
      </c>
      <c r="S60" s="112">
        <f t="shared" si="52"/>
        <v>0</v>
      </c>
      <c r="T60" s="112">
        <f t="shared" si="53"/>
        <v>0</v>
      </c>
      <c r="U60" s="112">
        <f t="shared" si="68"/>
        <v>0</v>
      </c>
      <c r="V60" s="112">
        <f t="shared" si="55"/>
        <v>0</v>
      </c>
      <c r="W60" s="112">
        <f t="shared" si="69"/>
        <v>0</v>
      </c>
      <c r="Y60" s="53"/>
      <c r="Z60" s="53"/>
      <c r="AA60" s="53"/>
      <c r="AB60" s="112">
        <f t="shared" si="57"/>
        <v>0</v>
      </c>
      <c r="AC60" s="112">
        <f t="shared" si="58"/>
        <v>0</v>
      </c>
      <c r="AD60" s="112">
        <f t="shared" si="59"/>
        <v>0</v>
      </c>
      <c r="AE60" s="54">
        <f t="shared" si="60"/>
        <v>0</v>
      </c>
      <c r="AG60" s="33">
        <f t="shared" si="70"/>
        <v>0</v>
      </c>
      <c r="AH60" s="33">
        <f t="shared" si="71"/>
        <v>0</v>
      </c>
      <c r="AI60" s="33">
        <f t="shared" si="72"/>
        <v>0</v>
      </c>
      <c r="AJ60" s="33">
        <f t="shared" si="73"/>
        <v>0</v>
      </c>
    </row>
    <row r="61" spans="1:36" x14ac:dyDescent="0.35">
      <c r="A61" s="32"/>
      <c r="B61" s="32"/>
      <c r="C61" s="32"/>
      <c r="D61" s="32"/>
      <c r="E61" s="32"/>
      <c r="F61" s="32"/>
      <c r="G61" s="32"/>
      <c r="H61" s="53"/>
      <c r="I61" s="53"/>
      <c r="J61" s="104"/>
      <c r="K61" s="54">
        <f t="shared" si="65"/>
        <v>0</v>
      </c>
      <c r="L61" s="14"/>
      <c r="M61" s="53"/>
      <c r="N61" s="53"/>
      <c r="O61" s="53"/>
      <c r="P61" s="53"/>
      <c r="Q61" s="112">
        <f t="shared" si="66"/>
        <v>0</v>
      </c>
      <c r="R61" s="112">
        <f t="shared" si="67"/>
        <v>0</v>
      </c>
      <c r="S61" s="112">
        <f t="shared" si="52"/>
        <v>0</v>
      </c>
      <c r="T61" s="112">
        <f t="shared" si="53"/>
        <v>0</v>
      </c>
      <c r="U61" s="112">
        <f t="shared" si="68"/>
        <v>0</v>
      </c>
      <c r="V61" s="112">
        <f t="shared" si="55"/>
        <v>0</v>
      </c>
      <c r="W61" s="112">
        <f t="shared" si="69"/>
        <v>0</v>
      </c>
      <c r="Y61" s="53"/>
      <c r="Z61" s="53"/>
      <c r="AA61" s="53"/>
      <c r="AB61" s="112">
        <f t="shared" si="57"/>
        <v>0</v>
      </c>
      <c r="AC61" s="112">
        <f t="shared" si="58"/>
        <v>0</v>
      </c>
      <c r="AD61" s="112">
        <f t="shared" si="59"/>
        <v>0</v>
      </c>
      <c r="AE61" s="54">
        <f t="shared" si="60"/>
        <v>0</v>
      </c>
      <c r="AG61" s="33">
        <f t="shared" si="70"/>
        <v>0</v>
      </c>
      <c r="AH61" s="33">
        <f t="shared" si="71"/>
        <v>0</v>
      </c>
      <c r="AI61" s="33">
        <f t="shared" si="72"/>
        <v>0</v>
      </c>
      <c r="AJ61" s="33">
        <f t="shared" si="73"/>
        <v>0</v>
      </c>
    </row>
    <row r="62" spans="1:36" x14ac:dyDescent="0.35">
      <c r="A62" s="32"/>
      <c r="B62" s="32"/>
      <c r="C62" s="32"/>
      <c r="D62" s="32"/>
      <c r="E62" s="32"/>
      <c r="F62" s="32"/>
      <c r="G62" s="32"/>
      <c r="H62" s="53"/>
      <c r="I62" s="53"/>
      <c r="J62" s="104"/>
      <c r="K62" s="54">
        <f t="shared" si="65"/>
        <v>0</v>
      </c>
      <c r="L62" s="14"/>
      <c r="M62" s="53"/>
      <c r="N62" s="53"/>
      <c r="O62" s="53"/>
      <c r="P62" s="53"/>
      <c r="Q62" s="112">
        <f t="shared" si="66"/>
        <v>0</v>
      </c>
      <c r="R62" s="112">
        <f t="shared" si="67"/>
        <v>0</v>
      </c>
      <c r="S62" s="112">
        <f t="shared" si="52"/>
        <v>0</v>
      </c>
      <c r="T62" s="112">
        <f t="shared" si="53"/>
        <v>0</v>
      </c>
      <c r="U62" s="112">
        <f t="shared" si="68"/>
        <v>0</v>
      </c>
      <c r="V62" s="112">
        <f t="shared" si="55"/>
        <v>0</v>
      </c>
      <c r="W62" s="112">
        <f t="shared" si="69"/>
        <v>0</v>
      </c>
      <c r="Y62" s="53"/>
      <c r="Z62" s="53"/>
      <c r="AA62" s="53"/>
      <c r="AB62" s="112">
        <f t="shared" si="57"/>
        <v>0</v>
      </c>
      <c r="AC62" s="112">
        <f t="shared" si="58"/>
        <v>0</v>
      </c>
      <c r="AD62" s="112">
        <f t="shared" si="59"/>
        <v>0</v>
      </c>
      <c r="AE62" s="54">
        <f t="shared" si="60"/>
        <v>0</v>
      </c>
      <c r="AG62" s="33">
        <f t="shared" si="70"/>
        <v>0</v>
      </c>
      <c r="AH62" s="33">
        <f t="shared" si="71"/>
        <v>0</v>
      </c>
      <c r="AI62" s="33">
        <f t="shared" si="72"/>
        <v>0</v>
      </c>
      <c r="AJ62" s="33">
        <f t="shared" si="73"/>
        <v>0</v>
      </c>
    </row>
    <row r="63" spans="1:36" x14ac:dyDescent="0.35">
      <c r="A63" s="32"/>
      <c r="B63" s="32"/>
      <c r="C63" s="32"/>
      <c r="D63" s="32"/>
      <c r="E63" s="32"/>
      <c r="F63" s="32"/>
      <c r="G63" s="32"/>
      <c r="H63" s="53"/>
      <c r="I63" s="53"/>
      <c r="J63" s="104"/>
      <c r="K63" s="54">
        <f t="shared" si="65"/>
        <v>0</v>
      </c>
      <c r="L63" s="14"/>
      <c r="M63" s="53"/>
      <c r="N63" s="53"/>
      <c r="O63" s="53"/>
      <c r="P63" s="53"/>
      <c r="Q63" s="112">
        <f t="shared" si="66"/>
        <v>0</v>
      </c>
      <c r="R63" s="112">
        <f t="shared" si="67"/>
        <v>0</v>
      </c>
      <c r="S63" s="112">
        <f t="shared" si="52"/>
        <v>0</v>
      </c>
      <c r="T63" s="112">
        <f t="shared" si="53"/>
        <v>0</v>
      </c>
      <c r="U63" s="112">
        <f t="shared" si="68"/>
        <v>0</v>
      </c>
      <c r="V63" s="112">
        <f t="shared" si="55"/>
        <v>0</v>
      </c>
      <c r="W63" s="112">
        <f t="shared" si="69"/>
        <v>0</v>
      </c>
      <c r="Y63" s="53"/>
      <c r="Z63" s="53"/>
      <c r="AA63" s="53"/>
      <c r="AB63" s="112">
        <f t="shared" si="57"/>
        <v>0</v>
      </c>
      <c r="AC63" s="112">
        <f t="shared" si="58"/>
        <v>0</v>
      </c>
      <c r="AD63" s="112">
        <f t="shared" si="59"/>
        <v>0</v>
      </c>
      <c r="AE63" s="54">
        <f t="shared" si="60"/>
        <v>0</v>
      </c>
      <c r="AG63" s="33">
        <f t="shared" si="70"/>
        <v>0</v>
      </c>
      <c r="AH63" s="33">
        <f t="shared" si="71"/>
        <v>0</v>
      </c>
      <c r="AI63" s="33">
        <f t="shared" si="72"/>
        <v>0</v>
      </c>
      <c r="AJ63" s="33">
        <f t="shared" si="73"/>
        <v>0</v>
      </c>
    </row>
    <row r="64" spans="1:36" x14ac:dyDescent="0.35">
      <c r="A64" s="32"/>
      <c r="B64" s="32"/>
      <c r="C64" s="32"/>
      <c r="D64" s="32"/>
      <c r="E64" s="32"/>
      <c r="F64" s="32"/>
      <c r="G64" s="32"/>
      <c r="H64" s="53"/>
      <c r="I64" s="53"/>
      <c r="J64" s="104"/>
      <c r="K64" s="54">
        <f t="shared" si="65"/>
        <v>0</v>
      </c>
      <c r="L64" s="14"/>
      <c r="M64" s="53"/>
      <c r="N64" s="53"/>
      <c r="O64" s="53"/>
      <c r="P64" s="53"/>
      <c r="Q64" s="112">
        <f t="shared" si="66"/>
        <v>0</v>
      </c>
      <c r="R64" s="112">
        <f t="shared" si="67"/>
        <v>0</v>
      </c>
      <c r="S64" s="112">
        <f t="shared" si="52"/>
        <v>0</v>
      </c>
      <c r="T64" s="112">
        <f t="shared" si="53"/>
        <v>0</v>
      </c>
      <c r="U64" s="112">
        <f t="shared" si="68"/>
        <v>0</v>
      </c>
      <c r="V64" s="112">
        <f t="shared" si="55"/>
        <v>0</v>
      </c>
      <c r="W64" s="112">
        <f t="shared" si="69"/>
        <v>0</v>
      </c>
      <c r="Y64" s="53"/>
      <c r="Z64" s="53"/>
      <c r="AA64" s="53"/>
      <c r="AB64" s="112">
        <f t="shared" si="57"/>
        <v>0</v>
      </c>
      <c r="AC64" s="112">
        <f t="shared" si="58"/>
        <v>0</v>
      </c>
      <c r="AD64" s="112">
        <f t="shared" si="59"/>
        <v>0</v>
      </c>
      <c r="AE64" s="54">
        <f t="shared" si="60"/>
        <v>0</v>
      </c>
      <c r="AG64" s="33">
        <f t="shared" si="70"/>
        <v>0</v>
      </c>
      <c r="AH64" s="33">
        <f t="shared" si="71"/>
        <v>0</v>
      </c>
      <c r="AI64" s="33">
        <f t="shared" si="72"/>
        <v>0</v>
      </c>
      <c r="AJ64" s="33">
        <f t="shared" si="73"/>
        <v>0</v>
      </c>
    </row>
    <row r="65" spans="1:36" x14ac:dyDescent="0.35">
      <c r="A65" s="32"/>
      <c r="B65" s="32"/>
      <c r="C65" s="32"/>
      <c r="D65" s="32"/>
      <c r="E65" s="32"/>
      <c r="F65" s="32"/>
      <c r="G65" s="32"/>
      <c r="H65" s="53"/>
      <c r="I65" s="53"/>
      <c r="J65" s="104"/>
      <c r="K65" s="54">
        <f t="shared" si="65"/>
        <v>0</v>
      </c>
      <c r="L65" s="14"/>
      <c r="M65" s="53"/>
      <c r="N65" s="53"/>
      <c r="O65" s="53"/>
      <c r="P65" s="53"/>
      <c r="Q65" s="112">
        <f t="shared" si="66"/>
        <v>0</v>
      </c>
      <c r="R65" s="112">
        <f t="shared" si="67"/>
        <v>0</v>
      </c>
      <c r="S65" s="112">
        <f t="shared" si="52"/>
        <v>0</v>
      </c>
      <c r="T65" s="112">
        <f t="shared" si="53"/>
        <v>0</v>
      </c>
      <c r="U65" s="112">
        <f t="shared" si="68"/>
        <v>0</v>
      </c>
      <c r="V65" s="112">
        <f t="shared" si="55"/>
        <v>0</v>
      </c>
      <c r="W65" s="112">
        <f t="shared" si="69"/>
        <v>0</v>
      </c>
      <c r="Y65" s="53"/>
      <c r="Z65" s="53"/>
      <c r="AA65" s="53"/>
      <c r="AB65" s="112">
        <f t="shared" si="57"/>
        <v>0</v>
      </c>
      <c r="AC65" s="112">
        <f t="shared" si="58"/>
        <v>0</v>
      </c>
      <c r="AD65" s="112">
        <f t="shared" si="59"/>
        <v>0</v>
      </c>
      <c r="AE65" s="54">
        <f t="shared" si="60"/>
        <v>0</v>
      </c>
      <c r="AG65" s="33">
        <f t="shared" si="70"/>
        <v>0</v>
      </c>
      <c r="AH65" s="33">
        <f t="shared" si="71"/>
        <v>0</v>
      </c>
      <c r="AI65" s="33">
        <f t="shared" si="72"/>
        <v>0</v>
      </c>
      <c r="AJ65" s="33">
        <f t="shared" si="73"/>
        <v>0</v>
      </c>
    </row>
    <row r="66" spans="1:36" x14ac:dyDescent="0.35">
      <c r="A66" s="32"/>
      <c r="B66" s="32"/>
      <c r="C66" s="32"/>
      <c r="D66" s="32"/>
      <c r="E66" s="32"/>
      <c r="F66" s="32"/>
      <c r="G66" s="32"/>
      <c r="H66" s="53"/>
      <c r="I66" s="53"/>
      <c r="J66" s="104"/>
      <c r="K66" s="54">
        <f t="shared" si="65"/>
        <v>0</v>
      </c>
      <c r="L66" s="14"/>
      <c r="M66" s="104"/>
      <c r="N66" s="104"/>
      <c r="O66" s="104"/>
      <c r="P66" s="53"/>
      <c r="Q66" s="112">
        <f t="shared" si="66"/>
        <v>0</v>
      </c>
      <c r="R66" s="112">
        <f t="shared" si="67"/>
        <v>0</v>
      </c>
      <c r="S66" s="112">
        <f t="shared" si="52"/>
        <v>0</v>
      </c>
      <c r="T66" s="112">
        <f t="shared" si="53"/>
        <v>0</v>
      </c>
      <c r="U66" s="112">
        <f t="shared" si="68"/>
        <v>0</v>
      </c>
      <c r="V66" s="112">
        <f t="shared" si="55"/>
        <v>0</v>
      </c>
      <c r="W66" s="112">
        <f t="shared" si="69"/>
        <v>0</v>
      </c>
      <c r="Y66" s="53"/>
      <c r="Z66" s="53"/>
      <c r="AA66" s="53"/>
      <c r="AB66" s="112">
        <f t="shared" si="57"/>
        <v>0</v>
      </c>
      <c r="AC66" s="112">
        <f t="shared" si="58"/>
        <v>0</v>
      </c>
      <c r="AD66" s="112">
        <f t="shared" si="59"/>
        <v>0</v>
      </c>
      <c r="AE66" s="54">
        <f t="shared" si="60"/>
        <v>0</v>
      </c>
      <c r="AG66" s="33">
        <f t="shared" si="70"/>
        <v>0</v>
      </c>
      <c r="AH66" s="33">
        <f t="shared" si="71"/>
        <v>0</v>
      </c>
      <c r="AI66" s="33">
        <f t="shared" si="72"/>
        <v>0</v>
      </c>
      <c r="AJ66" s="33">
        <f t="shared" si="73"/>
        <v>0</v>
      </c>
    </row>
    <row r="67" spans="1:36" x14ac:dyDescent="0.35">
      <c r="A67" s="32"/>
      <c r="B67" s="32"/>
      <c r="C67" s="32"/>
      <c r="D67" s="32"/>
      <c r="E67" s="32"/>
      <c r="F67" s="32"/>
      <c r="G67" s="32"/>
      <c r="H67" s="53"/>
      <c r="I67" s="53"/>
      <c r="J67" s="104"/>
      <c r="K67" s="54">
        <f t="shared" si="65"/>
        <v>0</v>
      </c>
      <c r="L67" s="14"/>
      <c r="M67" s="104"/>
      <c r="N67" s="104"/>
      <c r="O67" s="104"/>
      <c r="P67" s="53"/>
      <c r="Q67" s="112">
        <f t="shared" si="66"/>
        <v>0</v>
      </c>
      <c r="R67" s="112">
        <f t="shared" si="67"/>
        <v>0</v>
      </c>
      <c r="S67" s="112">
        <f t="shared" si="52"/>
        <v>0</v>
      </c>
      <c r="T67" s="112">
        <f t="shared" si="53"/>
        <v>0</v>
      </c>
      <c r="U67" s="112">
        <f t="shared" si="68"/>
        <v>0</v>
      </c>
      <c r="V67" s="112">
        <f t="shared" si="55"/>
        <v>0</v>
      </c>
      <c r="W67" s="112">
        <f t="shared" si="69"/>
        <v>0</v>
      </c>
      <c r="Y67" s="53"/>
      <c r="Z67" s="53"/>
      <c r="AA67" s="53"/>
      <c r="AB67" s="112">
        <f t="shared" si="57"/>
        <v>0</v>
      </c>
      <c r="AC67" s="112">
        <f t="shared" si="58"/>
        <v>0</v>
      </c>
      <c r="AD67" s="112">
        <f t="shared" si="59"/>
        <v>0</v>
      </c>
      <c r="AE67" s="54">
        <f t="shared" si="60"/>
        <v>0</v>
      </c>
      <c r="AG67" s="33">
        <f t="shared" si="70"/>
        <v>0</v>
      </c>
      <c r="AH67" s="33">
        <f t="shared" si="71"/>
        <v>0</v>
      </c>
      <c r="AI67" s="33">
        <f t="shared" si="72"/>
        <v>0</v>
      </c>
      <c r="AJ67" s="33">
        <f t="shared" si="73"/>
        <v>0</v>
      </c>
    </row>
    <row r="68" spans="1:36" x14ac:dyDescent="0.35">
      <c r="A68" s="32"/>
      <c r="B68" s="32"/>
      <c r="C68" s="32"/>
      <c r="D68" s="32"/>
      <c r="E68" s="32"/>
      <c r="F68" s="32"/>
      <c r="G68" s="32"/>
      <c r="H68" s="53"/>
      <c r="I68" s="53"/>
      <c r="J68" s="104"/>
      <c r="K68" s="54">
        <f t="shared" si="65"/>
        <v>0</v>
      </c>
      <c r="L68" s="14"/>
      <c r="M68" s="104"/>
      <c r="N68" s="104"/>
      <c r="O68" s="104"/>
      <c r="P68" s="53"/>
      <c r="Q68" s="112">
        <f t="shared" si="66"/>
        <v>0</v>
      </c>
      <c r="R68" s="112">
        <f t="shared" si="67"/>
        <v>0</v>
      </c>
      <c r="S68" s="112">
        <f t="shared" si="52"/>
        <v>0</v>
      </c>
      <c r="T68" s="112">
        <f t="shared" si="53"/>
        <v>0</v>
      </c>
      <c r="U68" s="112">
        <f t="shared" si="68"/>
        <v>0</v>
      </c>
      <c r="V68" s="112">
        <f t="shared" si="55"/>
        <v>0</v>
      </c>
      <c r="W68" s="112">
        <f t="shared" si="69"/>
        <v>0</v>
      </c>
      <c r="Y68" s="53"/>
      <c r="Z68" s="53"/>
      <c r="AA68" s="53"/>
      <c r="AB68" s="112">
        <f t="shared" si="57"/>
        <v>0</v>
      </c>
      <c r="AC68" s="112">
        <f t="shared" si="58"/>
        <v>0</v>
      </c>
      <c r="AD68" s="112">
        <f t="shared" si="59"/>
        <v>0</v>
      </c>
      <c r="AE68" s="54">
        <f t="shared" si="60"/>
        <v>0</v>
      </c>
      <c r="AG68" s="33">
        <f t="shared" si="70"/>
        <v>0</v>
      </c>
      <c r="AH68" s="33">
        <f t="shared" si="71"/>
        <v>0</v>
      </c>
      <c r="AI68" s="33">
        <f t="shared" si="72"/>
        <v>0</v>
      </c>
      <c r="AJ68" s="33">
        <f t="shared" si="73"/>
        <v>0</v>
      </c>
    </row>
    <row r="69" spans="1:36" x14ac:dyDescent="0.35">
      <c r="A69" s="32"/>
      <c r="B69" s="32"/>
      <c r="C69" s="32"/>
      <c r="D69" s="32"/>
      <c r="E69" s="32"/>
      <c r="F69" s="32"/>
      <c r="G69" s="32"/>
      <c r="H69" s="53"/>
      <c r="I69" s="53"/>
      <c r="J69" s="104"/>
      <c r="K69" s="54">
        <f t="shared" si="65"/>
        <v>0</v>
      </c>
      <c r="L69" s="14"/>
      <c r="M69" s="104"/>
      <c r="N69" s="104"/>
      <c r="O69" s="104"/>
      <c r="P69" s="53"/>
      <c r="Q69" s="112">
        <f t="shared" si="66"/>
        <v>0</v>
      </c>
      <c r="R69" s="112">
        <f t="shared" si="67"/>
        <v>0</v>
      </c>
      <c r="S69" s="112">
        <f t="shared" si="52"/>
        <v>0</v>
      </c>
      <c r="T69" s="112">
        <f t="shared" si="53"/>
        <v>0</v>
      </c>
      <c r="U69" s="112">
        <f t="shared" si="68"/>
        <v>0</v>
      </c>
      <c r="V69" s="112">
        <f t="shared" si="55"/>
        <v>0</v>
      </c>
      <c r="W69" s="112">
        <f t="shared" si="69"/>
        <v>0</v>
      </c>
      <c r="Y69" s="53"/>
      <c r="Z69" s="53"/>
      <c r="AA69" s="53"/>
      <c r="AB69" s="112">
        <f t="shared" si="57"/>
        <v>0</v>
      </c>
      <c r="AC69" s="112">
        <f t="shared" si="58"/>
        <v>0</v>
      </c>
      <c r="AD69" s="112">
        <f t="shared" si="59"/>
        <v>0</v>
      </c>
      <c r="AE69" s="54">
        <f t="shared" si="60"/>
        <v>0</v>
      </c>
      <c r="AG69" s="33">
        <f t="shared" si="70"/>
        <v>0</v>
      </c>
      <c r="AH69" s="33">
        <f t="shared" si="71"/>
        <v>0</v>
      </c>
      <c r="AI69" s="33">
        <f t="shared" si="72"/>
        <v>0</v>
      </c>
      <c r="AJ69" s="33">
        <f t="shared" si="73"/>
        <v>0</v>
      </c>
    </row>
    <row r="70" spans="1:36" ht="15" customHeight="1" x14ac:dyDescent="0.35">
      <c r="A70" s="115"/>
      <c r="B70" s="115"/>
      <c r="C70" s="115"/>
      <c r="D70" s="115"/>
      <c r="E70" s="115"/>
      <c r="F70" s="32"/>
      <c r="G70" s="32"/>
      <c r="H70" s="125"/>
      <c r="I70" s="104"/>
      <c r="J70" s="104"/>
      <c r="K70" s="54">
        <f>IF(J70&gt;0,1,0)</f>
        <v>0</v>
      </c>
      <c r="L70" s="14"/>
      <c r="M70" s="125"/>
      <c r="N70" s="104"/>
      <c r="O70" s="104"/>
      <c r="P70" s="104"/>
      <c r="Q70" s="112">
        <f>IF(O70&gt;1.2, 1.2, O70)</f>
        <v>0</v>
      </c>
      <c r="R70" s="112">
        <f>IF(O70&gt;3,1.8,MAX(0,O70-1.2))</f>
        <v>0</v>
      </c>
      <c r="S70" s="112">
        <f t="shared" si="52"/>
        <v>0</v>
      </c>
      <c r="T70" s="112">
        <f t="shared" si="53"/>
        <v>0</v>
      </c>
      <c r="U70" s="112">
        <f>(2*M70)+(2*N70)</f>
        <v>0</v>
      </c>
      <c r="V70" s="112">
        <f t="shared" si="55"/>
        <v>0</v>
      </c>
      <c r="W70" s="112">
        <f>M70*N70</f>
        <v>0</v>
      </c>
      <c r="Y70" s="104"/>
      <c r="Z70" s="104"/>
      <c r="AA70" s="104"/>
      <c r="AB70" s="112">
        <f t="shared" si="57"/>
        <v>0</v>
      </c>
      <c r="AC70" s="112">
        <f t="shared" si="58"/>
        <v>0</v>
      </c>
      <c r="AD70" s="112">
        <f t="shared" si="59"/>
        <v>0</v>
      </c>
      <c r="AE70" s="54">
        <f t="shared" si="60"/>
        <v>0</v>
      </c>
      <c r="AG70" s="33">
        <f>IF(F70="RURAL",M70*N70*(O70-0.1),0)</f>
        <v>0</v>
      </c>
      <c r="AH70" s="33">
        <f>IF(F70="NATIONAL",(O70-0.45)*M70*N70,0)</f>
        <v>0</v>
      </c>
      <c r="AI70" s="33">
        <f>IF(F70="RURAL",(M70+0.2)*(N70+0.2),0)</f>
        <v>0</v>
      </c>
      <c r="AJ70" s="33">
        <f>IF(F70="NATIONAL",M70*N70,0)</f>
        <v>0</v>
      </c>
    </row>
    <row r="71" spans="1:36" x14ac:dyDescent="0.35">
      <c r="A71" s="115"/>
      <c r="B71" s="115"/>
      <c r="C71" s="115"/>
      <c r="D71" s="115"/>
      <c r="E71" s="115"/>
      <c r="F71" s="32"/>
      <c r="G71" s="32"/>
      <c r="H71" s="125"/>
      <c r="I71" s="104"/>
      <c r="J71" s="104"/>
      <c r="K71" s="54">
        <f t="shared" ref="K71:K88" si="74">IF(J71&gt;0,1,0)</f>
        <v>0</v>
      </c>
      <c r="L71" s="14"/>
      <c r="M71" s="125"/>
      <c r="N71" s="104"/>
      <c r="O71" s="104"/>
      <c r="P71" s="104"/>
      <c r="Q71" s="112">
        <f t="shared" ref="Q71:Q88" si="75">IF(O71&gt;1.2, 1.2, O71)</f>
        <v>0</v>
      </c>
      <c r="R71" s="112">
        <f t="shared" ref="R71:R88" si="76">IF(O71&gt;3,1.8,MAX(0,O71-1.2))</f>
        <v>0</v>
      </c>
      <c r="S71" s="112">
        <f t="shared" ref="S71:S88" si="77">M71*N71*Q71</f>
        <v>0</v>
      </c>
      <c r="T71" s="112">
        <f t="shared" ref="T71:T88" si="78">M71*N71*R71</f>
        <v>0</v>
      </c>
      <c r="U71" s="112">
        <f t="shared" ref="U71:U88" si="79">(2*M71)+(2*N71)</f>
        <v>0</v>
      </c>
      <c r="V71" s="112">
        <f t="shared" ref="V71:V88" si="80">M71*N71*P71</f>
        <v>0</v>
      </c>
      <c r="W71" s="112">
        <f t="shared" ref="W71:W88" si="81">M71*N71</f>
        <v>0</v>
      </c>
      <c r="Y71" s="53"/>
      <c r="Z71" s="53"/>
      <c r="AA71" s="53"/>
      <c r="AB71" s="112">
        <f t="shared" ref="AB71:AB88" si="82">IF(AA71&gt;3, 3, AA71)</f>
        <v>0</v>
      </c>
      <c r="AC71" s="112">
        <f t="shared" ref="AC71:AC88" si="83">IF(AA71&gt;4.5,4.5,MAX(0,AA71-3))</f>
        <v>0</v>
      </c>
      <c r="AD71" s="112">
        <f t="shared" ref="AD71:AD88" si="84">Y71*Z71*AB71</f>
        <v>0</v>
      </c>
      <c r="AE71" s="54">
        <f t="shared" ref="AE71:AE88" si="85">Y71*Z71*AC71</f>
        <v>0</v>
      </c>
      <c r="AG71" s="33">
        <f>IF(F71="RURAL",M71*N71*(O71-0.1),0)</f>
        <v>0</v>
      </c>
      <c r="AH71" s="33">
        <f>IF(F71="NATIONAL",(O71-0.45)*M71*N71,0)</f>
        <v>0</v>
      </c>
      <c r="AI71" s="33">
        <f>IF(F71="RURAL",(M71+0.2)*(N71+0.2),0)</f>
        <v>0</v>
      </c>
      <c r="AJ71" s="33">
        <f>IF(F71="NATIONAL",M71*N71,0)</f>
        <v>0</v>
      </c>
    </row>
    <row r="72" spans="1:36" x14ac:dyDescent="0.35">
      <c r="A72" s="115"/>
      <c r="B72" s="115"/>
      <c r="C72" s="115"/>
      <c r="D72" s="115"/>
      <c r="E72" s="115"/>
      <c r="F72" s="32"/>
      <c r="G72" s="32"/>
      <c r="H72" s="125"/>
      <c r="I72" s="104"/>
      <c r="J72" s="104"/>
      <c r="K72" s="54">
        <f t="shared" si="74"/>
        <v>0</v>
      </c>
      <c r="L72" s="14"/>
      <c r="M72" s="125"/>
      <c r="N72" s="104"/>
      <c r="O72" s="104"/>
      <c r="P72" s="104"/>
      <c r="Q72" s="112">
        <f t="shared" si="75"/>
        <v>0</v>
      </c>
      <c r="R72" s="112">
        <f t="shared" si="76"/>
        <v>0</v>
      </c>
      <c r="S72" s="112">
        <f t="shared" si="77"/>
        <v>0</v>
      </c>
      <c r="T72" s="112">
        <f t="shared" si="78"/>
        <v>0</v>
      </c>
      <c r="U72" s="112">
        <f t="shared" si="79"/>
        <v>0</v>
      </c>
      <c r="V72" s="112">
        <f t="shared" si="80"/>
        <v>0</v>
      </c>
      <c r="W72" s="112">
        <f t="shared" si="81"/>
        <v>0</v>
      </c>
      <c r="Y72" s="53"/>
      <c r="Z72" s="53"/>
      <c r="AA72" s="53"/>
      <c r="AB72" s="112">
        <f t="shared" si="82"/>
        <v>0</v>
      </c>
      <c r="AC72" s="112">
        <f t="shared" si="83"/>
        <v>0</v>
      </c>
      <c r="AD72" s="112">
        <f t="shared" si="84"/>
        <v>0</v>
      </c>
      <c r="AE72" s="54">
        <f t="shared" si="85"/>
        <v>0</v>
      </c>
      <c r="AG72" s="33">
        <f t="shared" ref="AG72:AG88" si="86">IF(F72="RURAL",M72*N72*(O72-0.1),0)</f>
        <v>0</v>
      </c>
      <c r="AH72" s="33">
        <f t="shared" ref="AH72:AH88" si="87">IF(F72="NATIONAL",(O72-0.45)*M72*N72,0)</f>
        <v>0</v>
      </c>
      <c r="AI72" s="33">
        <f t="shared" ref="AI72:AI88" si="88">IF(F72="RURAL",(M72+0.2)*(N72+0.2),0)</f>
        <v>0</v>
      </c>
      <c r="AJ72" s="33">
        <f t="shared" ref="AJ72:AJ88" si="89">IF(F72="NATIONAL",M72*N72,0)</f>
        <v>0</v>
      </c>
    </row>
    <row r="73" spans="1:36" x14ac:dyDescent="0.35">
      <c r="A73" s="115"/>
      <c r="B73" s="115"/>
      <c r="C73" s="115"/>
      <c r="D73" s="115"/>
      <c r="E73" s="115"/>
      <c r="F73" s="32"/>
      <c r="G73" s="32"/>
      <c r="H73" s="125"/>
      <c r="I73" s="104"/>
      <c r="J73" s="104"/>
      <c r="K73" s="54">
        <f t="shared" si="74"/>
        <v>0</v>
      </c>
      <c r="L73" s="14"/>
      <c r="M73" s="125"/>
      <c r="N73" s="104"/>
      <c r="O73" s="104"/>
      <c r="P73" s="104"/>
      <c r="Q73" s="112">
        <f t="shared" si="75"/>
        <v>0</v>
      </c>
      <c r="R73" s="112">
        <f t="shared" si="76"/>
        <v>0</v>
      </c>
      <c r="S73" s="112">
        <f t="shared" si="77"/>
        <v>0</v>
      </c>
      <c r="T73" s="112">
        <f t="shared" si="78"/>
        <v>0</v>
      </c>
      <c r="U73" s="112">
        <f t="shared" si="79"/>
        <v>0</v>
      </c>
      <c r="V73" s="112">
        <f t="shared" si="80"/>
        <v>0</v>
      </c>
      <c r="W73" s="112">
        <f t="shared" si="81"/>
        <v>0</v>
      </c>
      <c r="Y73" s="53"/>
      <c r="Z73" s="53"/>
      <c r="AA73" s="53"/>
      <c r="AB73" s="112">
        <f t="shared" si="82"/>
        <v>0</v>
      </c>
      <c r="AC73" s="112">
        <f t="shared" si="83"/>
        <v>0</v>
      </c>
      <c r="AD73" s="112">
        <f t="shared" si="84"/>
        <v>0</v>
      </c>
      <c r="AE73" s="54">
        <f t="shared" si="85"/>
        <v>0</v>
      </c>
      <c r="AG73" s="33">
        <f t="shared" si="86"/>
        <v>0</v>
      </c>
      <c r="AH73" s="33">
        <f t="shared" si="87"/>
        <v>0</v>
      </c>
      <c r="AI73" s="33">
        <f t="shared" si="88"/>
        <v>0</v>
      </c>
      <c r="AJ73" s="33">
        <f t="shared" si="89"/>
        <v>0</v>
      </c>
    </row>
    <row r="74" spans="1:36" x14ac:dyDescent="0.35">
      <c r="A74" s="115"/>
      <c r="B74" s="115"/>
      <c r="C74" s="115"/>
      <c r="D74" s="115"/>
      <c r="E74" s="115"/>
      <c r="F74" s="32"/>
      <c r="G74" s="32"/>
      <c r="H74" s="125"/>
      <c r="I74" s="104"/>
      <c r="J74" s="104"/>
      <c r="K74" s="54">
        <f t="shared" si="74"/>
        <v>0</v>
      </c>
      <c r="L74" s="14"/>
      <c r="M74" s="125"/>
      <c r="N74" s="104"/>
      <c r="O74" s="104"/>
      <c r="P74" s="104"/>
      <c r="Q74" s="112">
        <f t="shared" si="75"/>
        <v>0</v>
      </c>
      <c r="R74" s="112">
        <f t="shared" si="76"/>
        <v>0</v>
      </c>
      <c r="S74" s="112">
        <f t="shared" si="77"/>
        <v>0</v>
      </c>
      <c r="T74" s="112">
        <f t="shared" si="78"/>
        <v>0</v>
      </c>
      <c r="U74" s="112">
        <f t="shared" si="79"/>
        <v>0</v>
      </c>
      <c r="V74" s="112">
        <f t="shared" si="80"/>
        <v>0</v>
      </c>
      <c r="W74" s="112">
        <f t="shared" si="81"/>
        <v>0</v>
      </c>
      <c r="Y74" s="53"/>
      <c r="Z74" s="53"/>
      <c r="AA74" s="53"/>
      <c r="AB74" s="112">
        <f t="shared" si="82"/>
        <v>0</v>
      </c>
      <c r="AC74" s="112">
        <f t="shared" si="83"/>
        <v>0</v>
      </c>
      <c r="AD74" s="112">
        <f t="shared" si="84"/>
        <v>0</v>
      </c>
      <c r="AE74" s="54">
        <f t="shared" si="85"/>
        <v>0</v>
      </c>
      <c r="AG74" s="33">
        <f t="shared" si="86"/>
        <v>0</v>
      </c>
      <c r="AH74" s="33">
        <f t="shared" si="87"/>
        <v>0</v>
      </c>
      <c r="AI74" s="33">
        <f t="shared" si="88"/>
        <v>0</v>
      </c>
      <c r="AJ74" s="33">
        <f t="shared" si="89"/>
        <v>0</v>
      </c>
    </row>
    <row r="75" spans="1:36" x14ac:dyDescent="0.35">
      <c r="A75" s="32"/>
      <c r="B75" s="32"/>
      <c r="C75" s="32"/>
      <c r="D75" s="32"/>
      <c r="E75" s="32"/>
      <c r="F75" s="32"/>
      <c r="G75" s="32"/>
      <c r="H75" s="53"/>
      <c r="I75" s="53"/>
      <c r="J75" s="104"/>
      <c r="K75" s="54">
        <f t="shared" si="74"/>
        <v>0</v>
      </c>
      <c r="L75" s="14"/>
      <c r="M75" s="53"/>
      <c r="N75" s="53"/>
      <c r="O75" s="53"/>
      <c r="P75" s="53"/>
      <c r="Q75" s="112">
        <f t="shared" si="75"/>
        <v>0</v>
      </c>
      <c r="R75" s="112">
        <f t="shared" si="76"/>
        <v>0</v>
      </c>
      <c r="S75" s="112">
        <f t="shared" si="77"/>
        <v>0</v>
      </c>
      <c r="T75" s="112">
        <f t="shared" si="78"/>
        <v>0</v>
      </c>
      <c r="U75" s="112">
        <f t="shared" si="79"/>
        <v>0</v>
      </c>
      <c r="V75" s="112">
        <f t="shared" si="80"/>
        <v>0</v>
      </c>
      <c r="W75" s="112">
        <f t="shared" si="81"/>
        <v>0</v>
      </c>
      <c r="Y75" s="53"/>
      <c r="Z75" s="53"/>
      <c r="AA75" s="53"/>
      <c r="AB75" s="112">
        <f t="shared" si="82"/>
        <v>0</v>
      </c>
      <c r="AC75" s="112">
        <f t="shared" si="83"/>
        <v>0</v>
      </c>
      <c r="AD75" s="112">
        <f t="shared" si="84"/>
        <v>0</v>
      </c>
      <c r="AE75" s="54">
        <f t="shared" si="85"/>
        <v>0</v>
      </c>
      <c r="AG75" s="33">
        <f t="shared" si="86"/>
        <v>0</v>
      </c>
      <c r="AH75" s="33">
        <f t="shared" si="87"/>
        <v>0</v>
      </c>
      <c r="AI75" s="33">
        <f t="shared" si="88"/>
        <v>0</v>
      </c>
      <c r="AJ75" s="33">
        <f t="shared" si="89"/>
        <v>0</v>
      </c>
    </row>
    <row r="76" spans="1:36" x14ac:dyDescent="0.35">
      <c r="A76" s="32"/>
      <c r="B76" s="32"/>
      <c r="C76" s="32"/>
      <c r="D76" s="32"/>
      <c r="E76" s="32"/>
      <c r="F76" s="32"/>
      <c r="G76" s="32"/>
      <c r="H76" s="53"/>
      <c r="I76" s="53"/>
      <c r="J76" s="104"/>
      <c r="K76" s="54">
        <f t="shared" si="74"/>
        <v>0</v>
      </c>
      <c r="L76" s="14"/>
      <c r="M76" s="53"/>
      <c r="N76" s="53"/>
      <c r="O76" s="53"/>
      <c r="P76" s="53"/>
      <c r="Q76" s="112">
        <f t="shared" si="75"/>
        <v>0</v>
      </c>
      <c r="R76" s="112">
        <f t="shared" si="76"/>
        <v>0</v>
      </c>
      <c r="S76" s="112">
        <f t="shared" si="77"/>
        <v>0</v>
      </c>
      <c r="T76" s="112">
        <f t="shared" si="78"/>
        <v>0</v>
      </c>
      <c r="U76" s="112">
        <f t="shared" si="79"/>
        <v>0</v>
      </c>
      <c r="V76" s="112">
        <f t="shared" si="80"/>
        <v>0</v>
      </c>
      <c r="W76" s="112">
        <f t="shared" si="81"/>
        <v>0</v>
      </c>
      <c r="Y76" s="53"/>
      <c r="Z76" s="53"/>
      <c r="AA76" s="53"/>
      <c r="AB76" s="112">
        <f t="shared" si="82"/>
        <v>0</v>
      </c>
      <c r="AC76" s="112">
        <f t="shared" si="83"/>
        <v>0</v>
      </c>
      <c r="AD76" s="112">
        <f t="shared" si="84"/>
        <v>0</v>
      </c>
      <c r="AE76" s="54">
        <f t="shared" si="85"/>
        <v>0</v>
      </c>
      <c r="AG76" s="33">
        <f t="shared" si="86"/>
        <v>0</v>
      </c>
      <c r="AH76" s="33">
        <f t="shared" si="87"/>
        <v>0</v>
      </c>
      <c r="AI76" s="33">
        <f t="shared" si="88"/>
        <v>0</v>
      </c>
      <c r="AJ76" s="33">
        <f t="shared" si="89"/>
        <v>0</v>
      </c>
    </row>
    <row r="77" spans="1:36" x14ac:dyDescent="0.35">
      <c r="A77" s="32"/>
      <c r="B77" s="32"/>
      <c r="C77" s="32"/>
      <c r="D77" s="32"/>
      <c r="E77" s="32"/>
      <c r="F77" s="32"/>
      <c r="G77" s="32"/>
      <c r="H77" s="53"/>
      <c r="I77" s="53"/>
      <c r="J77" s="104"/>
      <c r="K77" s="54">
        <f t="shared" si="74"/>
        <v>0</v>
      </c>
      <c r="L77" s="14"/>
      <c r="M77" s="53"/>
      <c r="N77" s="53"/>
      <c r="O77" s="53"/>
      <c r="P77" s="53"/>
      <c r="Q77" s="112">
        <f t="shared" si="75"/>
        <v>0</v>
      </c>
      <c r="R77" s="112">
        <f t="shared" si="76"/>
        <v>0</v>
      </c>
      <c r="S77" s="112">
        <f t="shared" si="77"/>
        <v>0</v>
      </c>
      <c r="T77" s="112">
        <f t="shared" si="78"/>
        <v>0</v>
      </c>
      <c r="U77" s="112">
        <f t="shared" si="79"/>
        <v>0</v>
      </c>
      <c r="V77" s="112">
        <f t="shared" si="80"/>
        <v>0</v>
      </c>
      <c r="W77" s="112">
        <f t="shared" si="81"/>
        <v>0</v>
      </c>
      <c r="Y77" s="53"/>
      <c r="Z77" s="53"/>
      <c r="AA77" s="53"/>
      <c r="AB77" s="112">
        <f t="shared" si="82"/>
        <v>0</v>
      </c>
      <c r="AC77" s="112">
        <f t="shared" si="83"/>
        <v>0</v>
      </c>
      <c r="AD77" s="112">
        <f t="shared" si="84"/>
        <v>0</v>
      </c>
      <c r="AE77" s="54">
        <f t="shared" si="85"/>
        <v>0</v>
      </c>
      <c r="AG77" s="33">
        <f t="shared" si="86"/>
        <v>0</v>
      </c>
      <c r="AH77" s="33">
        <f t="shared" si="87"/>
        <v>0</v>
      </c>
      <c r="AI77" s="33">
        <f t="shared" si="88"/>
        <v>0</v>
      </c>
      <c r="AJ77" s="33">
        <f t="shared" si="89"/>
        <v>0</v>
      </c>
    </row>
    <row r="78" spans="1:36" x14ac:dyDescent="0.35">
      <c r="A78" s="32"/>
      <c r="B78" s="32"/>
      <c r="C78" s="32"/>
      <c r="D78" s="32"/>
      <c r="E78" s="32"/>
      <c r="F78" s="32"/>
      <c r="G78" s="32"/>
      <c r="H78" s="53"/>
      <c r="I78" s="53"/>
      <c r="J78" s="104"/>
      <c r="K78" s="54">
        <f t="shared" si="74"/>
        <v>0</v>
      </c>
      <c r="L78" s="14"/>
      <c r="M78" s="53"/>
      <c r="N78" s="53"/>
      <c r="O78" s="53"/>
      <c r="P78" s="53"/>
      <c r="Q78" s="112">
        <f t="shared" si="75"/>
        <v>0</v>
      </c>
      <c r="R78" s="112">
        <f t="shared" si="76"/>
        <v>0</v>
      </c>
      <c r="S78" s="112">
        <f t="shared" si="77"/>
        <v>0</v>
      </c>
      <c r="T78" s="112">
        <f t="shared" si="78"/>
        <v>0</v>
      </c>
      <c r="U78" s="112">
        <f t="shared" si="79"/>
        <v>0</v>
      </c>
      <c r="V78" s="112">
        <f t="shared" si="80"/>
        <v>0</v>
      </c>
      <c r="W78" s="112">
        <f t="shared" si="81"/>
        <v>0</v>
      </c>
      <c r="Y78" s="53"/>
      <c r="Z78" s="53"/>
      <c r="AA78" s="53"/>
      <c r="AB78" s="112">
        <f t="shared" si="82"/>
        <v>0</v>
      </c>
      <c r="AC78" s="112">
        <f t="shared" si="83"/>
        <v>0</v>
      </c>
      <c r="AD78" s="112">
        <f t="shared" si="84"/>
        <v>0</v>
      </c>
      <c r="AE78" s="54">
        <f t="shared" si="85"/>
        <v>0</v>
      </c>
      <c r="AG78" s="33">
        <f t="shared" si="86"/>
        <v>0</v>
      </c>
      <c r="AH78" s="33">
        <f t="shared" si="87"/>
        <v>0</v>
      </c>
      <c r="AI78" s="33">
        <f t="shared" si="88"/>
        <v>0</v>
      </c>
      <c r="AJ78" s="33">
        <f t="shared" si="89"/>
        <v>0</v>
      </c>
    </row>
    <row r="79" spans="1:36" x14ac:dyDescent="0.35">
      <c r="A79" s="32"/>
      <c r="B79" s="32"/>
      <c r="C79" s="32"/>
      <c r="D79" s="32"/>
      <c r="E79" s="32"/>
      <c r="F79" s="32"/>
      <c r="G79" s="32"/>
      <c r="H79" s="53"/>
      <c r="I79" s="53"/>
      <c r="J79" s="104"/>
      <c r="K79" s="54">
        <f t="shared" si="74"/>
        <v>0</v>
      </c>
      <c r="L79" s="14"/>
      <c r="M79" s="53"/>
      <c r="N79" s="53"/>
      <c r="O79" s="53"/>
      <c r="P79" s="53"/>
      <c r="Q79" s="112">
        <f t="shared" si="75"/>
        <v>0</v>
      </c>
      <c r="R79" s="112">
        <f t="shared" si="76"/>
        <v>0</v>
      </c>
      <c r="S79" s="112">
        <f t="shared" si="77"/>
        <v>0</v>
      </c>
      <c r="T79" s="112">
        <f t="shared" si="78"/>
        <v>0</v>
      </c>
      <c r="U79" s="112">
        <f t="shared" si="79"/>
        <v>0</v>
      </c>
      <c r="V79" s="112">
        <f t="shared" si="80"/>
        <v>0</v>
      </c>
      <c r="W79" s="112">
        <f t="shared" si="81"/>
        <v>0</v>
      </c>
      <c r="Y79" s="53"/>
      <c r="Z79" s="53"/>
      <c r="AA79" s="53"/>
      <c r="AB79" s="112">
        <f t="shared" si="82"/>
        <v>0</v>
      </c>
      <c r="AC79" s="112">
        <f t="shared" si="83"/>
        <v>0</v>
      </c>
      <c r="AD79" s="112">
        <f t="shared" si="84"/>
        <v>0</v>
      </c>
      <c r="AE79" s="54">
        <f t="shared" si="85"/>
        <v>0</v>
      </c>
      <c r="AG79" s="33">
        <f t="shared" si="86"/>
        <v>0</v>
      </c>
      <c r="AH79" s="33">
        <f t="shared" si="87"/>
        <v>0</v>
      </c>
      <c r="AI79" s="33">
        <f t="shared" si="88"/>
        <v>0</v>
      </c>
      <c r="AJ79" s="33">
        <f t="shared" si="89"/>
        <v>0</v>
      </c>
    </row>
    <row r="80" spans="1:36" x14ac:dyDescent="0.35">
      <c r="A80" s="32"/>
      <c r="B80" s="32"/>
      <c r="C80" s="32"/>
      <c r="D80" s="32"/>
      <c r="E80" s="32"/>
      <c r="F80" s="32"/>
      <c r="G80" s="32"/>
      <c r="H80" s="53"/>
      <c r="I80" s="53"/>
      <c r="J80" s="104"/>
      <c r="K80" s="54">
        <f t="shared" si="74"/>
        <v>0</v>
      </c>
      <c r="L80" s="14"/>
      <c r="M80" s="53"/>
      <c r="N80" s="53"/>
      <c r="O80" s="53"/>
      <c r="P80" s="53"/>
      <c r="Q80" s="112">
        <f t="shared" si="75"/>
        <v>0</v>
      </c>
      <c r="R80" s="112">
        <f t="shared" si="76"/>
        <v>0</v>
      </c>
      <c r="S80" s="112">
        <f t="shared" si="77"/>
        <v>0</v>
      </c>
      <c r="T80" s="112">
        <f t="shared" si="78"/>
        <v>0</v>
      </c>
      <c r="U80" s="112">
        <f t="shared" si="79"/>
        <v>0</v>
      </c>
      <c r="V80" s="112">
        <f t="shared" si="80"/>
        <v>0</v>
      </c>
      <c r="W80" s="112">
        <f t="shared" si="81"/>
        <v>0</v>
      </c>
      <c r="Y80" s="53"/>
      <c r="Z80" s="53"/>
      <c r="AA80" s="53"/>
      <c r="AB80" s="112">
        <f t="shared" si="82"/>
        <v>0</v>
      </c>
      <c r="AC80" s="112">
        <f t="shared" si="83"/>
        <v>0</v>
      </c>
      <c r="AD80" s="112">
        <f t="shared" si="84"/>
        <v>0</v>
      </c>
      <c r="AE80" s="54">
        <f t="shared" si="85"/>
        <v>0</v>
      </c>
      <c r="AG80" s="33">
        <f t="shared" si="86"/>
        <v>0</v>
      </c>
      <c r="AH80" s="33">
        <f t="shared" si="87"/>
        <v>0</v>
      </c>
      <c r="AI80" s="33">
        <f t="shared" si="88"/>
        <v>0</v>
      </c>
      <c r="AJ80" s="33">
        <f t="shared" si="89"/>
        <v>0</v>
      </c>
    </row>
    <row r="81" spans="1:36" x14ac:dyDescent="0.35">
      <c r="A81" s="32"/>
      <c r="B81" s="32"/>
      <c r="C81" s="32"/>
      <c r="D81" s="32"/>
      <c r="E81" s="32"/>
      <c r="F81" s="32"/>
      <c r="G81" s="32"/>
      <c r="H81" s="53"/>
      <c r="I81" s="53"/>
      <c r="J81" s="104"/>
      <c r="K81" s="54">
        <f t="shared" si="74"/>
        <v>0</v>
      </c>
      <c r="L81" s="14"/>
      <c r="M81" s="53"/>
      <c r="N81" s="53"/>
      <c r="O81" s="53"/>
      <c r="P81" s="53"/>
      <c r="Q81" s="112">
        <f t="shared" si="75"/>
        <v>0</v>
      </c>
      <c r="R81" s="112">
        <f t="shared" si="76"/>
        <v>0</v>
      </c>
      <c r="S81" s="112">
        <f t="shared" si="77"/>
        <v>0</v>
      </c>
      <c r="T81" s="112">
        <f t="shared" si="78"/>
        <v>0</v>
      </c>
      <c r="U81" s="112">
        <f t="shared" si="79"/>
        <v>0</v>
      </c>
      <c r="V81" s="112">
        <f t="shared" si="80"/>
        <v>0</v>
      </c>
      <c r="W81" s="112">
        <f t="shared" si="81"/>
        <v>0</v>
      </c>
      <c r="Y81" s="53"/>
      <c r="Z81" s="53"/>
      <c r="AA81" s="53"/>
      <c r="AB81" s="112">
        <f t="shared" si="82"/>
        <v>0</v>
      </c>
      <c r="AC81" s="112">
        <f t="shared" si="83"/>
        <v>0</v>
      </c>
      <c r="AD81" s="112">
        <f t="shared" si="84"/>
        <v>0</v>
      </c>
      <c r="AE81" s="54">
        <f t="shared" si="85"/>
        <v>0</v>
      </c>
      <c r="AG81" s="33">
        <f t="shared" si="86"/>
        <v>0</v>
      </c>
      <c r="AH81" s="33">
        <f t="shared" si="87"/>
        <v>0</v>
      </c>
      <c r="AI81" s="33">
        <f t="shared" si="88"/>
        <v>0</v>
      </c>
      <c r="AJ81" s="33">
        <f t="shared" si="89"/>
        <v>0</v>
      </c>
    </row>
    <row r="82" spans="1:36" x14ac:dyDescent="0.35">
      <c r="A82" s="32"/>
      <c r="B82" s="32"/>
      <c r="C82" s="32"/>
      <c r="D82" s="32"/>
      <c r="E82" s="32"/>
      <c r="F82" s="32"/>
      <c r="G82" s="32"/>
      <c r="H82" s="53"/>
      <c r="I82" s="53"/>
      <c r="J82" s="104"/>
      <c r="K82" s="54">
        <f t="shared" si="74"/>
        <v>0</v>
      </c>
      <c r="L82" s="14"/>
      <c r="M82" s="53"/>
      <c r="N82" s="53"/>
      <c r="O82" s="53"/>
      <c r="P82" s="53"/>
      <c r="Q82" s="112">
        <f t="shared" si="75"/>
        <v>0</v>
      </c>
      <c r="R82" s="112">
        <f t="shared" si="76"/>
        <v>0</v>
      </c>
      <c r="S82" s="112">
        <f t="shared" si="77"/>
        <v>0</v>
      </c>
      <c r="T82" s="112">
        <f t="shared" si="78"/>
        <v>0</v>
      </c>
      <c r="U82" s="112">
        <f t="shared" si="79"/>
        <v>0</v>
      </c>
      <c r="V82" s="112">
        <f t="shared" si="80"/>
        <v>0</v>
      </c>
      <c r="W82" s="112">
        <f t="shared" si="81"/>
        <v>0</v>
      </c>
      <c r="Y82" s="53"/>
      <c r="Z82" s="53"/>
      <c r="AA82" s="53"/>
      <c r="AB82" s="112">
        <f t="shared" si="82"/>
        <v>0</v>
      </c>
      <c r="AC82" s="112">
        <f t="shared" si="83"/>
        <v>0</v>
      </c>
      <c r="AD82" s="112">
        <f t="shared" si="84"/>
        <v>0</v>
      </c>
      <c r="AE82" s="54">
        <f t="shared" si="85"/>
        <v>0</v>
      </c>
      <c r="AG82" s="33">
        <f t="shared" si="86"/>
        <v>0</v>
      </c>
      <c r="AH82" s="33">
        <f t="shared" si="87"/>
        <v>0</v>
      </c>
      <c r="AI82" s="33">
        <f t="shared" si="88"/>
        <v>0</v>
      </c>
      <c r="AJ82" s="33">
        <f t="shared" si="89"/>
        <v>0</v>
      </c>
    </row>
    <row r="83" spans="1:36" x14ac:dyDescent="0.35">
      <c r="A83" s="32"/>
      <c r="B83" s="32"/>
      <c r="C83" s="32"/>
      <c r="D83" s="32"/>
      <c r="E83" s="32"/>
      <c r="F83" s="32"/>
      <c r="G83" s="32"/>
      <c r="H83" s="53"/>
      <c r="I83" s="53"/>
      <c r="J83" s="104"/>
      <c r="K83" s="54">
        <f t="shared" si="74"/>
        <v>0</v>
      </c>
      <c r="L83" s="14"/>
      <c r="M83" s="53"/>
      <c r="N83" s="53"/>
      <c r="O83" s="53"/>
      <c r="P83" s="53"/>
      <c r="Q83" s="112">
        <f t="shared" si="75"/>
        <v>0</v>
      </c>
      <c r="R83" s="112">
        <f t="shared" si="76"/>
        <v>0</v>
      </c>
      <c r="S83" s="112">
        <f t="shared" si="77"/>
        <v>0</v>
      </c>
      <c r="T83" s="112">
        <f t="shared" si="78"/>
        <v>0</v>
      </c>
      <c r="U83" s="112">
        <f t="shared" si="79"/>
        <v>0</v>
      </c>
      <c r="V83" s="112">
        <f t="shared" si="80"/>
        <v>0</v>
      </c>
      <c r="W83" s="112">
        <f t="shared" si="81"/>
        <v>0</v>
      </c>
      <c r="Y83" s="53"/>
      <c r="Z83" s="53"/>
      <c r="AA83" s="53"/>
      <c r="AB83" s="112">
        <f t="shared" si="82"/>
        <v>0</v>
      </c>
      <c r="AC83" s="112">
        <f t="shared" si="83"/>
        <v>0</v>
      </c>
      <c r="AD83" s="112">
        <f t="shared" si="84"/>
        <v>0</v>
      </c>
      <c r="AE83" s="54">
        <f t="shared" si="85"/>
        <v>0</v>
      </c>
      <c r="AG83" s="33">
        <f t="shared" si="86"/>
        <v>0</v>
      </c>
      <c r="AH83" s="33">
        <f t="shared" si="87"/>
        <v>0</v>
      </c>
      <c r="AI83" s="33">
        <f t="shared" si="88"/>
        <v>0</v>
      </c>
      <c r="AJ83" s="33">
        <f t="shared" si="89"/>
        <v>0</v>
      </c>
    </row>
    <row r="84" spans="1:36" x14ac:dyDescent="0.35">
      <c r="A84" s="32"/>
      <c r="B84" s="32"/>
      <c r="C84" s="32"/>
      <c r="D84" s="32"/>
      <c r="E84" s="32"/>
      <c r="F84" s="32"/>
      <c r="G84" s="32"/>
      <c r="H84" s="53"/>
      <c r="I84" s="53"/>
      <c r="J84" s="104"/>
      <c r="K84" s="54">
        <f t="shared" si="74"/>
        <v>0</v>
      </c>
      <c r="L84" s="14"/>
      <c r="M84" s="53"/>
      <c r="N84" s="53"/>
      <c r="O84" s="53"/>
      <c r="P84" s="53"/>
      <c r="Q84" s="112">
        <f t="shared" si="75"/>
        <v>0</v>
      </c>
      <c r="R84" s="112">
        <f t="shared" si="76"/>
        <v>0</v>
      </c>
      <c r="S84" s="112">
        <f t="shared" si="77"/>
        <v>0</v>
      </c>
      <c r="T84" s="112">
        <f t="shared" si="78"/>
        <v>0</v>
      </c>
      <c r="U84" s="112">
        <f t="shared" si="79"/>
        <v>0</v>
      </c>
      <c r="V84" s="112">
        <f t="shared" si="80"/>
        <v>0</v>
      </c>
      <c r="W84" s="112">
        <f t="shared" si="81"/>
        <v>0</v>
      </c>
      <c r="Y84" s="53"/>
      <c r="Z84" s="53"/>
      <c r="AA84" s="53"/>
      <c r="AB84" s="112">
        <f t="shared" si="82"/>
        <v>0</v>
      </c>
      <c r="AC84" s="112">
        <f t="shared" si="83"/>
        <v>0</v>
      </c>
      <c r="AD84" s="112">
        <f t="shared" si="84"/>
        <v>0</v>
      </c>
      <c r="AE84" s="54">
        <f t="shared" si="85"/>
        <v>0</v>
      </c>
      <c r="AG84" s="33">
        <f t="shared" si="86"/>
        <v>0</v>
      </c>
      <c r="AH84" s="33">
        <f t="shared" si="87"/>
        <v>0</v>
      </c>
      <c r="AI84" s="33">
        <f t="shared" si="88"/>
        <v>0</v>
      </c>
      <c r="AJ84" s="33">
        <f t="shared" si="89"/>
        <v>0</v>
      </c>
    </row>
    <row r="85" spans="1:36" x14ac:dyDescent="0.35">
      <c r="A85" s="32"/>
      <c r="B85" s="32"/>
      <c r="C85" s="32"/>
      <c r="D85" s="32"/>
      <c r="E85" s="32"/>
      <c r="F85" s="32"/>
      <c r="G85" s="32"/>
      <c r="H85" s="53"/>
      <c r="I85" s="53"/>
      <c r="J85" s="104"/>
      <c r="K85" s="54">
        <f t="shared" si="74"/>
        <v>0</v>
      </c>
      <c r="L85" s="14"/>
      <c r="M85" s="53"/>
      <c r="N85" s="53"/>
      <c r="O85" s="53"/>
      <c r="P85" s="53"/>
      <c r="Q85" s="112">
        <f t="shared" si="75"/>
        <v>0</v>
      </c>
      <c r="R85" s="112">
        <f t="shared" si="76"/>
        <v>0</v>
      </c>
      <c r="S85" s="112">
        <f t="shared" si="77"/>
        <v>0</v>
      </c>
      <c r="T85" s="112">
        <f t="shared" si="78"/>
        <v>0</v>
      </c>
      <c r="U85" s="112">
        <f t="shared" si="79"/>
        <v>0</v>
      </c>
      <c r="V85" s="112">
        <f t="shared" si="80"/>
        <v>0</v>
      </c>
      <c r="W85" s="112">
        <f t="shared" si="81"/>
        <v>0</v>
      </c>
      <c r="Y85" s="53"/>
      <c r="Z85" s="53"/>
      <c r="AA85" s="53"/>
      <c r="AB85" s="112">
        <f t="shared" si="82"/>
        <v>0</v>
      </c>
      <c r="AC85" s="112">
        <f t="shared" si="83"/>
        <v>0</v>
      </c>
      <c r="AD85" s="112">
        <f t="shared" si="84"/>
        <v>0</v>
      </c>
      <c r="AE85" s="54">
        <f t="shared" si="85"/>
        <v>0</v>
      </c>
      <c r="AG85" s="33">
        <f t="shared" si="86"/>
        <v>0</v>
      </c>
      <c r="AH85" s="33">
        <f t="shared" si="87"/>
        <v>0</v>
      </c>
      <c r="AI85" s="33">
        <f t="shared" si="88"/>
        <v>0</v>
      </c>
      <c r="AJ85" s="33">
        <f t="shared" si="89"/>
        <v>0</v>
      </c>
    </row>
    <row r="86" spans="1:36" x14ac:dyDescent="0.35">
      <c r="A86" s="32"/>
      <c r="B86" s="32"/>
      <c r="C86" s="32"/>
      <c r="D86" s="32"/>
      <c r="E86" s="32"/>
      <c r="F86" s="32"/>
      <c r="G86" s="32"/>
      <c r="H86" s="53"/>
      <c r="I86" s="53"/>
      <c r="J86" s="104"/>
      <c r="K86" s="54">
        <f t="shared" si="74"/>
        <v>0</v>
      </c>
      <c r="L86" s="14"/>
      <c r="M86" s="53"/>
      <c r="N86" s="53"/>
      <c r="O86" s="53"/>
      <c r="P86" s="53"/>
      <c r="Q86" s="112">
        <f t="shared" si="75"/>
        <v>0</v>
      </c>
      <c r="R86" s="112">
        <f t="shared" si="76"/>
        <v>0</v>
      </c>
      <c r="S86" s="112">
        <f t="shared" si="77"/>
        <v>0</v>
      </c>
      <c r="T86" s="112">
        <f t="shared" si="78"/>
        <v>0</v>
      </c>
      <c r="U86" s="112">
        <f t="shared" si="79"/>
        <v>0</v>
      </c>
      <c r="V86" s="112">
        <f t="shared" si="80"/>
        <v>0</v>
      </c>
      <c r="W86" s="112">
        <f t="shared" si="81"/>
        <v>0</v>
      </c>
      <c r="Y86" s="53"/>
      <c r="Z86" s="53"/>
      <c r="AA86" s="53"/>
      <c r="AB86" s="112">
        <f t="shared" si="82"/>
        <v>0</v>
      </c>
      <c r="AC86" s="112">
        <f t="shared" si="83"/>
        <v>0</v>
      </c>
      <c r="AD86" s="112">
        <f t="shared" si="84"/>
        <v>0</v>
      </c>
      <c r="AE86" s="54">
        <f t="shared" si="85"/>
        <v>0</v>
      </c>
      <c r="AG86" s="33">
        <f t="shared" si="86"/>
        <v>0</v>
      </c>
      <c r="AH86" s="33">
        <f t="shared" si="87"/>
        <v>0</v>
      </c>
      <c r="AI86" s="33">
        <f t="shared" si="88"/>
        <v>0</v>
      </c>
      <c r="AJ86" s="33">
        <f t="shared" si="89"/>
        <v>0</v>
      </c>
    </row>
    <row r="87" spans="1:36" x14ac:dyDescent="0.35">
      <c r="A87" s="32"/>
      <c r="B87" s="32"/>
      <c r="C87" s="32"/>
      <c r="D87" s="32"/>
      <c r="E87" s="32"/>
      <c r="F87" s="32"/>
      <c r="G87" s="32"/>
      <c r="H87" s="53"/>
      <c r="I87" s="53"/>
      <c r="J87" s="104"/>
      <c r="K87" s="54">
        <f t="shared" si="74"/>
        <v>0</v>
      </c>
      <c r="L87" s="14"/>
      <c r="M87" s="53"/>
      <c r="N87" s="53"/>
      <c r="O87" s="53"/>
      <c r="P87" s="53"/>
      <c r="Q87" s="112">
        <f t="shared" si="75"/>
        <v>0</v>
      </c>
      <c r="R87" s="112">
        <f t="shared" si="76"/>
        <v>0</v>
      </c>
      <c r="S87" s="112">
        <f t="shared" si="77"/>
        <v>0</v>
      </c>
      <c r="T87" s="112">
        <f t="shared" si="78"/>
        <v>0</v>
      </c>
      <c r="U87" s="112">
        <f t="shared" si="79"/>
        <v>0</v>
      </c>
      <c r="V87" s="112">
        <f t="shared" si="80"/>
        <v>0</v>
      </c>
      <c r="W87" s="112">
        <f t="shared" si="81"/>
        <v>0</v>
      </c>
      <c r="Y87" s="53"/>
      <c r="Z87" s="53"/>
      <c r="AA87" s="53"/>
      <c r="AB87" s="112">
        <f t="shared" si="82"/>
        <v>0</v>
      </c>
      <c r="AC87" s="112">
        <f t="shared" si="83"/>
        <v>0</v>
      </c>
      <c r="AD87" s="112">
        <f t="shared" si="84"/>
        <v>0</v>
      </c>
      <c r="AE87" s="54">
        <f t="shared" si="85"/>
        <v>0</v>
      </c>
      <c r="AG87" s="33">
        <f t="shared" si="86"/>
        <v>0</v>
      </c>
      <c r="AH87" s="33">
        <f t="shared" si="87"/>
        <v>0</v>
      </c>
      <c r="AI87" s="33">
        <f t="shared" si="88"/>
        <v>0</v>
      </c>
      <c r="AJ87" s="33">
        <f t="shared" si="89"/>
        <v>0</v>
      </c>
    </row>
    <row r="88" spans="1:36" x14ac:dyDescent="0.35">
      <c r="A88" s="32"/>
      <c r="B88" s="32"/>
      <c r="C88" s="32"/>
      <c r="D88" s="32"/>
      <c r="E88" s="32"/>
      <c r="F88" s="32"/>
      <c r="G88" s="32"/>
      <c r="H88" s="53"/>
      <c r="I88" s="53"/>
      <c r="J88" s="104"/>
      <c r="K88" s="54">
        <f t="shared" si="74"/>
        <v>0</v>
      </c>
      <c r="L88" s="14"/>
      <c r="M88" s="53"/>
      <c r="N88" s="53"/>
      <c r="O88" s="53"/>
      <c r="P88" s="53"/>
      <c r="Q88" s="112">
        <f t="shared" si="75"/>
        <v>0</v>
      </c>
      <c r="R88" s="112">
        <f t="shared" si="76"/>
        <v>0</v>
      </c>
      <c r="S88" s="112">
        <f t="shared" si="77"/>
        <v>0</v>
      </c>
      <c r="T88" s="112">
        <f t="shared" si="78"/>
        <v>0</v>
      </c>
      <c r="U88" s="112">
        <f t="shared" si="79"/>
        <v>0</v>
      </c>
      <c r="V88" s="112">
        <f t="shared" si="80"/>
        <v>0</v>
      </c>
      <c r="W88" s="112">
        <f t="shared" si="81"/>
        <v>0</v>
      </c>
      <c r="Y88" s="53"/>
      <c r="Z88" s="53"/>
      <c r="AA88" s="53"/>
      <c r="AB88" s="112">
        <f t="shared" si="82"/>
        <v>0</v>
      </c>
      <c r="AC88" s="112">
        <f t="shared" si="83"/>
        <v>0</v>
      </c>
      <c r="AD88" s="112">
        <f t="shared" si="84"/>
        <v>0</v>
      </c>
      <c r="AE88" s="54">
        <f t="shared" si="85"/>
        <v>0</v>
      </c>
      <c r="AG88" s="33">
        <f t="shared" si="86"/>
        <v>0</v>
      </c>
      <c r="AH88" s="33">
        <f t="shared" si="87"/>
        <v>0</v>
      </c>
      <c r="AI88" s="33">
        <f t="shared" si="88"/>
        <v>0</v>
      </c>
      <c r="AJ88" s="33">
        <f t="shared" si="89"/>
        <v>0</v>
      </c>
    </row>
    <row r="89" spans="1:36" x14ac:dyDescent="0.35">
      <c r="A89" s="32"/>
      <c r="B89" s="32"/>
      <c r="C89" s="32"/>
      <c r="D89" s="32"/>
      <c r="E89" s="32"/>
      <c r="F89" s="32"/>
      <c r="G89" s="32"/>
      <c r="H89" s="53"/>
      <c r="I89" s="53"/>
      <c r="J89" s="104"/>
      <c r="K89" s="54">
        <f t="shared" si="49"/>
        <v>0</v>
      </c>
      <c r="L89" s="14"/>
      <c r="M89" s="104"/>
      <c r="N89" s="104"/>
      <c r="O89" s="104"/>
      <c r="P89" s="53"/>
      <c r="Q89" s="112">
        <f t="shared" si="50"/>
        <v>0</v>
      </c>
      <c r="R89" s="112">
        <f t="shared" si="51"/>
        <v>0</v>
      </c>
      <c r="S89" s="112">
        <f t="shared" si="52"/>
        <v>0</v>
      </c>
      <c r="T89" s="112">
        <f t="shared" si="53"/>
        <v>0</v>
      </c>
      <c r="U89" s="112">
        <f t="shared" si="54"/>
        <v>0</v>
      </c>
      <c r="V89" s="112">
        <f t="shared" si="55"/>
        <v>0</v>
      </c>
      <c r="W89" s="112">
        <f t="shared" si="56"/>
        <v>0</v>
      </c>
      <c r="Y89" s="53"/>
      <c r="Z89" s="53"/>
      <c r="AA89" s="53"/>
      <c r="AB89" s="112">
        <f t="shared" si="57"/>
        <v>0</v>
      </c>
      <c r="AC89" s="112">
        <f t="shared" si="58"/>
        <v>0</v>
      </c>
      <c r="AD89" s="112">
        <f t="shared" si="59"/>
        <v>0</v>
      </c>
      <c r="AE89" s="54">
        <f t="shared" si="60"/>
        <v>0</v>
      </c>
      <c r="AG89" s="33">
        <f t="shared" si="61"/>
        <v>0</v>
      </c>
      <c r="AH89" s="33">
        <f t="shared" si="62"/>
        <v>0</v>
      </c>
      <c r="AI89" s="33">
        <f t="shared" si="63"/>
        <v>0</v>
      </c>
      <c r="AJ89" s="33">
        <f t="shared" si="64"/>
        <v>0</v>
      </c>
    </row>
    <row r="90" spans="1:36" x14ac:dyDescent="0.35">
      <c r="A90" s="32"/>
      <c r="B90" s="32"/>
      <c r="C90" s="32"/>
      <c r="D90" s="32"/>
      <c r="E90" s="32"/>
      <c r="F90" s="32"/>
      <c r="G90" s="32"/>
      <c r="H90" s="53"/>
      <c r="I90" s="53"/>
      <c r="J90" s="104"/>
      <c r="K90" s="54">
        <f t="shared" si="49"/>
        <v>0</v>
      </c>
      <c r="L90" s="14"/>
      <c r="M90" s="104"/>
      <c r="N90" s="104"/>
      <c r="O90" s="104"/>
      <c r="P90" s="53"/>
      <c r="Q90" s="112">
        <f t="shared" si="50"/>
        <v>0</v>
      </c>
      <c r="R90" s="112">
        <f t="shared" si="51"/>
        <v>0</v>
      </c>
      <c r="S90" s="112">
        <f t="shared" si="52"/>
        <v>0</v>
      </c>
      <c r="T90" s="112">
        <f t="shared" si="53"/>
        <v>0</v>
      </c>
      <c r="U90" s="112">
        <f t="shared" si="54"/>
        <v>0</v>
      </c>
      <c r="V90" s="112">
        <f t="shared" si="55"/>
        <v>0</v>
      </c>
      <c r="W90" s="112">
        <f t="shared" si="56"/>
        <v>0</v>
      </c>
      <c r="Y90" s="53"/>
      <c r="Z90" s="53"/>
      <c r="AA90" s="53"/>
      <c r="AB90" s="112">
        <f t="shared" si="57"/>
        <v>0</v>
      </c>
      <c r="AC90" s="112">
        <f t="shared" si="58"/>
        <v>0</v>
      </c>
      <c r="AD90" s="112">
        <f t="shared" si="59"/>
        <v>0</v>
      </c>
      <c r="AE90" s="54">
        <f t="shared" si="60"/>
        <v>0</v>
      </c>
      <c r="AG90" s="33">
        <f t="shared" si="61"/>
        <v>0</v>
      </c>
      <c r="AH90" s="33">
        <f t="shared" si="62"/>
        <v>0</v>
      </c>
      <c r="AI90" s="33">
        <f t="shared" si="63"/>
        <v>0</v>
      </c>
      <c r="AJ90" s="33">
        <f t="shared" si="64"/>
        <v>0</v>
      </c>
    </row>
    <row r="91" spans="1:36" x14ac:dyDescent="0.35">
      <c r="A91" s="32"/>
      <c r="B91" s="32"/>
      <c r="C91" s="32"/>
      <c r="D91" s="32"/>
      <c r="E91" s="32"/>
      <c r="F91" s="32"/>
      <c r="G91" s="32"/>
      <c r="H91" s="53"/>
      <c r="I91" s="53"/>
      <c r="J91" s="104"/>
      <c r="K91" s="54">
        <f t="shared" si="7"/>
        <v>0</v>
      </c>
      <c r="L91" s="14"/>
      <c r="M91" s="53"/>
      <c r="N91" s="53"/>
      <c r="O91" s="53"/>
      <c r="P91" s="53"/>
      <c r="Q91" s="112">
        <f t="shared" si="8"/>
        <v>0</v>
      </c>
      <c r="R91" s="112">
        <f t="shared" si="9"/>
        <v>0</v>
      </c>
      <c r="S91" s="112">
        <f t="shared" si="10"/>
        <v>0</v>
      </c>
      <c r="T91" s="112">
        <f t="shared" si="11"/>
        <v>0</v>
      </c>
      <c r="U91" s="112">
        <f t="shared" si="12"/>
        <v>0</v>
      </c>
      <c r="V91" s="112">
        <f t="shared" si="13"/>
        <v>0</v>
      </c>
      <c r="W91" s="112">
        <f t="shared" si="14"/>
        <v>0</v>
      </c>
      <c r="Y91" s="53"/>
      <c r="Z91" s="53"/>
      <c r="AA91" s="53"/>
      <c r="AB91" s="112">
        <f t="shared" si="15"/>
        <v>0</v>
      </c>
      <c r="AC91" s="112">
        <f t="shared" si="16"/>
        <v>0</v>
      </c>
      <c r="AD91" s="112">
        <f t="shared" si="17"/>
        <v>0</v>
      </c>
      <c r="AE91" s="54">
        <f t="shared" si="18"/>
        <v>0</v>
      </c>
      <c r="AG91" s="33">
        <f t="shared" si="45"/>
        <v>0</v>
      </c>
      <c r="AH91" s="33">
        <f t="shared" si="46"/>
        <v>0</v>
      </c>
      <c r="AI91" s="33">
        <f t="shared" si="47"/>
        <v>0</v>
      </c>
      <c r="AJ91" s="33">
        <f t="shared" si="48"/>
        <v>0</v>
      </c>
    </row>
    <row r="92" spans="1:36" x14ac:dyDescent="0.35">
      <c r="A92" s="32"/>
      <c r="B92" s="32"/>
      <c r="C92" s="32"/>
      <c r="D92" s="32"/>
      <c r="E92" s="32"/>
      <c r="F92" s="32"/>
      <c r="G92" s="32"/>
      <c r="H92" s="53"/>
      <c r="I92" s="53"/>
      <c r="J92" s="104"/>
      <c r="K92" s="54">
        <f t="shared" si="7"/>
        <v>0</v>
      </c>
      <c r="L92" s="14"/>
      <c r="M92" s="104"/>
      <c r="N92" s="104"/>
      <c r="O92" s="104"/>
      <c r="P92" s="53"/>
      <c r="Q92" s="112">
        <f t="shared" si="8"/>
        <v>0</v>
      </c>
      <c r="R92" s="112">
        <f t="shared" si="9"/>
        <v>0</v>
      </c>
      <c r="S92" s="112">
        <f t="shared" si="10"/>
        <v>0</v>
      </c>
      <c r="T92" s="112">
        <f t="shared" si="11"/>
        <v>0</v>
      </c>
      <c r="U92" s="112">
        <f t="shared" si="12"/>
        <v>0</v>
      </c>
      <c r="V92" s="112">
        <f t="shared" si="13"/>
        <v>0</v>
      </c>
      <c r="W92" s="112">
        <f t="shared" si="14"/>
        <v>0</v>
      </c>
      <c r="Y92" s="53"/>
      <c r="Z92" s="53"/>
      <c r="AA92" s="53"/>
      <c r="AB92" s="112">
        <f t="shared" si="15"/>
        <v>0</v>
      </c>
      <c r="AC92" s="112">
        <f t="shared" si="16"/>
        <v>0</v>
      </c>
      <c r="AD92" s="112">
        <f t="shared" si="17"/>
        <v>0</v>
      </c>
      <c r="AE92" s="54">
        <f t="shared" si="18"/>
        <v>0</v>
      </c>
      <c r="AG92" s="33">
        <f t="shared" si="45"/>
        <v>0</v>
      </c>
      <c r="AH92" s="33">
        <f t="shared" si="46"/>
        <v>0</v>
      </c>
      <c r="AI92" s="33">
        <f t="shared" si="47"/>
        <v>0</v>
      </c>
      <c r="AJ92" s="33">
        <f t="shared" si="48"/>
        <v>0</v>
      </c>
    </row>
    <row r="93" spans="1:36" ht="15" thickBot="1" x14ac:dyDescent="0.4">
      <c r="K93" s="111">
        <f>SUM(K3:K92)</f>
        <v>0</v>
      </c>
      <c r="L93" s="14"/>
      <c r="Q93" s="111">
        <f t="shared" ref="Q93:W93" si="90">SUM(Q3:Q92)</f>
        <v>0</v>
      </c>
      <c r="R93" s="111">
        <f t="shared" si="90"/>
        <v>0</v>
      </c>
      <c r="S93" s="111">
        <f t="shared" si="90"/>
        <v>0</v>
      </c>
      <c r="T93" s="111">
        <f t="shared" si="90"/>
        <v>0</v>
      </c>
      <c r="U93" s="111">
        <f t="shared" si="90"/>
        <v>0</v>
      </c>
      <c r="V93" s="111">
        <f t="shared" si="90"/>
        <v>0</v>
      </c>
      <c r="W93" s="111">
        <f t="shared" si="90"/>
        <v>0</v>
      </c>
      <c r="AB93" s="111">
        <f>SUM(AB3:AB92)</f>
        <v>0</v>
      </c>
      <c r="AC93" s="111">
        <f t="shared" ref="AC93:AE93" si="91">SUM(AC3:AC92)</f>
        <v>0</v>
      </c>
      <c r="AD93" s="111">
        <f t="shared" si="91"/>
        <v>0</v>
      </c>
      <c r="AE93" s="111">
        <f t="shared" si="91"/>
        <v>0</v>
      </c>
      <c r="AG93" s="52">
        <f>SUM(AG3:AG92)</f>
        <v>0</v>
      </c>
      <c r="AH93" s="52">
        <f>SUM(AH3:AH92)</f>
        <v>0</v>
      </c>
      <c r="AI93" s="52">
        <f>SUM(AI3:AI92)</f>
        <v>0</v>
      </c>
      <c r="AJ93" s="52">
        <f>SUM(AJ3:AJ92)</f>
        <v>0</v>
      </c>
    </row>
    <row r="94" spans="1:36" ht="15" thickTop="1" x14ac:dyDescent="0.35">
      <c r="L94" s="14"/>
    </row>
    <row r="95" spans="1:36" x14ac:dyDescent="0.35">
      <c r="L95" s="14"/>
    </row>
  </sheetData>
  <mergeCells count="3">
    <mergeCell ref="Y1:AA1"/>
    <mergeCell ref="M1:P1"/>
    <mergeCell ref="H1:J1"/>
  </mergeCells>
  <dataValidations count="3">
    <dataValidation type="list" allowBlank="1" showInputMessage="1" showErrorMessage="1" sqref="C3:C92" xr:uid="{00000000-0002-0000-0600-000000000000}">
      <formula1>"PAVED,NON-PAVED, BOTH"</formula1>
    </dataValidation>
    <dataValidation type="list" allowBlank="1" showInputMessage="1" showErrorMessage="1" sqref="B3:B92 D3:E92" xr:uid="{00000000-0002-0000-0600-000001000000}">
      <formula1>"YES,NO"</formula1>
    </dataValidation>
    <dataValidation type="list" allowBlank="1" showInputMessage="1" showErrorMessage="1" sqref="F3:F92" xr:uid="{60A3484C-0156-4513-97C6-C4C86371132F}">
      <formula1>"NATIONAL,RURAL,-"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D411EE-1FC9-4FFC-9A81-D0F461E653CD}">
          <x14:formula1>
            <xm:f>TESTS!$B$3:$B$34</xm:f>
          </x14:formula1>
          <xm:sqref>G3:G92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5"/>
  <sheetViews>
    <sheetView topLeftCell="D71" workbookViewId="0">
      <selection activeCell="H83" sqref="H83"/>
    </sheetView>
  </sheetViews>
  <sheetFormatPr defaultRowHeight="14.5" x14ac:dyDescent="0.35"/>
  <cols>
    <col min="1" max="1" width="16.26953125" customWidth="1"/>
    <col min="2" max="2" width="10.54296875" customWidth="1"/>
    <col min="3" max="3" width="11.81640625" customWidth="1"/>
    <col min="4" max="4" width="10.26953125" customWidth="1"/>
    <col min="6" max="6" width="10.54296875" customWidth="1"/>
    <col min="7" max="7" width="10.7265625" customWidth="1"/>
    <col min="8" max="8" width="10.81640625" customWidth="1"/>
    <col min="9" max="9" width="12.54296875" customWidth="1"/>
    <col min="10" max="10" width="10.1796875" customWidth="1"/>
    <col min="11" max="11" width="19.54296875" customWidth="1"/>
  </cols>
  <sheetData>
    <row r="1" spans="1:11" ht="43.5" x14ac:dyDescent="0.35">
      <c r="A1" s="29" t="s">
        <v>131</v>
      </c>
      <c r="B1" s="49" t="s">
        <v>128</v>
      </c>
      <c r="C1" s="49" t="s">
        <v>132</v>
      </c>
      <c r="D1" s="49" t="s">
        <v>129</v>
      </c>
      <c r="E1" s="49" t="s">
        <v>133</v>
      </c>
      <c r="F1" s="49" t="s">
        <v>134</v>
      </c>
      <c r="G1" s="49" t="s">
        <v>135</v>
      </c>
      <c r="H1" s="49" t="s">
        <v>53</v>
      </c>
      <c r="I1" s="49" t="s">
        <v>149</v>
      </c>
      <c r="J1" s="49" t="s">
        <v>136</v>
      </c>
      <c r="K1" s="29" t="s">
        <v>96</v>
      </c>
    </row>
    <row r="2" spans="1:11" x14ac:dyDescent="0.35">
      <c r="A2" s="104"/>
      <c r="B2" s="114"/>
      <c r="C2" s="114"/>
      <c r="D2" s="114"/>
      <c r="E2" s="104"/>
      <c r="F2" s="104"/>
      <c r="G2" s="104"/>
      <c r="H2" s="54">
        <f>IF(E2&gt;0,1,0)</f>
        <v>0</v>
      </c>
      <c r="I2" s="104"/>
      <c r="J2" s="112">
        <f>F2*G2*I2</f>
        <v>0</v>
      </c>
      <c r="K2" s="32"/>
    </row>
    <row r="3" spans="1:11" x14ac:dyDescent="0.35">
      <c r="A3" s="53"/>
      <c r="B3" s="113"/>
      <c r="C3" s="113"/>
      <c r="D3" s="113"/>
      <c r="E3" s="53"/>
      <c r="F3" s="53"/>
      <c r="G3" s="53"/>
      <c r="H3" s="54">
        <f t="shared" ref="H3:H10" si="0">IF(E3&gt;0,1,0)</f>
        <v>0</v>
      </c>
      <c r="I3" s="53"/>
      <c r="J3" s="54">
        <f t="shared" ref="J3:J10" si="1">F3*G3*I3</f>
        <v>0</v>
      </c>
      <c r="K3" s="32"/>
    </row>
    <row r="4" spans="1:11" x14ac:dyDescent="0.35">
      <c r="A4" s="53"/>
      <c r="B4" s="113"/>
      <c r="C4" s="113"/>
      <c r="D4" s="113"/>
      <c r="E4" s="53"/>
      <c r="F4" s="53"/>
      <c r="G4" s="53"/>
      <c r="H4" s="54">
        <f t="shared" si="0"/>
        <v>0</v>
      </c>
      <c r="I4" s="53"/>
      <c r="J4" s="54">
        <f t="shared" si="1"/>
        <v>0</v>
      </c>
      <c r="K4" s="32"/>
    </row>
    <row r="5" spans="1:11" x14ac:dyDescent="0.35">
      <c r="A5" s="53"/>
      <c r="B5" s="113"/>
      <c r="C5" s="113"/>
      <c r="D5" s="113"/>
      <c r="E5" s="53"/>
      <c r="F5" s="53"/>
      <c r="G5" s="53"/>
      <c r="H5" s="54">
        <f t="shared" si="0"/>
        <v>0</v>
      </c>
      <c r="I5" s="53"/>
      <c r="J5" s="54">
        <f t="shared" si="1"/>
        <v>0</v>
      </c>
      <c r="K5" s="32"/>
    </row>
    <row r="6" spans="1:11" x14ac:dyDescent="0.35">
      <c r="A6" s="53"/>
      <c r="B6" s="113"/>
      <c r="C6" s="113"/>
      <c r="D6" s="113"/>
      <c r="E6" s="53"/>
      <c r="F6" s="53"/>
      <c r="G6" s="53"/>
      <c r="H6" s="54">
        <f t="shared" si="0"/>
        <v>0</v>
      </c>
      <c r="I6" s="53"/>
      <c r="J6" s="54">
        <f t="shared" si="1"/>
        <v>0</v>
      </c>
      <c r="K6" s="32"/>
    </row>
    <row r="7" spans="1:11" x14ac:dyDescent="0.35">
      <c r="A7" s="53"/>
      <c r="B7" s="113"/>
      <c r="C7" s="113"/>
      <c r="D7" s="113"/>
      <c r="E7" s="53"/>
      <c r="F7" s="53"/>
      <c r="G7" s="53"/>
      <c r="H7" s="54">
        <f t="shared" si="0"/>
        <v>0</v>
      </c>
      <c r="I7" s="53"/>
      <c r="J7" s="54">
        <f t="shared" si="1"/>
        <v>0</v>
      </c>
      <c r="K7" s="32"/>
    </row>
    <row r="8" spans="1:11" x14ac:dyDescent="0.35">
      <c r="A8" s="53"/>
      <c r="B8" s="113"/>
      <c r="C8" s="113"/>
      <c r="D8" s="113"/>
      <c r="E8" s="53"/>
      <c r="F8" s="53"/>
      <c r="G8" s="53"/>
      <c r="H8" s="54">
        <f t="shared" si="0"/>
        <v>0</v>
      </c>
      <c r="I8" s="53"/>
      <c r="J8" s="54">
        <f t="shared" si="1"/>
        <v>0</v>
      </c>
      <c r="K8" s="32"/>
    </row>
    <row r="9" spans="1:11" x14ac:dyDescent="0.35">
      <c r="A9" s="53"/>
      <c r="B9" s="113"/>
      <c r="C9" s="113"/>
      <c r="D9" s="113"/>
      <c r="E9" s="53"/>
      <c r="F9" s="53"/>
      <c r="G9" s="53"/>
      <c r="H9" s="54">
        <f t="shared" si="0"/>
        <v>0</v>
      </c>
      <c r="I9" s="53"/>
      <c r="J9" s="54">
        <f t="shared" si="1"/>
        <v>0</v>
      </c>
      <c r="K9" s="32"/>
    </row>
    <row r="10" spans="1:11" x14ac:dyDescent="0.35">
      <c r="A10" s="53"/>
      <c r="B10" s="113"/>
      <c r="C10" s="113"/>
      <c r="D10" s="113"/>
      <c r="E10" s="53"/>
      <c r="F10" s="53"/>
      <c r="G10" s="53"/>
      <c r="H10" s="54">
        <f t="shared" si="0"/>
        <v>0</v>
      </c>
      <c r="I10" s="53"/>
      <c r="J10" s="54">
        <f t="shared" si="1"/>
        <v>0</v>
      </c>
      <c r="K10" s="32"/>
    </row>
    <row r="11" spans="1:11" x14ac:dyDescent="0.35">
      <c r="A11" s="104"/>
      <c r="B11" s="114"/>
      <c r="C11" s="114"/>
      <c r="D11" s="114"/>
      <c r="E11" s="104"/>
      <c r="F11" s="104"/>
      <c r="G11" s="104"/>
      <c r="H11" s="54">
        <f>IF(E11&gt;0,1,0)</f>
        <v>0</v>
      </c>
      <c r="I11" s="104"/>
      <c r="J11" s="112">
        <f>F11*G11*I11</f>
        <v>0</v>
      </c>
      <c r="K11" s="32"/>
    </row>
    <row r="12" spans="1:11" x14ac:dyDescent="0.35">
      <c r="A12" s="53"/>
      <c r="B12" s="113"/>
      <c r="C12" s="113"/>
      <c r="D12" s="113"/>
      <c r="E12" s="53"/>
      <c r="F12" s="53"/>
      <c r="G12" s="53"/>
      <c r="H12" s="54">
        <f t="shared" ref="H12:H19" si="2">IF(E12&gt;0,1,0)</f>
        <v>0</v>
      </c>
      <c r="I12" s="53"/>
      <c r="J12" s="54">
        <f t="shared" ref="J12:J19" si="3">F12*G12*I12</f>
        <v>0</v>
      </c>
      <c r="K12" s="32"/>
    </row>
    <row r="13" spans="1:11" x14ac:dyDescent="0.35">
      <c r="A13" s="53"/>
      <c r="B13" s="113"/>
      <c r="C13" s="113"/>
      <c r="D13" s="113"/>
      <c r="E13" s="53"/>
      <c r="F13" s="53"/>
      <c r="G13" s="53"/>
      <c r="H13" s="54">
        <f t="shared" si="2"/>
        <v>0</v>
      </c>
      <c r="I13" s="53"/>
      <c r="J13" s="54">
        <f t="shared" si="3"/>
        <v>0</v>
      </c>
      <c r="K13" s="32"/>
    </row>
    <row r="14" spans="1:11" x14ac:dyDescent="0.35">
      <c r="A14" s="53"/>
      <c r="B14" s="113"/>
      <c r="C14" s="113"/>
      <c r="D14" s="113"/>
      <c r="E14" s="53"/>
      <c r="F14" s="53"/>
      <c r="G14" s="53"/>
      <c r="H14" s="54">
        <f t="shared" si="2"/>
        <v>0</v>
      </c>
      <c r="I14" s="53"/>
      <c r="J14" s="54">
        <f t="shared" si="3"/>
        <v>0</v>
      </c>
      <c r="K14" s="32"/>
    </row>
    <row r="15" spans="1:11" x14ac:dyDescent="0.35">
      <c r="A15" s="53"/>
      <c r="B15" s="113"/>
      <c r="C15" s="113"/>
      <c r="D15" s="113"/>
      <c r="E15" s="53"/>
      <c r="F15" s="53"/>
      <c r="G15" s="53"/>
      <c r="H15" s="54">
        <f t="shared" si="2"/>
        <v>0</v>
      </c>
      <c r="I15" s="53"/>
      <c r="J15" s="54">
        <f t="shared" si="3"/>
        <v>0</v>
      </c>
      <c r="K15" s="32"/>
    </row>
    <row r="16" spans="1:11" x14ac:dyDescent="0.35">
      <c r="A16" s="53"/>
      <c r="B16" s="113"/>
      <c r="C16" s="113"/>
      <c r="D16" s="113"/>
      <c r="E16" s="53"/>
      <c r="F16" s="53"/>
      <c r="G16" s="53"/>
      <c r="H16" s="54">
        <f t="shared" si="2"/>
        <v>0</v>
      </c>
      <c r="I16" s="53"/>
      <c r="J16" s="54">
        <f t="shared" si="3"/>
        <v>0</v>
      </c>
      <c r="K16" s="32"/>
    </row>
    <row r="17" spans="1:11" x14ac:dyDescent="0.35">
      <c r="A17" s="53"/>
      <c r="B17" s="113"/>
      <c r="C17" s="113"/>
      <c r="D17" s="113"/>
      <c r="E17" s="53"/>
      <c r="F17" s="53"/>
      <c r="G17" s="53"/>
      <c r="H17" s="54">
        <f t="shared" si="2"/>
        <v>0</v>
      </c>
      <c r="I17" s="53"/>
      <c r="J17" s="54">
        <f t="shared" si="3"/>
        <v>0</v>
      </c>
      <c r="K17" s="32"/>
    </row>
    <row r="18" spans="1:11" x14ac:dyDescent="0.35">
      <c r="A18" s="53"/>
      <c r="B18" s="113"/>
      <c r="C18" s="113"/>
      <c r="D18" s="113"/>
      <c r="E18" s="53"/>
      <c r="F18" s="53"/>
      <c r="G18" s="53"/>
      <c r="H18" s="54">
        <f t="shared" si="2"/>
        <v>0</v>
      </c>
      <c r="I18" s="53"/>
      <c r="J18" s="54">
        <f t="shared" si="3"/>
        <v>0</v>
      </c>
      <c r="K18" s="32"/>
    </row>
    <row r="19" spans="1:11" x14ac:dyDescent="0.35">
      <c r="A19" s="53"/>
      <c r="B19" s="113"/>
      <c r="C19" s="113"/>
      <c r="D19" s="113"/>
      <c r="E19" s="53"/>
      <c r="F19" s="53"/>
      <c r="G19" s="53"/>
      <c r="H19" s="54">
        <f t="shared" si="2"/>
        <v>0</v>
      </c>
      <c r="I19" s="53"/>
      <c r="J19" s="54">
        <f t="shared" si="3"/>
        <v>0</v>
      </c>
      <c r="K19" s="32"/>
    </row>
    <row r="20" spans="1:11" x14ac:dyDescent="0.35">
      <c r="A20" s="104"/>
      <c r="B20" s="114"/>
      <c r="C20" s="114"/>
      <c r="D20" s="114"/>
      <c r="E20" s="104"/>
      <c r="F20" s="104"/>
      <c r="G20" s="104"/>
      <c r="H20" s="54">
        <f>IF(E20&gt;0,1,0)</f>
        <v>0</v>
      </c>
      <c r="I20" s="104"/>
      <c r="J20" s="112">
        <f>F20*G20*I20</f>
        <v>0</v>
      </c>
      <c r="K20" s="32"/>
    </row>
    <row r="21" spans="1:11" x14ac:dyDescent="0.35">
      <c r="A21" s="53"/>
      <c r="B21" s="113"/>
      <c r="C21" s="113"/>
      <c r="D21" s="113"/>
      <c r="E21" s="53"/>
      <c r="F21" s="53"/>
      <c r="G21" s="53"/>
      <c r="H21" s="54">
        <f t="shared" ref="H21:H54" si="4">IF(E21&gt;0,1,0)</f>
        <v>0</v>
      </c>
      <c r="I21" s="53"/>
      <c r="J21" s="54">
        <f t="shared" ref="J21:J54" si="5">F21*G21*I21</f>
        <v>0</v>
      </c>
      <c r="K21" s="32"/>
    </row>
    <row r="22" spans="1:11" x14ac:dyDescent="0.35">
      <c r="A22" s="53"/>
      <c r="B22" s="113"/>
      <c r="C22" s="113"/>
      <c r="D22" s="113"/>
      <c r="E22" s="53"/>
      <c r="F22" s="53"/>
      <c r="G22" s="53"/>
      <c r="H22" s="54">
        <f t="shared" si="4"/>
        <v>0</v>
      </c>
      <c r="I22" s="53"/>
      <c r="J22" s="54">
        <f t="shared" si="5"/>
        <v>0</v>
      </c>
      <c r="K22" s="32"/>
    </row>
    <row r="23" spans="1:11" x14ac:dyDescent="0.35">
      <c r="A23" s="53"/>
      <c r="B23" s="113"/>
      <c r="C23" s="113"/>
      <c r="D23" s="113"/>
      <c r="E23" s="53"/>
      <c r="F23" s="53"/>
      <c r="G23" s="53"/>
      <c r="H23" s="54">
        <f t="shared" si="4"/>
        <v>0</v>
      </c>
      <c r="I23" s="53"/>
      <c r="J23" s="54">
        <f t="shared" si="5"/>
        <v>0</v>
      </c>
      <c r="K23" s="32"/>
    </row>
    <row r="24" spans="1:11" x14ac:dyDescent="0.35">
      <c r="A24" s="53"/>
      <c r="B24" s="113"/>
      <c r="C24" s="113"/>
      <c r="D24" s="113"/>
      <c r="E24" s="53"/>
      <c r="F24" s="53"/>
      <c r="G24" s="53"/>
      <c r="H24" s="54">
        <f t="shared" si="4"/>
        <v>0</v>
      </c>
      <c r="I24" s="53"/>
      <c r="J24" s="54">
        <f t="shared" si="5"/>
        <v>0</v>
      </c>
      <c r="K24" s="32"/>
    </row>
    <row r="25" spans="1:11" x14ac:dyDescent="0.35">
      <c r="A25" s="53"/>
      <c r="B25" s="113"/>
      <c r="C25" s="113"/>
      <c r="D25" s="113"/>
      <c r="E25" s="53"/>
      <c r="F25" s="53"/>
      <c r="G25" s="53"/>
      <c r="H25" s="54">
        <f t="shared" si="4"/>
        <v>0</v>
      </c>
      <c r="I25" s="53"/>
      <c r="J25" s="54">
        <f t="shared" si="5"/>
        <v>0</v>
      </c>
      <c r="K25" s="32"/>
    </row>
    <row r="26" spans="1:11" x14ac:dyDescent="0.35">
      <c r="A26" s="53"/>
      <c r="B26" s="113"/>
      <c r="C26" s="113"/>
      <c r="D26" s="113"/>
      <c r="E26" s="53"/>
      <c r="F26" s="53"/>
      <c r="G26" s="53"/>
      <c r="H26" s="54">
        <f t="shared" si="4"/>
        <v>0</v>
      </c>
      <c r="I26" s="53"/>
      <c r="J26" s="54">
        <f t="shared" si="5"/>
        <v>0</v>
      </c>
      <c r="K26" s="32"/>
    </row>
    <row r="27" spans="1:11" x14ac:dyDescent="0.35">
      <c r="A27" s="53"/>
      <c r="B27" s="113"/>
      <c r="C27" s="113"/>
      <c r="D27" s="113"/>
      <c r="E27" s="53"/>
      <c r="F27" s="53"/>
      <c r="G27" s="53"/>
      <c r="H27" s="54">
        <f t="shared" si="4"/>
        <v>0</v>
      </c>
      <c r="I27" s="53"/>
      <c r="J27" s="54">
        <f t="shared" si="5"/>
        <v>0</v>
      </c>
      <c r="K27" s="32"/>
    </row>
    <row r="28" spans="1:11" x14ac:dyDescent="0.35">
      <c r="A28" s="104"/>
      <c r="B28" s="114"/>
      <c r="C28" s="114"/>
      <c r="D28" s="114"/>
      <c r="E28" s="104"/>
      <c r="F28" s="104"/>
      <c r="G28" s="104"/>
      <c r="H28" s="54">
        <f>IF(E28&gt;0,1,0)</f>
        <v>0</v>
      </c>
      <c r="I28" s="104"/>
      <c r="J28" s="112">
        <f>F28*G28*I28</f>
        <v>0</v>
      </c>
      <c r="K28" s="32"/>
    </row>
    <row r="29" spans="1:11" x14ac:dyDescent="0.35">
      <c r="A29" s="53"/>
      <c r="B29" s="113"/>
      <c r="C29" s="113"/>
      <c r="D29" s="113"/>
      <c r="E29" s="53"/>
      <c r="F29" s="53"/>
      <c r="G29" s="53"/>
      <c r="H29" s="54">
        <f t="shared" ref="H29:H36" si="6">IF(E29&gt;0,1,0)</f>
        <v>0</v>
      </c>
      <c r="I29" s="53"/>
      <c r="J29" s="54">
        <f t="shared" ref="J29:J36" si="7">F29*G29*I29</f>
        <v>0</v>
      </c>
      <c r="K29" s="32"/>
    </row>
    <row r="30" spans="1:11" x14ac:dyDescent="0.35">
      <c r="A30" s="53"/>
      <c r="B30" s="113"/>
      <c r="C30" s="113"/>
      <c r="D30" s="113"/>
      <c r="E30" s="53"/>
      <c r="F30" s="53"/>
      <c r="G30" s="53"/>
      <c r="H30" s="54">
        <f t="shared" si="6"/>
        <v>0</v>
      </c>
      <c r="I30" s="53"/>
      <c r="J30" s="54">
        <f t="shared" si="7"/>
        <v>0</v>
      </c>
      <c r="K30" s="32"/>
    </row>
    <row r="31" spans="1:11" x14ac:dyDescent="0.35">
      <c r="A31" s="53"/>
      <c r="B31" s="113"/>
      <c r="C31" s="113"/>
      <c r="D31" s="113"/>
      <c r="E31" s="53"/>
      <c r="F31" s="53"/>
      <c r="G31" s="53"/>
      <c r="H31" s="54">
        <f t="shared" si="6"/>
        <v>0</v>
      </c>
      <c r="I31" s="53"/>
      <c r="J31" s="54">
        <f t="shared" si="7"/>
        <v>0</v>
      </c>
      <c r="K31" s="32"/>
    </row>
    <row r="32" spans="1:11" x14ac:dyDescent="0.35">
      <c r="A32" s="53"/>
      <c r="B32" s="113"/>
      <c r="C32" s="113"/>
      <c r="D32" s="113"/>
      <c r="E32" s="53"/>
      <c r="F32" s="53"/>
      <c r="G32" s="53"/>
      <c r="H32" s="54">
        <f t="shared" si="6"/>
        <v>0</v>
      </c>
      <c r="I32" s="53"/>
      <c r="J32" s="54">
        <f t="shared" si="7"/>
        <v>0</v>
      </c>
      <c r="K32" s="32"/>
    </row>
    <row r="33" spans="1:11" x14ac:dyDescent="0.35">
      <c r="A33" s="53"/>
      <c r="B33" s="113"/>
      <c r="C33" s="113"/>
      <c r="D33" s="113"/>
      <c r="E33" s="53"/>
      <c r="F33" s="53"/>
      <c r="G33" s="53"/>
      <c r="H33" s="54">
        <f t="shared" si="6"/>
        <v>0</v>
      </c>
      <c r="I33" s="53"/>
      <c r="J33" s="54">
        <f t="shared" si="7"/>
        <v>0</v>
      </c>
      <c r="K33" s="32"/>
    </row>
    <row r="34" spans="1:11" x14ac:dyDescent="0.35">
      <c r="A34" s="53"/>
      <c r="B34" s="113"/>
      <c r="C34" s="113"/>
      <c r="D34" s="113"/>
      <c r="E34" s="53"/>
      <c r="F34" s="53"/>
      <c r="G34" s="53"/>
      <c r="H34" s="54">
        <f t="shared" si="6"/>
        <v>0</v>
      </c>
      <c r="I34" s="53"/>
      <c r="J34" s="54">
        <f t="shared" si="7"/>
        <v>0</v>
      </c>
      <c r="K34" s="32"/>
    </row>
    <row r="35" spans="1:11" x14ac:dyDescent="0.35">
      <c r="A35" s="53"/>
      <c r="B35" s="113"/>
      <c r="C35" s="113"/>
      <c r="D35" s="113"/>
      <c r="E35" s="53"/>
      <c r="F35" s="53"/>
      <c r="G35" s="53"/>
      <c r="H35" s="54">
        <f t="shared" si="6"/>
        <v>0</v>
      </c>
      <c r="I35" s="53"/>
      <c r="J35" s="54">
        <f t="shared" si="7"/>
        <v>0</v>
      </c>
      <c r="K35" s="32"/>
    </row>
    <row r="36" spans="1:11" x14ac:dyDescent="0.35">
      <c r="A36" s="53"/>
      <c r="B36" s="113"/>
      <c r="C36" s="113"/>
      <c r="D36" s="113"/>
      <c r="E36" s="53"/>
      <c r="F36" s="53"/>
      <c r="G36" s="53"/>
      <c r="H36" s="54">
        <f t="shared" si="6"/>
        <v>0</v>
      </c>
      <c r="I36" s="53"/>
      <c r="J36" s="54">
        <f t="shared" si="7"/>
        <v>0</v>
      </c>
      <c r="K36" s="32"/>
    </row>
    <row r="37" spans="1:11" x14ac:dyDescent="0.35">
      <c r="A37" s="104"/>
      <c r="B37" s="114"/>
      <c r="C37" s="114"/>
      <c r="D37" s="114"/>
      <c r="E37" s="104"/>
      <c r="F37" s="104"/>
      <c r="G37" s="104"/>
      <c r="H37" s="54">
        <f>IF(E37&gt;0,1,0)</f>
        <v>0</v>
      </c>
      <c r="I37" s="104"/>
      <c r="J37" s="112">
        <f>F37*G37*I37</f>
        <v>0</v>
      </c>
      <c r="K37" s="32"/>
    </row>
    <row r="38" spans="1:11" x14ac:dyDescent="0.35">
      <c r="A38" s="53"/>
      <c r="B38" s="113"/>
      <c r="C38" s="113"/>
      <c r="D38" s="113"/>
      <c r="E38" s="53"/>
      <c r="F38" s="53"/>
      <c r="G38" s="53"/>
      <c r="H38" s="54">
        <f t="shared" ref="H38:H45" si="8">IF(E38&gt;0,1,0)</f>
        <v>0</v>
      </c>
      <c r="I38" s="53"/>
      <c r="J38" s="54">
        <f t="shared" ref="J38:J45" si="9">F38*G38*I38</f>
        <v>0</v>
      </c>
      <c r="K38" s="32"/>
    </row>
    <row r="39" spans="1:11" x14ac:dyDescent="0.35">
      <c r="A39" s="53"/>
      <c r="B39" s="113"/>
      <c r="C39" s="113"/>
      <c r="D39" s="113"/>
      <c r="E39" s="53"/>
      <c r="F39" s="53"/>
      <c r="G39" s="53"/>
      <c r="H39" s="54">
        <f t="shared" si="8"/>
        <v>0</v>
      </c>
      <c r="I39" s="53"/>
      <c r="J39" s="54">
        <f t="shared" si="9"/>
        <v>0</v>
      </c>
      <c r="K39" s="32"/>
    </row>
    <row r="40" spans="1:11" x14ac:dyDescent="0.35">
      <c r="A40" s="53"/>
      <c r="B40" s="113"/>
      <c r="C40" s="113"/>
      <c r="D40" s="113"/>
      <c r="E40" s="53"/>
      <c r="F40" s="53"/>
      <c r="G40" s="53"/>
      <c r="H40" s="54">
        <f t="shared" si="8"/>
        <v>0</v>
      </c>
      <c r="I40" s="53"/>
      <c r="J40" s="54">
        <f t="shared" si="9"/>
        <v>0</v>
      </c>
      <c r="K40" s="32"/>
    </row>
    <row r="41" spans="1:11" x14ac:dyDescent="0.35">
      <c r="A41" s="53"/>
      <c r="B41" s="113"/>
      <c r="C41" s="113"/>
      <c r="D41" s="113"/>
      <c r="E41" s="53"/>
      <c r="F41" s="53"/>
      <c r="G41" s="53"/>
      <c r="H41" s="54">
        <f t="shared" si="8"/>
        <v>0</v>
      </c>
      <c r="I41" s="53"/>
      <c r="J41" s="54">
        <f t="shared" si="9"/>
        <v>0</v>
      </c>
      <c r="K41" s="32"/>
    </row>
    <row r="42" spans="1:11" x14ac:dyDescent="0.35">
      <c r="A42" s="53"/>
      <c r="B42" s="113"/>
      <c r="C42" s="113"/>
      <c r="D42" s="113"/>
      <c r="E42" s="53"/>
      <c r="F42" s="53"/>
      <c r="G42" s="53"/>
      <c r="H42" s="54">
        <f t="shared" si="8"/>
        <v>0</v>
      </c>
      <c r="I42" s="53"/>
      <c r="J42" s="54">
        <f t="shared" si="9"/>
        <v>0</v>
      </c>
      <c r="K42" s="32"/>
    </row>
    <row r="43" spans="1:11" x14ac:dyDescent="0.35">
      <c r="A43" s="53"/>
      <c r="B43" s="113"/>
      <c r="C43" s="113"/>
      <c r="D43" s="113"/>
      <c r="E43" s="53"/>
      <c r="F43" s="53"/>
      <c r="G43" s="53"/>
      <c r="H43" s="54">
        <f t="shared" si="8"/>
        <v>0</v>
      </c>
      <c r="I43" s="53"/>
      <c r="J43" s="54">
        <f t="shared" si="9"/>
        <v>0</v>
      </c>
      <c r="K43" s="32"/>
    </row>
    <row r="44" spans="1:11" x14ac:dyDescent="0.35">
      <c r="A44" s="53"/>
      <c r="B44" s="113"/>
      <c r="C44" s="113"/>
      <c r="D44" s="113"/>
      <c r="E44" s="53"/>
      <c r="F44" s="53"/>
      <c r="G44" s="53"/>
      <c r="H44" s="54">
        <f t="shared" si="8"/>
        <v>0</v>
      </c>
      <c r="I44" s="53"/>
      <c r="J44" s="54">
        <f t="shared" si="9"/>
        <v>0</v>
      </c>
      <c r="K44" s="32"/>
    </row>
    <row r="45" spans="1:11" x14ac:dyDescent="0.35">
      <c r="A45" s="53"/>
      <c r="B45" s="113"/>
      <c r="C45" s="113"/>
      <c r="D45" s="113"/>
      <c r="E45" s="53"/>
      <c r="F45" s="53"/>
      <c r="G45" s="53"/>
      <c r="H45" s="54">
        <f t="shared" si="8"/>
        <v>0</v>
      </c>
      <c r="I45" s="53"/>
      <c r="J45" s="54">
        <f t="shared" si="9"/>
        <v>0</v>
      </c>
      <c r="K45" s="32"/>
    </row>
    <row r="46" spans="1:11" x14ac:dyDescent="0.35">
      <c r="A46" s="104"/>
      <c r="B46" s="114"/>
      <c r="C46" s="114"/>
      <c r="D46" s="114"/>
      <c r="E46" s="104"/>
      <c r="F46" s="104"/>
      <c r="G46" s="104"/>
      <c r="H46" s="54">
        <f>IF(E46&gt;0,1,0)</f>
        <v>0</v>
      </c>
      <c r="I46" s="104"/>
      <c r="J46" s="112">
        <f>F46*G46*I46</f>
        <v>0</v>
      </c>
      <c r="K46" s="32"/>
    </row>
    <row r="47" spans="1:11" x14ac:dyDescent="0.35">
      <c r="A47" s="53"/>
      <c r="B47" s="113"/>
      <c r="C47" s="113"/>
      <c r="D47" s="113"/>
      <c r="E47" s="53"/>
      <c r="F47" s="53"/>
      <c r="G47" s="53"/>
      <c r="H47" s="54">
        <f t="shared" ref="H47:H53" si="10">IF(E47&gt;0,1,0)</f>
        <v>0</v>
      </c>
      <c r="I47" s="53"/>
      <c r="J47" s="54">
        <f t="shared" ref="J47:J53" si="11">F47*G47*I47</f>
        <v>0</v>
      </c>
      <c r="K47" s="32"/>
    </row>
    <row r="48" spans="1:11" x14ac:dyDescent="0.35">
      <c r="A48" s="53"/>
      <c r="B48" s="113"/>
      <c r="C48" s="113"/>
      <c r="D48" s="113"/>
      <c r="E48" s="53"/>
      <c r="F48" s="53"/>
      <c r="G48" s="53"/>
      <c r="H48" s="54">
        <f t="shared" si="10"/>
        <v>0</v>
      </c>
      <c r="I48" s="53"/>
      <c r="J48" s="54">
        <f t="shared" si="11"/>
        <v>0</v>
      </c>
      <c r="K48" s="32"/>
    </row>
    <row r="49" spans="1:11" x14ac:dyDescent="0.35">
      <c r="A49" s="53"/>
      <c r="B49" s="113"/>
      <c r="C49" s="113"/>
      <c r="D49" s="113"/>
      <c r="E49" s="53"/>
      <c r="F49" s="53"/>
      <c r="G49" s="53"/>
      <c r="H49" s="54">
        <f t="shared" si="10"/>
        <v>0</v>
      </c>
      <c r="I49" s="53"/>
      <c r="J49" s="54">
        <f t="shared" si="11"/>
        <v>0</v>
      </c>
      <c r="K49" s="32"/>
    </row>
    <row r="50" spans="1:11" x14ac:dyDescent="0.35">
      <c r="A50" s="53"/>
      <c r="B50" s="113"/>
      <c r="C50" s="113"/>
      <c r="D50" s="113"/>
      <c r="E50" s="53"/>
      <c r="F50" s="53"/>
      <c r="G50" s="53"/>
      <c r="H50" s="54">
        <f t="shared" si="10"/>
        <v>0</v>
      </c>
      <c r="I50" s="53"/>
      <c r="J50" s="54">
        <f t="shared" si="11"/>
        <v>0</v>
      </c>
      <c r="K50" s="32"/>
    </row>
    <row r="51" spans="1:11" x14ac:dyDescent="0.35">
      <c r="A51" s="53"/>
      <c r="B51" s="113"/>
      <c r="C51" s="113"/>
      <c r="D51" s="113"/>
      <c r="E51" s="53"/>
      <c r="F51" s="53"/>
      <c r="G51" s="53"/>
      <c r="H51" s="54">
        <f t="shared" si="10"/>
        <v>0</v>
      </c>
      <c r="I51" s="53"/>
      <c r="J51" s="54">
        <f t="shared" si="11"/>
        <v>0</v>
      </c>
      <c r="K51" s="32"/>
    </row>
    <row r="52" spans="1:11" x14ac:dyDescent="0.35">
      <c r="A52" s="53"/>
      <c r="B52" s="113"/>
      <c r="C52" s="113"/>
      <c r="D52" s="113"/>
      <c r="E52" s="53"/>
      <c r="F52" s="53"/>
      <c r="G52" s="53"/>
      <c r="H52" s="54">
        <f t="shared" si="10"/>
        <v>0</v>
      </c>
      <c r="I52" s="53"/>
      <c r="J52" s="54">
        <f t="shared" si="11"/>
        <v>0</v>
      </c>
      <c r="K52" s="32"/>
    </row>
    <row r="53" spans="1:11" x14ac:dyDescent="0.35">
      <c r="A53" s="53"/>
      <c r="B53" s="113"/>
      <c r="C53" s="113"/>
      <c r="D53" s="113"/>
      <c r="E53" s="53"/>
      <c r="F53" s="53"/>
      <c r="G53" s="53"/>
      <c r="H53" s="54">
        <f t="shared" si="10"/>
        <v>0</v>
      </c>
      <c r="I53" s="53"/>
      <c r="J53" s="54">
        <f t="shared" si="11"/>
        <v>0</v>
      </c>
      <c r="K53" s="32"/>
    </row>
    <row r="54" spans="1:11" x14ac:dyDescent="0.35">
      <c r="A54" s="53"/>
      <c r="B54" s="113"/>
      <c r="C54" s="113"/>
      <c r="D54" s="113"/>
      <c r="E54" s="53"/>
      <c r="F54" s="53"/>
      <c r="G54" s="53"/>
      <c r="H54" s="54">
        <f t="shared" si="4"/>
        <v>0</v>
      </c>
      <c r="I54" s="53"/>
      <c r="J54" s="54">
        <f t="shared" si="5"/>
        <v>0</v>
      </c>
      <c r="K54" s="32"/>
    </row>
    <row r="55" spans="1:11" x14ac:dyDescent="0.35">
      <c r="A55" s="104"/>
      <c r="B55" s="114"/>
      <c r="C55" s="114"/>
      <c r="D55" s="114"/>
      <c r="E55" s="104"/>
      <c r="F55" s="104"/>
      <c r="G55" s="104"/>
      <c r="H55" s="54">
        <f>IF(E55&gt;0,1,0)</f>
        <v>0</v>
      </c>
      <c r="I55" s="104"/>
      <c r="J55" s="112">
        <f>F55*G55*I55</f>
        <v>0</v>
      </c>
      <c r="K55" s="32"/>
    </row>
    <row r="56" spans="1:11" x14ac:dyDescent="0.35">
      <c r="A56" s="53"/>
      <c r="B56" s="113"/>
      <c r="C56" s="113"/>
      <c r="D56" s="113"/>
      <c r="E56" s="53"/>
      <c r="F56" s="53"/>
      <c r="G56" s="53"/>
      <c r="H56" s="54">
        <f t="shared" ref="H56:H64" si="12">IF(E56&gt;0,1,0)</f>
        <v>0</v>
      </c>
      <c r="I56" s="53"/>
      <c r="J56" s="54">
        <f t="shared" ref="J56:J64" si="13">F56*G56*I56</f>
        <v>0</v>
      </c>
      <c r="K56" s="32"/>
    </row>
    <row r="57" spans="1:11" x14ac:dyDescent="0.35">
      <c r="A57" s="53"/>
      <c r="B57" s="113"/>
      <c r="C57" s="113"/>
      <c r="D57" s="113"/>
      <c r="E57" s="53"/>
      <c r="F57" s="53"/>
      <c r="G57" s="53"/>
      <c r="H57" s="54">
        <f t="shared" si="12"/>
        <v>0</v>
      </c>
      <c r="I57" s="53"/>
      <c r="J57" s="54">
        <f t="shared" si="13"/>
        <v>0</v>
      </c>
      <c r="K57" s="32"/>
    </row>
    <row r="58" spans="1:11" x14ac:dyDescent="0.35">
      <c r="A58" s="53"/>
      <c r="B58" s="113"/>
      <c r="C58" s="113"/>
      <c r="D58" s="113"/>
      <c r="E58" s="53"/>
      <c r="F58" s="53"/>
      <c r="G58" s="53"/>
      <c r="H58" s="54">
        <f t="shared" si="12"/>
        <v>0</v>
      </c>
      <c r="I58" s="53"/>
      <c r="J58" s="54">
        <f t="shared" si="13"/>
        <v>0</v>
      </c>
      <c r="K58" s="32"/>
    </row>
    <row r="59" spans="1:11" x14ac:dyDescent="0.35">
      <c r="A59" s="53"/>
      <c r="B59" s="113"/>
      <c r="C59" s="113"/>
      <c r="D59" s="113"/>
      <c r="E59" s="53"/>
      <c r="F59" s="53"/>
      <c r="G59" s="53"/>
      <c r="H59" s="54">
        <f t="shared" si="12"/>
        <v>0</v>
      </c>
      <c r="I59" s="53"/>
      <c r="J59" s="54">
        <f t="shared" si="13"/>
        <v>0</v>
      </c>
      <c r="K59" s="32"/>
    </row>
    <row r="60" spans="1:11" x14ac:dyDescent="0.35">
      <c r="A60" s="53"/>
      <c r="B60" s="113"/>
      <c r="C60" s="113"/>
      <c r="D60" s="113"/>
      <c r="E60" s="53"/>
      <c r="F60" s="53"/>
      <c r="G60" s="53"/>
      <c r="H60" s="54">
        <f t="shared" si="12"/>
        <v>0</v>
      </c>
      <c r="I60" s="53"/>
      <c r="J60" s="54">
        <f t="shared" si="13"/>
        <v>0</v>
      </c>
      <c r="K60" s="32"/>
    </row>
    <row r="61" spans="1:11" x14ac:dyDescent="0.35">
      <c r="A61" s="53"/>
      <c r="B61" s="113"/>
      <c r="C61" s="113"/>
      <c r="D61" s="113"/>
      <c r="E61" s="53"/>
      <c r="F61" s="53"/>
      <c r="G61" s="53"/>
      <c r="H61" s="54">
        <f t="shared" si="12"/>
        <v>0</v>
      </c>
      <c r="I61" s="53"/>
      <c r="J61" s="54">
        <f t="shared" si="13"/>
        <v>0</v>
      </c>
      <c r="K61" s="32"/>
    </row>
    <row r="62" spans="1:11" x14ac:dyDescent="0.35">
      <c r="A62" s="53"/>
      <c r="B62" s="113"/>
      <c r="C62" s="113"/>
      <c r="D62" s="113"/>
      <c r="E62" s="53"/>
      <c r="F62" s="53"/>
      <c r="G62" s="53"/>
      <c r="H62" s="54">
        <f t="shared" si="12"/>
        <v>0</v>
      </c>
      <c r="I62" s="53"/>
      <c r="J62" s="54">
        <f t="shared" si="13"/>
        <v>0</v>
      </c>
      <c r="K62" s="32"/>
    </row>
    <row r="63" spans="1:11" x14ac:dyDescent="0.35">
      <c r="A63" s="53"/>
      <c r="B63" s="113"/>
      <c r="C63" s="113"/>
      <c r="D63" s="113"/>
      <c r="E63" s="53"/>
      <c r="F63" s="53"/>
      <c r="G63" s="53"/>
      <c r="H63" s="54">
        <f t="shared" si="12"/>
        <v>0</v>
      </c>
      <c r="I63" s="53"/>
      <c r="J63" s="54">
        <f t="shared" si="13"/>
        <v>0</v>
      </c>
      <c r="K63" s="32"/>
    </row>
    <row r="64" spans="1:11" x14ac:dyDescent="0.35">
      <c r="A64" s="53"/>
      <c r="B64" s="113"/>
      <c r="C64" s="113"/>
      <c r="D64" s="113"/>
      <c r="E64" s="53"/>
      <c r="F64" s="53"/>
      <c r="G64" s="53"/>
      <c r="H64" s="54">
        <f t="shared" si="12"/>
        <v>0</v>
      </c>
      <c r="I64" s="53"/>
      <c r="J64" s="54">
        <f t="shared" si="13"/>
        <v>0</v>
      </c>
      <c r="K64" s="32"/>
    </row>
    <row r="65" spans="1:11" x14ac:dyDescent="0.35">
      <c r="A65" s="104"/>
      <c r="B65" s="114"/>
      <c r="C65" s="114"/>
      <c r="D65" s="114"/>
      <c r="E65" s="104"/>
      <c r="F65" s="104"/>
      <c r="G65" s="104"/>
      <c r="H65" s="54">
        <f>IF(E65&gt;0,1,0)</f>
        <v>0</v>
      </c>
      <c r="I65" s="104"/>
      <c r="J65" s="112">
        <f>F65*G65*I65</f>
        <v>0</v>
      </c>
      <c r="K65" s="32"/>
    </row>
    <row r="66" spans="1:11" x14ac:dyDescent="0.35">
      <c r="A66" s="53"/>
      <c r="B66" s="113"/>
      <c r="C66" s="113"/>
      <c r="D66" s="113"/>
      <c r="E66" s="53"/>
      <c r="F66" s="53"/>
      <c r="G66" s="53"/>
      <c r="H66" s="54">
        <f t="shared" ref="H66:H73" si="14">IF(E66&gt;0,1,0)</f>
        <v>0</v>
      </c>
      <c r="I66" s="53"/>
      <c r="J66" s="54">
        <f t="shared" ref="J66:J73" si="15">F66*G66*I66</f>
        <v>0</v>
      </c>
      <c r="K66" s="32"/>
    </row>
    <row r="67" spans="1:11" x14ac:dyDescent="0.35">
      <c r="A67" s="53"/>
      <c r="B67" s="113"/>
      <c r="C67" s="113"/>
      <c r="D67" s="113"/>
      <c r="E67" s="53"/>
      <c r="F67" s="53"/>
      <c r="G67" s="53"/>
      <c r="H67" s="54">
        <f t="shared" si="14"/>
        <v>0</v>
      </c>
      <c r="I67" s="53"/>
      <c r="J67" s="54">
        <f t="shared" si="15"/>
        <v>0</v>
      </c>
      <c r="K67" s="32"/>
    </row>
    <row r="68" spans="1:11" x14ac:dyDescent="0.35">
      <c r="A68" s="53"/>
      <c r="B68" s="113"/>
      <c r="C68" s="113"/>
      <c r="D68" s="113"/>
      <c r="E68" s="53"/>
      <c r="F68" s="53"/>
      <c r="G68" s="53"/>
      <c r="H68" s="54">
        <f t="shared" si="14"/>
        <v>0</v>
      </c>
      <c r="I68" s="53"/>
      <c r="J68" s="54">
        <f t="shared" si="15"/>
        <v>0</v>
      </c>
      <c r="K68" s="32"/>
    </row>
    <row r="69" spans="1:11" x14ac:dyDescent="0.35">
      <c r="A69" s="53"/>
      <c r="B69" s="113"/>
      <c r="C69" s="113"/>
      <c r="D69" s="113"/>
      <c r="E69" s="53"/>
      <c r="F69" s="53"/>
      <c r="G69" s="53"/>
      <c r="H69" s="54">
        <f t="shared" si="14"/>
        <v>0</v>
      </c>
      <c r="I69" s="53"/>
      <c r="J69" s="54">
        <f t="shared" si="15"/>
        <v>0</v>
      </c>
      <c r="K69" s="32"/>
    </row>
    <row r="70" spans="1:11" x14ac:dyDescent="0.35">
      <c r="A70" s="53"/>
      <c r="B70" s="113"/>
      <c r="C70" s="113"/>
      <c r="D70" s="113"/>
      <c r="E70" s="53"/>
      <c r="F70" s="53"/>
      <c r="G70" s="53"/>
      <c r="H70" s="54">
        <f t="shared" si="14"/>
        <v>0</v>
      </c>
      <c r="I70" s="53"/>
      <c r="J70" s="54">
        <f t="shared" si="15"/>
        <v>0</v>
      </c>
      <c r="K70" s="32"/>
    </row>
    <row r="71" spans="1:11" x14ac:dyDescent="0.35">
      <c r="A71" s="53"/>
      <c r="B71" s="113"/>
      <c r="C71" s="113"/>
      <c r="D71" s="113"/>
      <c r="E71" s="53"/>
      <c r="F71" s="53"/>
      <c r="G71" s="53"/>
      <c r="H71" s="54">
        <f t="shared" si="14"/>
        <v>0</v>
      </c>
      <c r="I71" s="53"/>
      <c r="J71" s="54">
        <f t="shared" si="15"/>
        <v>0</v>
      </c>
      <c r="K71" s="32"/>
    </row>
    <row r="72" spans="1:11" x14ac:dyDescent="0.35">
      <c r="A72" s="53"/>
      <c r="B72" s="113"/>
      <c r="C72" s="113"/>
      <c r="D72" s="113"/>
      <c r="E72" s="53"/>
      <c r="F72" s="53"/>
      <c r="G72" s="53"/>
      <c r="H72" s="54">
        <f t="shared" si="14"/>
        <v>0</v>
      </c>
      <c r="I72" s="53"/>
      <c r="J72" s="54">
        <f t="shared" si="15"/>
        <v>0</v>
      </c>
      <c r="K72" s="32"/>
    </row>
    <row r="73" spans="1:11" x14ac:dyDescent="0.35">
      <c r="A73" s="53"/>
      <c r="B73" s="113"/>
      <c r="C73" s="113"/>
      <c r="D73" s="113"/>
      <c r="E73" s="53"/>
      <c r="F73" s="53"/>
      <c r="G73" s="53"/>
      <c r="H73" s="54">
        <f t="shared" si="14"/>
        <v>0</v>
      </c>
      <c r="I73" s="53"/>
      <c r="J73" s="54">
        <f t="shared" si="15"/>
        <v>0</v>
      </c>
      <c r="K73" s="32"/>
    </row>
    <row r="74" spans="1:11" x14ac:dyDescent="0.35">
      <c r="A74" s="104"/>
      <c r="B74" s="114"/>
      <c r="C74" s="114"/>
      <c r="D74" s="114"/>
      <c r="E74" s="104"/>
      <c r="F74" s="104"/>
      <c r="G74" s="104"/>
      <c r="H74" s="54">
        <f>IF(E74&gt;0,1,0)</f>
        <v>0</v>
      </c>
      <c r="I74" s="104"/>
      <c r="J74" s="112">
        <f>F74*G74*I74</f>
        <v>0</v>
      </c>
      <c r="K74" s="32"/>
    </row>
    <row r="75" spans="1:11" x14ac:dyDescent="0.35">
      <c r="A75" s="53"/>
      <c r="B75" s="113"/>
      <c r="C75" s="113"/>
      <c r="D75" s="113"/>
      <c r="E75" s="53"/>
      <c r="F75" s="53"/>
      <c r="G75" s="53"/>
      <c r="H75" s="54">
        <f t="shared" ref="H75:H82" si="16">IF(E75&gt;0,1,0)</f>
        <v>0</v>
      </c>
      <c r="I75" s="53"/>
      <c r="J75" s="54">
        <f t="shared" ref="J75:J82" si="17">F75*G75*I75</f>
        <v>0</v>
      </c>
      <c r="K75" s="32"/>
    </row>
    <row r="76" spans="1:11" x14ac:dyDescent="0.35">
      <c r="A76" s="53"/>
      <c r="B76" s="113"/>
      <c r="C76" s="113"/>
      <c r="D76" s="113"/>
      <c r="E76" s="53"/>
      <c r="F76" s="53"/>
      <c r="G76" s="53"/>
      <c r="H76" s="54">
        <f t="shared" si="16"/>
        <v>0</v>
      </c>
      <c r="I76" s="53"/>
      <c r="J76" s="54">
        <f t="shared" si="17"/>
        <v>0</v>
      </c>
      <c r="K76" s="32"/>
    </row>
    <row r="77" spans="1:11" x14ac:dyDescent="0.35">
      <c r="A77" s="53"/>
      <c r="B77" s="113"/>
      <c r="C77" s="113"/>
      <c r="D77" s="113"/>
      <c r="E77" s="53"/>
      <c r="F77" s="53"/>
      <c r="G77" s="53"/>
      <c r="H77" s="54">
        <f t="shared" si="16"/>
        <v>0</v>
      </c>
      <c r="I77" s="53"/>
      <c r="J77" s="54">
        <f t="shared" si="17"/>
        <v>0</v>
      </c>
      <c r="K77" s="32"/>
    </row>
    <row r="78" spans="1:11" x14ac:dyDescent="0.35">
      <c r="A78" s="53"/>
      <c r="B78" s="113"/>
      <c r="C78" s="113"/>
      <c r="D78" s="113"/>
      <c r="E78" s="53"/>
      <c r="F78" s="53"/>
      <c r="G78" s="53"/>
      <c r="H78" s="54">
        <f t="shared" si="16"/>
        <v>0</v>
      </c>
      <c r="I78" s="53"/>
      <c r="J78" s="54">
        <f t="shared" si="17"/>
        <v>0</v>
      </c>
      <c r="K78" s="32"/>
    </row>
    <row r="79" spans="1:11" x14ac:dyDescent="0.35">
      <c r="A79" s="53"/>
      <c r="B79" s="113"/>
      <c r="C79" s="113"/>
      <c r="D79" s="113"/>
      <c r="E79" s="53"/>
      <c r="F79" s="53"/>
      <c r="G79" s="53"/>
      <c r="H79" s="54">
        <f t="shared" si="16"/>
        <v>0</v>
      </c>
      <c r="I79" s="53"/>
      <c r="J79" s="54">
        <f t="shared" si="17"/>
        <v>0</v>
      </c>
      <c r="K79" s="32"/>
    </row>
    <row r="80" spans="1:11" x14ac:dyDescent="0.35">
      <c r="A80" s="53"/>
      <c r="B80" s="113"/>
      <c r="C80" s="113"/>
      <c r="D80" s="113"/>
      <c r="E80" s="53"/>
      <c r="F80" s="53"/>
      <c r="G80" s="53"/>
      <c r="H80" s="54">
        <f t="shared" si="16"/>
        <v>0</v>
      </c>
      <c r="I80" s="53"/>
      <c r="J80" s="54">
        <f t="shared" si="17"/>
        <v>0</v>
      </c>
      <c r="K80" s="32"/>
    </row>
    <row r="81" spans="1:11" x14ac:dyDescent="0.35">
      <c r="A81" s="53"/>
      <c r="B81" s="113"/>
      <c r="C81" s="113"/>
      <c r="D81" s="113"/>
      <c r="E81" s="53"/>
      <c r="F81" s="53"/>
      <c r="G81" s="53"/>
      <c r="H81" s="54">
        <f t="shared" si="16"/>
        <v>0</v>
      </c>
      <c r="I81" s="53"/>
      <c r="J81" s="54">
        <f t="shared" si="17"/>
        <v>0</v>
      </c>
      <c r="K81" s="32"/>
    </row>
    <row r="82" spans="1:11" x14ac:dyDescent="0.35">
      <c r="A82" s="53"/>
      <c r="B82" s="113"/>
      <c r="C82" s="113"/>
      <c r="D82" s="113"/>
      <c r="E82" s="53"/>
      <c r="F82" s="53"/>
      <c r="G82" s="53"/>
      <c r="H82" s="54">
        <f t="shared" si="16"/>
        <v>0</v>
      </c>
      <c r="I82" s="53"/>
      <c r="J82" s="54">
        <f t="shared" si="17"/>
        <v>0</v>
      </c>
      <c r="K82" s="32"/>
    </row>
    <row r="83" spans="1:11" x14ac:dyDescent="0.35">
      <c r="A83" s="104"/>
      <c r="B83" s="114"/>
      <c r="C83" s="114"/>
      <c r="D83" s="114"/>
      <c r="E83" s="104"/>
      <c r="F83" s="104"/>
      <c r="G83" s="104"/>
      <c r="H83" s="54">
        <f>IF(E83&gt;0,1,0)</f>
        <v>0</v>
      </c>
      <c r="I83" s="104"/>
      <c r="J83" s="112">
        <f>F83*G83*I83</f>
        <v>0</v>
      </c>
      <c r="K83" s="32"/>
    </row>
    <row r="84" spans="1:11" x14ac:dyDescent="0.35">
      <c r="A84" s="53"/>
      <c r="B84" s="113"/>
      <c r="C84" s="113"/>
      <c r="D84" s="113"/>
      <c r="E84" s="53"/>
      <c r="F84" s="53"/>
      <c r="G84" s="53"/>
      <c r="H84" s="54">
        <f t="shared" ref="H84:H91" si="18">IF(E84&gt;0,1,0)</f>
        <v>0</v>
      </c>
      <c r="I84" s="53"/>
      <c r="J84" s="54">
        <f t="shared" ref="J84:J91" si="19">F84*G84*I84</f>
        <v>0</v>
      </c>
      <c r="K84" s="32"/>
    </row>
    <row r="85" spans="1:11" x14ac:dyDescent="0.35">
      <c r="A85" s="53"/>
      <c r="B85" s="113"/>
      <c r="C85" s="113"/>
      <c r="D85" s="113"/>
      <c r="E85" s="53"/>
      <c r="F85" s="53"/>
      <c r="G85" s="53"/>
      <c r="H85" s="54">
        <f t="shared" si="18"/>
        <v>0</v>
      </c>
      <c r="I85" s="53"/>
      <c r="J85" s="54">
        <f t="shared" si="19"/>
        <v>0</v>
      </c>
      <c r="K85" s="32"/>
    </row>
    <row r="86" spans="1:11" x14ac:dyDescent="0.35">
      <c r="A86" s="53"/>
      <c r="B86" s="113"/>
      <c r="C86" s="113"/>
      <c r="D86" s="113"/>
      <c r="E86" s="53"/>
      <c r="F86" s="53"/>
      <c r="G86" s="53"/>
      <c r="H86" s="54">
        <f t="shared" si="18"/>
        <v>0</v>
      </c>
      <c r="I86" s="53"/>
      <c r="J86" s="54">
        <f t="shared" si="19"/>
        <v>0</v>
      </c>
      <c r="K86" s="32"/>
    </row>
    <row r="87" spans="1:11" x14ac:dyDescent="0.35">
      <c r="A87" s="53"/>
      <c r="B87" s="113"/>
      <c r="C87" s="113"/>
      <c r="D87" s="113"/>
      <c r="E87" s="53"/>
      <c r="F87" s="53"/>
      <c r="G87" s="53"/>
      <c r="H87" s="54">
        <f t="shared" si="18"/>
        <v>0</v>
      </c>
      <c r="I87" s="53"/>
      <c r="J87" s="54">
        <f t="shared" si="19"/>
        <v>0</v>
      </c>
      <c r="K87" s="32"/>
    </row>
    <row r="88" spans="1:11" x14ac:dyDescent="0.35">
      <c r="A88" s="53"/>
      <c r="B88" s="113"/>
      <c r="C88" s="113"/>
      <c r="D88" s="113"/>
      <c r="E88" s="53"/>
      <c r="F88" s="53"/>
      <c r="G88" s="53"/>
      <c r="H88" s="54">
        <f t="shared" si="18"/>
        <v>0</v>
      </c>
      <c r="I88" s="53"/>
      <c r="J88" s="54">
        <f t="shared" si="19"/>
        <v>0</v>
      </c>
      <c r="K88" s="32"/>
    </row>
    <row r="89" spans="1:11" x14ac:dyDescent="0.35">
      <c r="A89" s="53"/>
      <c r="B89" s="113"/>
      <c r="C89" s="113"/>
      <c r="D89" s="113"/>
      <c r="E89" s="53"/>
      <c r="F89" s="53"/>
      <c r="G89" s="53"/>
      <c r="H89" s="54">
        <f t="shared" si="18"/>
        <v>0</v>
      </c>
      <c r="I89" s="53"/>
      <c r="J89" s="54">
        <f t="shared" si="19"/>
        <v>0</v>
      </c>
      <c r="K89" s="32"/>
    </row>
    <row r="90" spans="1:11" x14ac:dyDescent="0.35">
      <c r="A90" s="53"/>
      <c r="B90" s="113"/>
      <c r="C90" s="113"/>
      <c r="D90" s="113"/>
      <c r="E90" s="53"/>
      <c r="F90" s="53"/>
      <c r="G90" s="53"/>
      <c r="H90" s="54">
        <f t="shared" si="18"/>
        <v>0</v>
      </c>
      <c r="I90" s="53"/>
      <c r="J90" s="54">
        <f t="shared" si="19"/>
        <v>0</v>
      </c>
      <c r="K90" s="32"/>
    </row>
    <row r="91" spans="1:11" x14ac:dyDescent="0.35">
      <c r="A91" s="53"/>
      <c r="B91" s="113"/>
      <c r="C91" s="113"/>
      <c r="D91" s="113"/>
      <c r="E91" s="53"/>
      <c r="F91" s="53"/>
      <c r="G91" s="53"/>
      <c r="H91" s="54">
        <f t="shared" si="18"/>
        <v>0</v>
      </c>
      <c r="I91" s="53"/>
      <c r="J91" s="54">
        <f t="shared" si="19"/>
        <v>0</v>
      </c>
      <c r="K91" s="32"/>
    </row>
    <row r="92" spans="1:11" ht="15" thickBot="1" x14ac:dyDescent="0.4">
      <c r="E92" s="110">
        <f>SUM(E65:E91)</f>
        <v>0</v>
      </c>
      <c r="F92" s="2"/>
      <c r="G92" s="2"/>
      <c r="H92" s="118">
        <f>SUM(H65:H91)</f>
        <v>0</v>
      </c>
      <c r="I92" s="2"/>
      <c r="J92" s="111">
        <f>SUM(J65:J91)</f>
        <v>0</v>
      </c>
    </row>
    <row r="93" spans="1:11" ht="15" thickTop="1" x14ac:dyDescent="0.35"/>
    <row r="139" spans="11:11" x14ac:dyDescent="0.35">
      <c r="K139" s="30"/>
    </row>
    <row r="145" spans="11:11" x14ac:dyDescent="0.35">
      <c r="K145" s="30"/>
    </row>
    <row r="146" spans="11:11" x14ac:dyDescent="0.35">
      <c r="K146" s="106"/>
    </row>
    <row r="147" spans="11:11" x14ac:dyDescent="0.35">
      <c r="K147" s="106"/>
    </row>
    <row r="148" spans="11:11" x14ac:dyDescent="0.35">
      <c r="K148" s="106"/>
    </row>
    <row r="149" spans="11:11" x14ac:dyDescent="0.35">
      <c r="K149" s="106"/>
    </row>
    <row r="150" spans="11:11" x14ac:dyDescent="0.35">
      <c r="K150" s="106"/>
    </row>
    <row r="151" spans="11:11" x14ac:dyDescent="0.35">
      <c r="K151" s="106"/>
    </row>
    <row r="152" spans="11:11" x14ac:dyDescent="0.35">
      <c r="K152" s="106"/>
    </row>
    <row r="153" spans="11:11" x14ac:dyDescent="0.35">
      <c r="K153" s="106"/>
    </row>
    <row r="154" spans="11:11" x14ac:dyDescent="0.35">
      <c r="K154" s="106"/>
    </row>
    <row r="155" spans="11:11" x14ac:dyDescent="0.35">
      <c r="K155" s="106"/>
    </row>
    <row r="156" spans="11:11" x14ac:dyDescent="0.35">
      <c r="K156" s="106"/>
    </row>
    <row r="157" spans="11:11" x14ac:dyDescent="0.35">
      <c r="K157" s="106"/>
    </row>
    <row r="158" spans="11:11" x14ac:dyDescent="0.35">
      <c r="K158" s="106"/>
    </row>
    <row r="159" spans="11:11" x14ac:dyDescent="0.35">
      <c r="K159" s="106"/>
    </row>
    <row r="160" spans="11:11" x14ac:dyDescent="0.35">
      <c r="K160" s="106"/>
    </row>
    <row r="161" spans="11:11" x14ac:dyDescent="0.35">
      <c r="K161" s="106"/>
    </row>
    <row r="162" spans="11:11" x14ac:dyDescent="0.35">
      <c r="K162" s="106"/>
    </row>
    <row r="163" spans="11:11" x14ac:dyDescent="0.35">
      <c r="K163" s="106"/>
    </row>
    <row r="164" spans="11:11" x14ac:dyDescent="0.35">
      <c r="K164" s="106"/>
    </row>
    <row r="165" spans="11:11" x14ac:dyDescent="0.35">
      <c r="K165" s="106"/>
    </row>
    <row r="166" spans="11:11" x14ac:dyDescent="0.35">
      <c r="K166" s="106"/>
    </row>
    <row r="167" spans="11:11" x14ac:dyDescent="0.35">
      <c r="K167" s="106"/>
    </row>
    <row r="168" spans="11:11" x14ac:dyDescent="0.35">
      <c r="K168" s="106"/>
    </row>
    <row r="169" spans="11:11" x14ac:dyDescent="0.35">
      <c r="K169" s="106"/>
    </row>
    <row r="170" spans="11:11" x14ac:dyDescent="0.35">
      <c r="K170" s="106"/>
    </row>
    <row r="171" spans="11:11" x14ac:dyDescent="0.35">
      <c r="K171" s="106"/>
    </row>
    <row r="172" spans="11:11" x14ac:dyDescent="0.35">
      <c r="K172" s="106"/>
    </row>
    <row r="173" spans="11:11" x14ac:dyDescent="0.35">
      <c r="K173" s="106"/>
    </row>
    <row r="174" spans="11:11" x14ac:dyDescent="0.35">
      <c r="K174" s="106"/>
    </row>
    <row r="175" spans="11:11" x14ac:dyDescent="0.35">
      <c r="K175" s="106"/>
    </row>
    <row r="176" spans="11:11" x14ac:dyDescent="0.35">
      <c r="K176" s="106"/>
    </row>
    <row r="177" spans="11:11" x14ac:dyDescent="0.35">
      <c r="K177" s="106"/>
    </row>
    <row r="178" spans="11:11" x14ac:dyDescent="0.35">
      <c r="K178" s="106"/>
    </row>
    <row r="179" spans="11:11" x14ac:dyDescent="0.35">
      <c r="K179" s="106"/>
    </row>
    <row r="180" spans="11:11" x14ac:dyDescent="0.35">
      <c r="K180" s="106"/>
    </row>
    <row r="181" spans="11:11" x14ac:dyDescent="0.35">
      <c r="K181" s="106"/>
    </row>
    <row r="182" spans="11:11" x14ac:dyDescent="0.35">
      <c r="K182" s="106"/>
    </row>
    <row r="183" spans="11:11" x14ac:dyDescent="0.35">
      <c r="K183" s="106"/>
    </row>
    <row r="184" spans="11:11" x14ac:dyDescent="0.35">
      <c r="K184" s="106"/>
    </row>
    <row r="185" spans="11:11" x14ac:dyDescent="0.35">
      <c r="K185" s="106"/>
    </row>
    <row r="186" spans="11:11" x14ac:dyDescent="0.35">
      <c r="K186" s="106"/>
    </row>
    <row r="187" spans="11:11" x14ac:dyDescent="0.35">
      <c r="K187" s="106"/>
    </row>
    <row r="188" spans="11:11" x14ac:dyDescent="0.35">
      <c r="K188" s="106"/>
    </row>
    <row r="189" spans="11:11" x14ac:dyDescent="0.35">
      <c r="K189" s="106"/>
    </row>
    <row r="190" spans="11:11" x14ac:dyDescent="0.35">
      <c r="K190" s="106"/>
    </row>
    <row r="191" spans="11:11" x14ac:dyDescent="0.35">
      <c r="K191" s="106"/>
    </row>
    <row r="192" spans="11:11" x14ac:dyDescent="0.35">
      <c r="K192" s="106"/>
    </row>
    <row r="193" spans="11:11" x14ac:dyDescent="0.35">
      <c r="K193" s="106"/>
    </row>
    <row r="194" spans="11:11" x14ac:dyDescent="0.35">
      <c r="K194" s="106"/>
    </row>
    <row r="195" spans="11:11" x14ac:dyDescent="0.35">
      <c r="K195" s="106"/>
    </row>
    <row r="196" spans="11:11" x14ac:dyDescent="0.35">
      <c r="K196" s="106"/>
    </row>
    <row r="197" spans="11:11" x14ac:dyDescent="0.35">
      <c r="K197" s="106"/>
    </row>
    <row r="198" spans="11:11" x14ac:dyDescent="0.35">
      <c r="K198" s="106"/>
    </row>
    <row r="199" spans="11:11" x14ac:dyDescent="0.35">
      <c r="K199" s="106"/>
    </row>
    <row r="200" spans="11:11" x14ac:dyDescent="0.35">
      <c r="K200" s="106"/>
    </row>
    <row r="201" spans="11:11" x14ac:dyDescent="0.35">
      <c r="K201" s="106"/>
    </row>
    <row r="202" spans="11:11" x14ac:dyDescent="0.35">
      <c r="K202" s="106"/>
    </row>
    <row r="203" spans="11:11" x14ac:dyDescent="0.35">
      <c r="K203" s="106"/>
    </row>
    <row r="204" spans="11:11" x14ac:dyDescent="0.35">
      <c r="K204" s="106"/>
    </row>
    <row r="205" spans="11:11" x14ac:dyDescent="0.35">
      <c r="K205" s="106"/>
    </row>
    <row r="206" spans="11:11" x14ac:dyDescent="0.35">
      <c r="K206" s="106"/>
    </row>
    <row r="207" spans="11:11" x14ac:dyDescent="0.35">
      <c r="K207" s="106"/>
    </row>
    <row r="208" spans="11:11" x14ac:dyDescent="0.35">
      <c r="K208" s="106"/>
    </row>
    <row r="209" spans="11:11" x14ac:dyDescent="0.35">
      <c r="K209" s="106"/>
    </row>
    <row r="210" spans="11:11" x14ac:dyDescent="0.35">
      <c r="K210" s="106"/>
    </row>
    <row r="211" spans="11:11" x14ac:dyDescent="0.35">
      <c r="K211" s="106"/>
    </row>
    <row r="212" spans="11:11" x14ac:dyDescent="0.35">
      <c r="K212" s="106"/>
    </row>
    <row r="213" spans="11:11" x14ac:dyDescent="0.35">
      <c r="K213" s="106"/>
    </row>
    <row r="214" spans="11:11" x14ac:dyDescent="0.35">
      <c r="K214" s="106"/>
    </row>
    <row r="215" spans="11:11" x14ac:dyDescent="0.35">
      <c r="K215" s="3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56B2C4-F143-4099-AF54-B19A74D0A601}">
          <x14:formula1>
            <xm:f>TESTS!$B$3:$B$34</xm:f>
          </x14:formula1>
          <xm:sqref>K2:K91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9ED7-FC08-42A1-9D15-B0381FB1FA53}">
  <dimension ref="A1:O93"/>
  <sheetViews>
    <sheetView topLeftCell="A47" zoomScale="70" zoomScaleNormal="70" workbookViewId="0">
      <selection activeCell="F94" sqref="F94"/>
    </sheetView>
  </sheetViews>
  <sheetFormatPr defaultRowHeight="14.5" x14ac:dyDescent="0.35"/>
  <cols>
    <col min="2" max="2" width="12.81640625" customWidth="1"/>
    <col min="4" max="7" width="9.1796875" customWidth="1"/>
    <col min="8" max="8" width="10.7265625" customWidth="1"/>
    <col min="10" max="10" width="13" customWidth="1"/>
    <col min="11" max="11" width="11" customWidth="1"/>
    <col min="15" max="15" width="9.1796875" customWidth="1"/>
  </cols>
  <sheetData>
    <row r="1" spans="1:15" ht="29.25" customHeight="1" thickBot="1" x14ac:dyDescent="0.4">
      <c r="A1" s="24" t="s">
        <v>217</v>
      </c>
      <c r="B1" s="46" t="s">
        <v>173</v>
      </c>
      <c r="C1" s="24" t="s">
        <v>165</v>
      </c>
      <c r="D1" s="24" t="s">
        <v>175</v>
      </c>
      <c r="E1" s="122" t="s">
        <v>174</v>
      </c>
      <c r="F1" s="24" t="s">
        <v>218</v>
      </c>
      <c r="H1" s="46" t="s">
        <v>53</v>
      </c>
      <c r="I1" s="24" t="s">
        <v>156</v>
      </c>
      <c r="J1" s="46" t="s">
        <v>188</v>
      </c>
      <c r="K1" s="46" t="s">
        <v>184</v>
      </c>
      <c r="L1" s="46" t="s">
        <v>214</v>
      </c>
      <c r="M1" s="46" t="s">
        <v>215</v>
      </c>
      <c r="N1" s="123"/>
      <c r="O1" s="124" t="s">
        <v>187</v>
      </c>
    </row>
    <row r="2" spans="1:15" x14ac:dyDescent="0.35">
      <c r="A2" s="115"/>
      <c r="B2" s="115"/>
      <c r="C2" s="115"/>
      <c r="D2" s="103">
        <f t="shared" ref="D2:D11" si="0">IF(C2&gt;5,5,C2)</f>
        <v>0</v>
      </c>
      <c r="E2" s="103">
        <f t="shared" ref="E2:E11" si="1">IF(C2&gt;10,5,MAX(0,C2-5))</f>
        <v>0</v>
      </c>
      <c r="F2" s="103">
        <f t="shared" ref="F2:F11" si="2">IF(C2&gt;10,C2-10,MAX(0,C2-10))</f>
        <v>0</v>
      </c>
      <c r="H2" s="33">
        <f t="shared" ref="H2:H11" si="3">IF(C2&gt;0,1,0)</f>
        <v>0</v>
      </c>
      <c r="I2" s="32"/>
      <c r="J2" s="32"/>
      <c r="K2" s="32"/>
      <c r="L2" s="32"/>
      <c r="M2" s="32"/>
      <c r="N2" s="28"/>
      <c r="O2" s="28">
        <f>IF(OR(G2="YES",K2="YES"), 1, 0)</f>
        <v>0</v>
      </c>
    </row>
    <row r="3" spans="1:15" x14ac:dyDescent="0.35">
      <c r="A3" s="115"/>
      <c r="B3" s="115"/>
      <c r="C3" s="115"/>
      <c r="D3" s="103">
        <f t="shared" si="0"/>
        <v>0</v>
      </c>
      <c r="E3" s="103">
        <f t="shared" si="1"/>
        <v>0</v>
      </c>
      <c r="F3" s="103">
        <f t="shared" si="2"/>
        <v>0</v>
      </c>
      <c r="H3" s="33">
        <f t="shared" si="3"/>
        <v>0</v>
      </c>
      <c r="I3" s="32"/>
      <c r="J3" s="32"/>
      <c r="K3" s="32"/>
      <c r="L3" s="32"/>
      <c r="M3" s="32"/>
      <c r="N3" s="28"/>
      <c r="O3" s="28">
        <f t="shared" ref="O3:O90" si="4">IF(OR(G3="YES",K3="YES"), 1, 0)</f>
        <v>0</v>
      </c>
    </row>
    <row r="4" spans="1:15" x14ac:dyDescent="0.35">
      <c r="A4" s="115"/>
      <c r="B4" s="115"/>
      <c r="C4" s="115"/>
      <c r="D4" s="103">
        <f t="shared" si="0"/>
        <v>0</v>
      </c>
      <c r="E4" s="103">
        <f t="shared" si="1"/>
        <v>0</v>
      </c>
      <c r="F4" s="103">
        <f t="shared" si="2"/>
        <v>0</v>
      </c>
      <c r="H4" s="33">
        <f t="shared" si="3"/>
        <v>0</v>
      </c>
      <c r="I4" s="32"/>
      <c r="J4" s="32"/>
      <c r="K4" s="32"/>
      <c r="L4" s="32"/>
      <c r="M4" s="32"/>
      <c r="N4" s="28"/>
      <c r="O4" s="28">
        <f t="shared" si="4"/>
        <v>0</v>
      </c>
    </row>
    <row r="5" spans="1:15" x14ac:dyDescent="0.35">
      <c r="A5" s="115"/>
      <c r="B5" s="115"/>
      <c r="C5" s="115"/>
      <c r="D5" s="103">
        <f t="shared" si="0"/>
        <v>0</v>
      </c>
      <c r="E5" s="103">
        <f t="shared" si="1"/>
        <v>0</v>
      </c>
      <c r="F5" s="103">
        <f t="shared" si="2"/>
        <v>0</v>
      </c>
      <c r="H5" s="33">
        <f t="shared" si="3"/>
        <v>0</v>
      </c>
      <c r="I5" s="32"/>
      <c r="J5" s="32"/>
      <c r="K5" s="32"/>
      <c r="L5" s="32"/>
      <c r="M5" s="32"/>
      <c r="N5" s="28"/>
      <c r="O5" s="28">
        <f t="shared" si="4"/>
        <v>0</v>
      </c>
    </row>
    <row r="6" spans="1:15" x14ac:dyDescent="0.35">
      <c r="A6" s="115"/>
      <c r="B6" s="115"/>
      <c r="C6" s="115"/>
      <c r="D6" s="103">
        <f t="shared" si="0"/>
        <v>0</v>
      </c>
      <c r="E6" s="103">
        <f t="shared" si="1"/>
        <v>0</v>
      </c>
      <c r="F6" s="103">
        <f t="shared" si="2"/>
        <v>0</v>
      </c>
      <c r="H6" s="33">
        <f t="shared" si="3"/>
        <v>0</v>
      </c>
      <c r="I6" s="32"/>
      <c r="J6" s="32"/>
      <c r="K6" s="32"/>
      <c r="L6" s="32"/>
      <c r="M6" s="32"/>
      <c r="N6" s="28"/>
      <c r="O6" s="28">
        <f t="shared" si="4"/>
        <v>0</v>
      </c>
    </row>
    <row r="7" spans="1:15" x14ac:dyDescent="0.35">
      <c r="A7" s="115"/>
      <c r="B7" s="115"/>
      <c r="C7" s="115"/>
      <c r="D7" s="103">
        <f t="shared" si="0"/>
        <v>0</v>
      </c>
      <c r="E7" s="103">
        <f t="shared" si="1"/>
        <v>0</v>
      </c>
      <c r="F7" s="103">
        <f t="shared" si="2"/>
        <v>0</v>
      </c>
      <c r="H7" s="33">
        <f t="shared" si="3"/>
        <v>0</v>
      </c>
      <c r="I7" s="32"/>
      <c r="J7" s="32"/>
      <c r="K7" s="32"/>
      <c r="L7" s="32"/>
      <c r="M7" s="32"/>
      <c r="N7" s="28"/>
      <c r="O7" s="28">
        <f t="shared" si="4"/>
        <v>0</v>
      </c>
    </row>
    <row r="8" spans="1:15" x14ac:dyDescent="0.35">
      <c r="A8" s="115"/>
      <c r="B8" s="115"/>
      <c r="C8" s="115"/>
      <c r="D8" s="103">
        <f t="shared" si="0"/>
        <v>0</v>
      </c>
      <c r="E8" s="103">
        <f t="shared" si="1"/>
        <v>0</v>
      </c>
      <c r="F8" s="103">
        <f t="shared" si="2"/>
        <v>0</v>
      </c>
      <c r="H8" s="33">
        <f t="shared" si="3"/>
        <v>0</v>
      </c>
      <c r="I8" s="32"/>
      <c r="J8" s="32"/>
      <c r="K8" s="32"/>
      <c r="L8" s="32"/>
      <c r="M8" s="32"/>
      <c r="N8" s="28"/>
      <c r="O8" s="28">
        <f t="shared" si="4"/>
        <v>0</v>
      </c>
    </row>
    <row r="9" spans="1:15" x14ac:dyDescent="0.35">
      <c r="A9" s="115"/>
      <c r="B9" s="115"/>
      <c r="C9" s="115"/>
      <c r="D9" s="103">
        <f t="shared" si="0"/>
        <v>0</v>
      </c>
      <c r="E9" s="103">
        <f t="shared" si="1"/>
        <v>0</v>
      </c>
      <c r="F9" s="103">
        <f t="shared" si="2"/>
        <v>0</v>
      </c>
      <c r="H9" s="33">
        <f t="shared" si="3"/>
        <v>0</v>
      </c>
      <c r="I9" s="32"/>
      <c r="J9" s="32"/>
      <c r="K9" s="32"/>
      <c r="L9" s="32"/>
      <c r="M9" s="32"/>
      <c r="N9" s="28"/>
      <c r="O9" s="28">
        <f t="shared" si="4"/>
        <v>0</v>
      </c>
    </row>
    <row r="10" spans="1:15" x14ac:dyDescent="0.35">
      <c r="A10" s="115"/>
      <c r="B10" s="115"/>
      <c r="C10" s="115"/>
      <c r="D10" s="103">
        <f t="shared" si="0"/>
        <v>0</v>
      </c>
      <c r="E10" s="103">
        <f t="shared" si="1"/>
        <v>0</v>
      </c>
      <c r="F10" s="103">
        <f t="shared" si="2"/>
        <v>0</v>
      </c>
      <c r="H10" s="33">
        <f t="shared" si="3"/>
        <v>0</v>
      </c>
      <c r="I10" s="32"/>
      <c r="J10" s="32"/>
      <c r="K10" s="32"/>
      <c r="L10" s="32"/>
      <c r="M10" s="32"/>
      <c r="N10" s="28"/>
      <c r="O10" s="28">
        <f t="shared" si="4"/>
        <v>0</v>
      </c>
    </row>
    <row r="11" spans="1:15" x14ac:dyDescent="0.35">
      <c r="A11" s="115"/>
      <c r="B11" s="115"/>
      <c r="C11" s="115"/>
      <c r="D11" s="103">
        <f t="shared" si="0"/>
        <v>0</v>
      </c>
      <c r="E11" s="103">
        <f t="shared" si="1"/>
        <v>0</v>
      </c>
      <c r="F11" s="103">
        <f t="shared" si="2"/>
        <v>0</v>
      </c>
      <c r="H11" s="33">
        <f t="shared" si="3"/>
        <v>0</v>
      </c>
      <c r="I11" s="32"/>
      <c r="J11" s="32"/>
      <c r="K11" s="32"/>
      <c r="L11" s="32"/>
      <c r="M11" s="32"/>
      <c r="N11" s="28"/>
      <c r="O11" s="28">
        <f t="shared" si="4"/>
        <v>0</v>
      </c>
    </row>
    <row r="12" spans="1:15" x14ac:dyDescent="0.35">
      <c r="A12" s="32"/>
      <c r="B12" s="115"/>
      <c r="C12" s="32"/>
      <c r="D12" s="103">
        <f t="shared" ref="D12:D91" si="5">IF(C12&gt;5,5,C12)</f>
        <v>0</v>
      </c>
      <c r="E12" s="103">
        <f t="shared" ref="E12:E91" si="6">IF(C12&gt;10,5,MAX(0,C12-5))</f>
        <v>0</v>
      </c>
      <c r="F12" s="103">
        <f t="shared" ref="F12:F91" si="7">IF(C12&gt;10,C12-10,MAX(0,C12-10))</f>
        <v>0</v>
      </c>
      <c r="H12" s="33">
        <f t="shared" ref="H12:H91" si="8">IF(C12&gt;0,1,0)</f>
        <v>0</v>
      </c>
      <c r="I12" s="32"/>
      <c r="J12" s="32"/>
      <c r="K12" s="32"/>
      <c r="L12" s="32"/>
      <c r="M12" s="32"/>
      <c r="N12" s="28"/>
      <c r="O12" s="28">
        <f t="shared" si="4"/>
        <v>0</v>
      </c>
    </row>
    <row r="13" spans="1:15" x14ac:dyDescent="0.35">
      <c r="A13" s="32"/>
      <c r="B13" s="115"/>
      <c r="C13" s="32"/>
      <c r="D13" s="103">
        <f t="shared" si="5"/>
        <v>0</v>
      </c>
      <c r="E13" s="103">
        <f t="shared" si="6"/>
        <v>0</v>
      </c>
      <c r="F13" s="103">
        <f t="shared" si="7"/>
        <v>0</v>
      </c>
      <c r="H13" s="33">
        <f t="shared" si="8"/>
        <v>0</v>
      </c>
      <c r="I13" s="32"/>
      <c r="J13" s="32"/>
      <c r="K13" s="32"/>
      <c r="L13" s="32"/>
      <c r="M13" s="32"/>
      <c r="N13" s="28"/>
      <c r="O13" s="28">
        <f t="shared" si="4"/>
        <v>0</v>
      </c>
    </row>
    <row r="14" spans="1:15" x14ac:dyDescent="0.35">
      <c r="A14" s="32"/>
      <c r="B14" s="115"/>
      <c r="C14" s="32"/>
      <c r="D14" s="103">
        <f t="shared" si="5"/>
        <v>0</v>
      </c>
      <c r="E14" s="103">
        <f t="shared" si="6"/>
        <v>0</v>
      </c>
      <c r="F14" s="103">
        <f t="shared" si="7"/>
        <v>0</v>
      </c>
      <c r="H14" s="33">
        <f t="shared" si="8"/>
        <v>0</v>
      </c>
      <c r="I14" s="32"/>
      <c r="J14" s="32"/>
      <c r="K14" s="32"/>
      <c r="L14" s="32"/>
      <c r="M14" s="32"/>
      <c r="N14" s="28"/>
      <c r="O14" s="28">
        <f t="shared" si="4"/>
        <v>0</v>
      </c>
    </row>
    <row r="15" spans="1:15" x14ac:dyDescent="0.35">
      <c r="A15" s="32"/>
      <c r="B15" s="115"/>
      <c r="C15" s="32"/>
      <c r="D15" s="103">
        <f t="shared" si="5"/>
        <v>0</v>
      </c>
      <c r="E15" s="103">
        <f t="shared" si="6"/>
        <v>0</v>
      </c>
      <c r="F15" s="103">
        <f t="shared" si="7"/>
        <v>0</v>
      </c>
      <c r="H15" s="33">
        <f t="shared" si="8"/>
        <v>0</v>
      </c>
      <c r="I15" s="32"/>
      <c r="J15" s="32"/>
      <c r="K15" s="32"/>
      <c r="L15" s="32"/>
      <c r="M15" s="32"/>
      <c r="N15" s="28"/>
      <c r="O15" s="28">
        <f t="shared" si="4"/>
        <v>0</v>
      </c>
    </row>
    <row r="16" spans="1:15" x14ac:dyDescent="0.35">
      <c r="A16" s="32"/>
      <c r="B16" s="115"/>
      <c r="C16" s="32"/>
      <c r="D16" s="103">
        <f t="shared" si="5"/>
        <v>0</v>
      </c>
      <c r="E16" s="103">
        <f t="shared" si="6"/>
        <v>0</v>
      </c>
      <c r="F16" s="103">
        <f t="shared" si="7"/>
        <v>0</v>
      </c>
      <c r="H16" s="33">
        <f t="shared" si="8"/>
        <v>0</v>
      </c>
      <c r="I16" s="32"/>
      <c r="J16" s="32"/>
      <c r="K16" s="32"/>
      <c r="L16" s="32"/>
      <c r="M16" s="32"/>
      <c r="N16" s="28"/>
      <c r="O16" s="28">
        <f t="shared" si="4"/>
        <v>0</v>
      </c>
    </row>
    <row r="17" spans="1:15" x14ac:dyDescent="0.35">
      <c r="A17" s="32"/>
      <c r="B17" s="115"/>
      <c r="C17" s="32"/>
      <c r="D17" s="103">
        <f t="shared" si="5"/>
        <v>0</v>
      </c>
      <c r="E17" s="103">
        <f t="shared" si="6"/>
        <v>0</v>
      </c>
      <c r="F17" s="103">
        <f t="shared" si="7"/>
        <v>0</v>
      </c>
      <c r="H17" s="33">
        <f t="shared" si="8"/>
        <v>0</v>
      </c>
      <c r="I17" s="32"/>
      <c r="J17" s="32"/>
      <c r="K17" s="32"/>
      <c r="L17" s="32"/>
      <c r="M17" s="32"/>
      <c r="N17" s="28"/>
      <c r="O17" s="28">
        <f t="shared" si="4"/>
        <v>0</v>
      </c>
    </row>
    <row r="18" spans="1:15" x14ac:dyDescent="0.35">
      <c r="A18" s="32"/>
      <c r="B18" s="115"/>
      <c r="C18" s="32"/>
      <c r="D18" s="103">
        <f t="shared" si="5"/>
        <v>0</v>
      </c>
      <c r="E18" s="103">
        <f t="shared" si="6"/>
        <v>0</v>
      </c>
      <c r="F18" s="103">
        <f t="shared" si="7"/>
        <v>0</v>
      </c>
      <c r="H18" s="33">
        <f t="shared" si="8"/>
        <v>0</v>
      </c>
      <c r="I18" s="32"/>
      <c r="J18" s="32"/>
      <c r="K18" s="32"/>
      <c r="L18" s="32"/>
      <c r="M18" s="32"/>
      <c r="N18" s="28"/>
      <c r="O18" s="28">
        <f t="shared" si="4"/>
        <v>0</v>
      </c>
    </row>
    <row r="19" spans="1:15" x14ac:dyDescent="0.35">
      <c r="A19" s="32"/>
      <c r="B19" s="115"/>
      <c r="C19" s="32"/>
      <c r="D19" s="103">
        <f t="shared" si="5"/>
        <v>0</v>
      </c>
      <c r="E19" s="103">
        <f t="shared" si="6"/>
        <v>0</v>
      </c>
      <c r="F19" s="103">
        <f t="shared" si="7"/>
        <v>0</v>
      </c>
      <c r="H19" s="33">
        <f t="shared" si="8"/>
        <v>0</v>
      </c>
      <c r="I19" s="32"/>
      <c r="J19" s="32"/>
      <c r="K19" s="32"/>
      <c r="L19" s="32"/>
      <c r="M19" s="32"/>
      <c r="N19" s="28"/>
      <c r="O19" s="28">
        <f t="shared" si="4"/>
        <v>0</v>
      </c>
    </row>
    <row r="20" spans="1:15" x14ac:dyDescent="0.35">
      <c r="A20" s="32"/>
      <c r="B20" s="115"/>
      <c r="C20" s="32"/>
      <c r="D20" s="103">
        <f t="shared" si="5"/>
        <v>0</v>
      </c>
      <c r="E20" s="103">
        <f t="shared" si="6"/>
        <v>0</v>
      </c>
      <c r="F20" s="103">
        <f t="shared" si="7"/>
        <v>0</v>
      </c>
      <c r="H20" s="33">
        <f t="shared" si="8"/>
        <v>0</v>
      </c>
      <c r="I20" s="32"/>
      <c r="J20" s="32"/>
      <c r="K20" s="32"/>
      <c r="L20" s="32"/>
      <c r="M20" s="32"/>
      <c r="N20" s="28"/>
      <c r="O20" s="28">
        <f t="shared" si="4"/>
        <v>0</v>
      </c>
    </row>
    <row r="21" spans="1:15" x14ac:dyDescent="0.35">
      <c r="A21" s="32"/>
      <c r="B21" s="115"/>
      <c r="C21" s="32"/>
      <c r="D21" s="103">
        <f t="shared" si="5"/>
        <v>0</v>
      </c>
      <c r="E21" s="103">
        <f t="shared" si="6"/>
        <v>0</v>
      </c>
      <c r="F21" s="103">
        <f t="shared" si="7"/>
        <v>0</v>
      </c>
      <c r="H21" s="33">
        <f t="shared" si="8"/>
        <v>0</v>
      </c>
      <c r="I21" s="32"/>
      <c r="J21" s="32"/>
      <c r="K21" s="32"/>
      <c r="L21" s="32"/>
      <c r="M21" s="32"/>
      <c r="N21" s="28"/>
      <c r="O21" s="28">
        <f t="shared" si="4"/>
        <v>0</v>
      </c>
    </row>
    <row r="22" spans="1:15" x14ac:dyDescent="0.35">
      <c r="A22" s="32"/>
      <c r="B22" s="115"/>
      <c r="C22" s="32"/>
      <c r="D22" s="103">
        <f t="shared" si="5"/>
        <v>0</v>
      </c>
      <c r="E22" s="103">
        <f t="shared" si="6"/>
        <v>0</v>
      </c>
      <c r="F22" s="103">
        <f t="shared" si="7"/>
        <v>0</v>
      </c>
      <c r="H22" s="33">
        <f t="shared" si="8"/>
        <v>0</v>
      </c>
      <c r="I22" s="32"/>
      <c r="J22" s="32"/>
      <c r="K22" s="32"/>
      <c r="L22" s="32"/>
      <c r="M22" s="32"/>
      <c r="N22" s="28"/>
      <c r="O22" s="28">
        <f t="shared" si="4"/>
        <v>0</v>
      </c>
    </row>
    <row r="23" spans="1:15" x14ac:dyDescent="0.35">
      <c r="A23" s="32"/>
      <c r="B23" s="115"/>
      <c r="C23" s="32"/>
      <c r="D23" s="103">
        <f t="shared" si="5"/>
        <v>0</v>
      </c>
      <c r="E23" s="103">
        <f t="shared" si="6"/>
        <v>0</v>
      </c>
      <c r="F23" s="103">
        <f t="shared" si="7"/>
        <v>0</v>
      </c>
      <c r="H23" s="33">
        <f t="shared" si="8"/>
        <v>0</v>
      </c>
      <c r="I23" s="32"/>
      <c r="J23" s="32"/>
      <c r="K23" s="32"/>
      <c r="L23" s="32"/>
      <c r="M23" s="32"/>
      <c r="N23" s="28"/>
      <c r="O23" s="28">
        <f t="shared" si="4"/>
        <v>0</v>
      </c>
    </row>
    <row r="24" spans="1:15" x14ac:dyDescent="0.35">
      <c r="A24" s="32"/>
      <c r="B24" s="115"/>
      <c r="C24" s="32"/>
      <c r="D24" s="103">
        <f t="shared" ref="D24:D56" si="9">IF(C24&gt;5,5,C24)</f>
        <v>0</v>
      </c>
      <c r="E24" s="103">
        <f t="shared" ref="E24:E56" si="10">IF(C24&gt;10,5,MAX(0,C24-5))</f>
        <v>0</v>
      </c>
      <c r="F24" s="103">
        <f t="shared" ref="F24:F56" si="11">IF(C24&gt;10,C24-10,MAX(0,C24-10))</f>
        <v>0</v>
      </c>
      <c r="H24" s="33">
        <f t="shared" si="8"/>
        <v>0</v>
      </c>
      <c r="I24" s="32"/>
      <c r="J24" s="32"/>
      <c r="K24" s="32"/>
      <c r="L24" s="32"/>
      <c r="M24" s="32"/>
      <c r="N24" s="28"/>
      <c r="O24" s="28">
        <f t="shared" si="4"/>
        <v>0</v>
      </c>
    </row>
    <row r="25" spans="1:15" x14ac:dyDescent="0.35">
      <c r="A25" s="32"/>
      <c r="B25" s="115"/>
      <c r="C25" s="32"/>
      <c r="D25" s="103">
        <f t="shared" si="9"/>
        <v>0</v>
      </c>
      <c r="E25" s="103">
        <f t="shared" si="10"/>
        <v>0</v>
      </c>
      <c r="F25" s="103">
        <f t="shared" si="11"/>
        <v>0</v>
      </c>
      <c r="H25" s="33">
        <f t="shared" si="8"/>
        <v>0</v>
      </c>
      <c r="I25" s="32"/>
      <c r="J25" s="32"/>
      <c r="K25" s="32"/>
      <c r="L25" s="32"/>
      <c r="M25" s="32"/>
      <c r="N25" s="28"/>
      <c r="O25" s="28">
        <f t="shared" si="4"/>
        <v>0</v>
      </c>
    </row>
    <row r="26" spans="1:15" x14ac:dyDescent="0.35">
      <c r="A26" s="32"/>
      <c r="B26" s="115"/>
      <c r="C26" s="32"/>
      <c r="D26" s="103">
        <f t="shared" si="9"/>
        <v>0</v>
      </c>
      <c r="E26" s="103">
        <f t="shared" si="10"/>
        <v>0</v>
      </c>
      <c r="F26" s="103">
        <f t="shared" si="11"/>
        <v>0</v>
      </c>
      <c r="H26" s="33">
        <f t="shared" si="8"/>
        <v>0</v>
      </c>
      <c r="I26" s="32"/>
      <c r="J26" s="32"/>
      <c r="K26" s="32"/>
      <c r="L26" s="32"/>
      <c r="M26" s="32"/>
      <c r="N26" s="28"/>
      <c r="O26" s="28">
        <f t="shared" si="4"/>
        <v>0</v>
      </c>
    </row>
    <row r="27" spans="1:15" x14ac:dyDescent="0.35">
      <c r="A27" s="32"/>
      <c r="B27" s="115"/>
      <c r="C27" s="32"/>
      <c r="D27" s="103">
        <f t="shared" si="9"/>
        <v>0</v>
      </c>
      <c r="E27" s="103">
        <f t="shared" si="10"/>
        <v>0</v>
      </c>
      <c r="F27" s="103">
        <f t="shared" si="11"/>
        <v>0</v>
      </c>
      <c r="H27" s="33">
        <f t="shared" si="8"/>
        <v>0</v>
      </c>
      <c r="I27" s="32"/>
      <c r="J27" s="32"/>
      <c r="K27" s="32"/>
      <c r="L27" s="32"/>
      <c r="M27" s="32"/>
      <c r="N27" s="28"/>
      <c r="O27" s="28">
        <f t="shared" si="4"/>
        <v>0</v>
      </c>
    </row>
    <row r="28" spans="1:15" x14ac:dyDescent="0.35">
      <c r="A28" s="115"/>
      <c r="B28" s="115"/>
      <c r="C28" s="115"/>
      <c r="D28" s="103">
        <f t="shared" si="9"/>
        <v>0</v>
      </c>
      <c r="E28" s="103">
        <f t="shared" si="10"/>
        <v>0</v>
      </c>
      <c r="F28" s="103">
        <f t="shared" si="11"/>
        <v>0</v>
      </c>
      <c r="H28" s="33">
        <f t="shared" si="8"/>
        <v>0</v>
      </c>
      <c r="I28" s="32"/>
      <c r="J28" s="32"/>
      <c r="K28" s="32"/>
      <c r="L28" s="32"/>
      <c r="M28" s="32"/>
      <c r="N28" s="28"/>
      <c r="O28" s="28">
        <f>IF(OR(G28="YES",K28="YES"), 1, 0)</f>
        <v>0</v>
      </c>
    </row>
    <row r="29" spans="1:15" x14ac:dyDescent="0.35">
      <c r="A29" s="115"/>
      <c r="B29" s="115"/>
      <c r="C29" s="115"/>
      <c r="D29" s="103">
        <f t="shared" si="9"/>
        <v>0</v>
      </c>
      <c r="E29" s="103">
        <f t="shared" si="10"/>
        <v>0</v>
      </c>
      <c r="F29" s="103">
        <f t="shared" si="11"/>
        <v>0</v>
      </c>
      <c r="H29" s="33">
        <f t="shared" si="8"/>
        <v>0</v>
      </c>
      <c r="I29" s="32"/>
      <c r="J29" s="32"/>
      <c r="K29" s="32"/>
      <c r="L29" s="32"/>
      <c r="M29" s="32"/>
      <c r="N29" s="28"/>
      <c r="O29" s="28">
        <f t="shared" ref="O29:O53" si="12">IF(OR(G29="YES",K29="YES"), 1, 0)</f>
        <v>0</v>
      </c>
    </row>
    <row r="30" spans="1:15" x14ac:dyDescent="0.35">
      <c r="A30" s="115"/>
      <c r="B30" s="115"/>
      <c r="C30" s="115"/>
      <c r="D30" s="103">
        <f t="shared" si="9"/>
        <v>0</v>
      </c>
      <c r="E30" s="103">
        <f t="shared" si="10"/>
        <v>0</v>
      </c>
      <c r="F30" s="103">
        <f t="shared" si="11"/>
        <v>0</v>
      </c>
      <c r="H30" s="33">
        <f t="shared" si="8"/>
        <v>0</v>
      </c>
      <c r="I30" s="32"/>
      <c r="J30" s="32"/>
      <c r="K30" s="32"/>
      <c r="L30" s="32"/>
      <c r="M30" s="32"/>
      <c r="N30" s="28"/>
      <c r="O30" s="28">
        <f t="shared" si="12"/>
        <v>0</v>
      </c>
    </row>
    <row r="31" spans="1:15" x14ac:dyDescent="0.35">
      <c r="A31" s="115"/>
      <c r="B31" s="115"/>
      <c r="C31" s="115"/>
      <c r="D31" s="103">
        <f t="shared" si="9"/>
        <v>0</v>
      </c>
      <c r="E31" s="103">
        <f t="shared" si="10"/>
        <v>0</v>
      </c>
      <c r="F31" s="103">
        <f t="shared" si="11"/>
        <v>0</v>
      </c>
      <c r="H31" s="33">
        <f t="shared" si="8"/>
        <v>0</v>
      </c>
      <c r="I31" s="32"/>
      <c r="J31" s="32"/>
      <c r="K31" s="32"/>
      <c r="L31" s="32"/>
      <c r="M31" s="32"/>
      <c r="N31" s="28"/>
      <c r="O31" s="28">
        <f t="shared" si="12"/>
        <v>0</v>
      </c>
    </row>
    <row r="32" spans="1:15" x14ac:dyDescent="0.35">
      <c r="A32" s="115"/>
      <c r="B32" s="115"/>
      <c r="C32" s="115"/>
      <c r="D32" s="103">
        <f t="shared" si="9"/>
        <v>0</v>
      </c>
      <c r="E32" s="103">
        <f t="shared" si="10"/>
        <v>0</v>
      </c>
      <c r="F32" s="103">
        <f t="shared" si="11"/>
        <v>0</v>
      </c>
      <c r="H32" s="33">
        <f t="shared" si="8"/>
        <v>0</v>
      </c>
      <c r="I32" s="32"/>
      <c r="J32" s="32"/>
      <c r="K32" s="32"/>
      <c r="L32" s="32"/>
      <c r="M32" s="32"/>
      <c r="N32" s="28"/>
      <c r="O32" s="28">
        <f t="shared" si="12"/>
        <v>0</v>
      </c>
    </row>
    <row r="33" spans="1:15" x14ac:dyDescent="0.35">
      <c r="A33" s="115"/>
      <c r="B33" s="115"/>
      <c r="C33" s="115"/>
      <c r="D33" s="103">
        <f t="shared" si="9"/>
        <v>0</v>
      </c>
      <c r="E33" s="103">
        <f t="shared" si="10"/>
        <v>0</v>
      </c>
      <c r="F33" s="103">
        <f t="shared" si="11"/>
        <v>0</v>
      </c>
      <c r="H33" s="33">
        <f t="shared" si="8"/>
        <v>0</v>
      </c>
      <c r="I33" s="32"/>
      <c r="J33" s="32"/>
      <c r="K33" s="32"/>
      <c r="L33" s="32"/>
      <c r="M33" s="32"/>
      <c r="N33" s="28"/>
      <c r="O33" s="28">
        <f t="shared" si="12"/>
        <v>0</v>
      </c>
    </row>
    <row r="34" spans="1:15" x14ac:dyDescent="0.35">
      <c r="A34" s="115"/>
      <c r="B34" s="115"/>
      <c r="C34" s="115"/>
      <c r="D34" s="103">
        <f t="shared" si="9"/>
        <v>0</v>
      </c>
      <c r="E34" s="103">
        <f t="shared" si="10"/>
        <v>0</v>
      </c>
      <c r="F34" s="103">
        <f t="shared" si="11"/>
        <v>0</v>
      </c>
      <c r="H34" s="33">
        <f t="shared" si="8"/>
        <v>0</v>
      </c>
      <c r="I34" s="32"/>
      <c r="J34" s="32"/>
      <c r="K34" s="32"/>
      <c r="L34" s="32"/>
      <c r="M34" s="32"/>
      <c r="N34" s="28"/>
      <c r="O34" s="28">
        <f t="shared" si="12"/>
        <v>0</v>
      </c>
    </row>
    <row r="35" spans="1:15" x14ac:dyDescent="0.35">
      <c r="A35" s="115"/>
      <c r="B35" s="115"/>
      <c r="C35" s="115"/>
      <c r="D35" s="103">
        <f t="shared" si="9"/>
        <v>0</v>
      </c>
      <c r="E35" s="103">
        <f t="shared" si="10"/>
        <v>0</v>
      </c>
      <c r="F35" s="103">
        <f t="shared" si="11"/>
        <v>0</v>
      </c>
      <c r="H35" s="33">
        <f t="shared" si="8"/>
        <v>0</v>
      </c>
      <c r="I35" s="32"/>
      <c r="J35" s="32"/>
      <c r="K35" s="32"/>
      <c r="L35" s="32"/>
      <c r="M35" s="32"/>
      <c r="N35" s="28"/>
      <c r="O35" s="28">
        <f t="shared" si="12"/>
        <v>0</v>
      </c>
    </row>
    <row r="36" spans="1:15" x14ac:dyDescent="0.35">
      <c r="A36" s="115"/>
      <c r="B36" s="115"/>
      <c r="C36" s="115"/>
      <c r="D36" s="103">
        <f t="shared" si="9"/>
        <v>0</v>
      </c>
      <c r="E36" s="103">
        <f t="shared" si="10"/>
        <v>0</v>
      </c>
      <c r="F36" s="103">
        <f t="shared" si="11"/>
        <v>0</v>
      </c>
      <c r="H36" s="33">
        <f t="shared" si="8"/>
        <v>0</v>
      </c>
      <c r="I36" s="32"/>
      <c r="J36" s="32"/>
      <c r="K36" s="32"/>
      <c r="L36" s="32"/>
      <c r="M36" s="32"/>
      <c r="N36" s="28"/>
      <c r="O36" s="28">
        <f t="shared" si="12"/>
        <v>0</v>
      </c>
    </row>
    <row r="37" spans="1:15" x14ac:dyDescent="0.35">
      <c r="A37" s="115"/>
      <c r="B37" s="115"/>
      <c r="C37" s="115"/>
      <c r="D37" s="103">
        <f t="shared" si="9"/>
        <v>0</v>
      </c>
      <c r="E37" s="103">
        <f t="shared" si="10"/>
        <v>0</v>
      </c>
      <c r="F37" s="103">
        <f t="shared" si="11"/>
        <v>0</v>
      </c>
      <c r="H37" s="33">
        <f t="shared" si="8"/>
        <v>0</v>
      </c>
      <c r="I37" s="32"/>
      <c r="J37" s="32"/>
      <c r="K37" s="32"/>
      <c r="L37" s="32"/>
      <c r="M37" s="32"/>
      <c r="N37" s="28"/>
      <c r="O37" s="28">
        <f t="shared" si="12"/>
        <v>0</v>
      </c>
    </row>
    <row r="38" spans="1:15" x14ac:dyDescent="0.35">
      <c r="A38" s="32"/>
      <c r="B38" s="115"/>
      <c r="C38" s="32"/>
      <c r="D38" s="103">
        <f t="shared" si="9"/>
        <v>0</v>
      </c>
      <c r="E38" s="103">
        <f t="shared" si="10"/>
        <v>0</v>
      </c>
      <c r="F38" s="103">
        <f t="shared" si="11"/>
        <v>0</v>
      </c>
      <c r="H38" s="33">
        <f t="shared" ref="H38:H53" si="13">IF(C38&gt;0,1,0)</f>
        <v>0</v>
      </c>
      <c r="I38" s="32"/>
      <c r="J38" s="32"/>
      <c r="K38" s="32"/>
      <c r="L38" s="32"/>
      <c r="M38" s="32"/>
      <c r="N38" s="28"/>
      <c r="O38" s="28">
        <f t="shared" si="12"/>
        <v>0</v>
      </c>
    </row>
    <row r="39" spans="1:15" x14ac:dyDescent="0.35">
      <c r="A39" s="32"/>
      <c r="B39" s="115"/>
      <c r="C39" s="32"/>
      <c r="D39" s="103">
        <f t="shared" si="9"/>
        <v>0</v>
      </c>
      <c r="E39" s="103">
        <f t="shared" si="10"/>
        <v>0</v>
      </c>
      <c r="F39" s="103">
        <f t="shared" si="11"/>
        <v>0</v>
      </c>
      <c r="H39" s="33">
        <f t="shared" si="13"/>
        <v>0</v>
      </c>
      <c r="I39" s="32"/>
      <c r="J39" s="32"/>
      <c r="K39" s="32"/>
      <c r="L39" s="32"/>
      <c r="M39" s="32"/>
      <c r="N39" s="28"/>
      <c r="O39" s="28">
        <f t="shared" si="12"/>
        <v>0</v>
      </c>
    </row>
    <row r="40" spans="1:15" x14ac:dyDescent="0.35">
      <c r="A40" s="32"/>
      <c r="B40" s="115"/>
      <c r="C40" s="32"/>
      <c r="D40" s="103">
        <f t="shared" si="9"/>
        <v>0</v>
      </c>
      <c r="E40" s="103">
        <f t="shared" si="10"/>
        <v>0</v>
      </c>
      <c r="F40" s="103">
        <f t="shared" si="11"/>
        <v>0</v>
      </c>
      <c r="H40" s="33">
        <f t="shared" si="13"/>
        <v>0</v>
      </c>
      <c r="I40" s="32"/>
      <c r="J40" s="32"/>
      <c r="K40" s="32"/>
      <c r="L40" s="32"/>
      <c r="M40" s="32"/>
      <c r="N40" s="28"/>
      <c r="O40" s="28">
        <f t="shared" si="12"/>
        <v>0</v>
      </c>
    </row>
    <row r="41" spans="1:15" x14ac:dyDescent="0.35">
      <c r="A41" s="32"/>
      <c r="B41" s="115"/>
      <c r="C41" s="32"/>
      <c r="D41" s="103">
        <f t="shared" si="9"/>
        <v>0</v>
      </c>
      <c r="E41" s="103">
        <f t="shared" si="10"/>
        <v>0</v>
      </c>
      <c r="F41" s="103">
        <f t="shared" si="11"/>
        <v>0</v>
      </c>
      <c r="H41" s="33">
        <f t="shared" si="13"/>
        <v>0</v>
      </c>
      <c r="I41" s="32"/>
      <c r="J41" s="32"/>
      <c r="K41" s="32"/>
      <c r="L41" s="32"/>
      <c r="M41" s="32"/>
      <c r="N41" s="28"/>
      <c r="O41" s="28">
        <f t="shared" si="12"/>
        <v>0</v>
      </c>
    </row>
    <row r="42" spans="1:15" x14ac:dyDescent="0.35">
      <c r="A42" s="32"/>
      <c r="B42" s="115"/>
      <c r="C42" s="32"/>
      <c r="D42" s="103">
        <f t="shared" si="9"/>
        <v>0</v>
      </c>
      <c r="E42" s="103">
        <f t="shared" si="10"/>
        <v>0</v>
      </c>
      <c r="F42" s="103">
        <f t="shared" si="11"/>
        <v>0</v>
      </c>
      <c r="H42" s="33">
        <f t="shared" si="13"/>
        <v>0</v>
      </c>
      <c r="I42" s="32"/>
      <c r="J42" s="32"/>
      <c r="K42" s="32"/>
      <c r="L42" s="32"/>
      <c r="M42" s="32"/>
      <c r="N42" s="28"/>
      <c r="O42" s="28">
        <f t="shared" si="12"/>
        <v>0</v>
      </c>
    </row>
    <row r="43" spans="1:15" x14ac:dyDescent="0.35">
      <c r="A43" s="32"/>
      <c r="B43" s="115"/>
      <c r="C43" s="32"/>
      <c r="D43" s="103">
        <f t="shared" si="9"/>
        <v>0</v>
      </c>
      <c r="E43" s="103">
        <f t="shared" si="10"/>
        <v>0</v>
      </c>
      <c r="F43" s="103">
        <f t="shared" si="11"/>
        <v>0</v>
      </c>
      <c r="H43" s="33">
        <f t="shared" si="13"/>
        <v>0</v>
      </c>
      <c r="I43" s="32"/>
      <c r="J43" s="32"/>
      <c r="K43" s="32"/>
      <c r="L43" s="32"/>
      <c r="M43" s="32"/>
      <c r="N43" s="28"/>
      <c r="O43" s="28">
        <f t="shared" si="12"/>
        <v>0</v>
      </c>
    </row>
    <row r="44" spans="1:15" x14ac:dyDescent="0.35">
      <c r="A44" s="32"/>
      <c r="B44" s="115"/>
      <c r="C44" s="32"/>
      <c r="D44" s="103">
        <f t="shared" si="9"/>
        <v>0</v>
      </c>
      <c r="E44" s="103">
        <f t="shared" si="10"/>
        <v>0</v>
      </c>
      <c r="F44" s="103">
        <f t="shared" si="11"/>
        <v>0</v>
      </c>
      <c r="H44" s="33">
        <f t="shared" si="13"/>
        <v>0</v>
      </c>
      <c r="I44" s="32"/>
      <c r="J44" s="32"/>
      <c r="K44" s="32"/>
      <c r="L44" s="32"/>
      <c r="M44" s="32"/>
      <c r="N44" s="28"/>
      <c r="O44" s="28">
        <f t="shared" si="12"/>
        <v>0</v>
      </c>
    </row>
    <row r="45" spans="1:15" x14ac:dyDescent="0.35">
      <c r="A45" s="32"/>
      <c r="B45" s="115"/>
      <c r="C45" s="32"/>
      <c r="D45" s="103">
        <f t="shared" si="9"/>
        <v>0</v>
      </c>
      <c r="E45" s="103">
        <f t="shared" si="10"/>
        <v>0</v>
      </c>
      <c r="F45" s="103">
        <f t="shared" si="11"/>
        <v>0</v>
      </c>
      <c r="H45" s="33">
        <f t="shared" si="13"/>
        <v>0</v>
      </c>
      <c r="I45" s="32"/>
      <c r="J45" s="32"/>
      <c r="K45" s="32"/>
      <c r="L45" s="32"/>
      <c r="M45" s="32"/>
      <c r="N45" s="28"/>
      <c r="O45" s="28">
        <f t="shared" si="12"/>
        <v>0</v>
      </c>
    </row>
    <row r="46" spans="1:15" x14ac:dyDescent="0.35">
      <c r="A46" s="32"/>
      <c r="B46" s="115"/>
      <c r="C46" s="32"/>
      <c r="D46" s="103">
        <f t="shared" si="9"/>
        <v>0</v>
      </c>
      <c r="E46" s="103">
        <f t="shared" si="10"/>
        <v>0</v>
      </c>
      <c r="F46" s="103">
        <f t="shared" si="11"/>
        <v>0</v>
      </c>
      <c r="H46" s="33">
        <f t="shared" si="13"/>
        <v>0</v>
      </c>
      <c r="I46" s="32"/>
      <c r="J46" s="32"/>
      <c r="K46" s="32"/>
      <c r="L46" s="32"/>
      <c r="M46" s="32"/>
      <c r="N46" s="28"/>
      <c r="O46" s="28">
        <f t="shared" si="12"/>
        <v>0</v>
      </c>
    </row>
    <row r="47" spans="1:15" x14ac:dyDescent="0.35">
      <c r="A47" s="32"/>
      <c r="B47" s="115"/>
      <c r="C47" s="32"/>
      <c r="D47" s="103">
        <f t="shared" si="9"/>
        <v>0</v>
      </c>
      <c r="E47" s="103">
        <f t="shared" si="10"/>
        <v>0</v>
      </c>
      <c r="F47" s="103">
        <f t="shared" si="11"/>
        <v>0</v>
      </c>
      <c r="H47" s="33">
        <f t="shared" si="13"/>
        <v>0</v>
      </c>
      <c r="I47" s="32"/>
      <c r="J47" s="32"/>
      <c r="K47" s="32"/>
      <c r="L47" s="32"/>
      <c r="M47" s="32"/>
      <c r="N47" s="28"/>
      <c r="O47" s="28">
        <f t="shared" si="12"/>
        <v>0</v>
      </c>
    </row>
    <row r="48" spans="1:15" x14ac:dyDescent="0.35">
      <c r="A48" s="32"/>
      <c r="B48" s="115"/>
      <c r="C48" s="32"/>
      <c r="D48" s="103">
        <f t="shared" si="9"/>
        <v>0</v>
      </c>
      <c r="E48" s="103">
        <f t="shared" si="10"/>
        <v>0</v>
      </c>
      <c r="F48" s="103">
        <f t="shared" si="11"/>
        <v>0</v>
      </c>
      <c r="H48" s="33">
        <f t="shared" si="13"/>
        <v>0</v>
      </c>
      <c r="I48" s="32"/>
      <c r="J48" s="32"/>
      <c r="K48" s="32"/>
      <c r="L48" s="32"/>
      <c r="M48" s="32"/>
      <c r="N48" s="28"/>
      <c r="O48" s="28">
        <f t="shared" si="12"/>
        <v>0</v>
      </c>
    </row>
    <row r="49" spans="1:15" x14ac:dyDescent="0.35">
      <c r="A49" s="32"/>
      <c r="B49" s="115"/>
      <c r="C49" s="32"/>
      <c r="D49" s="103">
        <f t="shared" si="9"/>
        <v>0</v>
      </c>
      <c r="E49" s="103">
        <f t="shared" si="10"/>
        <v>0</v>
      </c>
      <c r="F49" s="103">
        <f t="shared" si="11"/>
        <v>0</v>
      </c>
      <c r="H49" s="33">
        <f t="shared" si="13"/>
        <v>0</v>
      </c>
      <c r="I49" s="32"/>
      <c r="J49" s="32"/>
      <c r="K49" s="32"/>
      <c r="L49" s="32"/>
      <c r="M49" s="32"/>
      <c r="N49" s="28"/>
      <c r="O49" s="28">
        <f t="shared" si="12"/>
        <v>0</v>
      </c>
    </row>
    <row r="50" spans="1:15" x14ac:dyDescent="0.35">
      <c r="A50" s="32"/>
      <c r="B50" s="115"/>
      <c r="C50" s="32"/>
      <c r="D50" s="103">
        <f t="shared" ref="D50:D53" si="14">IF(C50&gt;5,5,C50)</f>
        <v>0</v>
      </c>
      <c r="E50" s="103">
        <f t="shared" ref="E50:E53" si="15">IF(C50&gt;10,5,MAX(0,C50-5))</f>
        <v>0</v>
      </c>
      <c r="F50" s="103">
        <f t="shared" ref="F50:F53" si="16">IF(C50&gt;10,C50-10,MAX(0,C50-10))</f>
        <v>0</v>
      </c>
      <c r="H50" s="33">
        <f t="shared" si="13"/>
        <v>0</v>
      </c>
      <c r="I50" s="32"/>
      <c r="J50" s="32"/>
      <c r="K50" s="32"/>
      <c r="L50" s="32"/>
      <c r="M50" s="32"/>
      <c r="N50" s="28"/>
      <c r="O50" s="28">
        <f t="shared" si="12"/>
        <v>0</v>
      </c>
    </row>
    <row r="51" spans="1:15" x14ac:dyDescent="0.35">
      <c r="A51" s="32"/>
      <c r="B51" s="115"/>
      <c r="C51" s="32"/>
      <c r="D51" s="103">
        <f t="shared" si="14"/>
        <v>0</v>
      </c>
      <c r="E51" s="103">
        <f t="shared" si="15"/>
        <v>0</v>
      </c>
      <c r="F51" s="103">
        <f t="shared" si="16"/>
        <v>0</v>
      </c>
      <c r="H51" s="33">
        <f t="shared" si="13"/>
        <v>0</v>
      </c>
      <c r="I51" s="32"/>
      <c r="J51" s="32"/>
      <c r="K51" s="32"/>
      <c r="L51" s="32"/>
      <c r="M51" s="32"/>
      <c r="N51" s="28"/>
      <c r="O51" s="28">
        <f t="shared" si="12"/>
        <v>0</v>
      </c>
    </row>
    <row r="52" spans="1:15" x14ac:dyDescent="0.35">
      <c r="A52" s="32"/>
      <c r="B52" s="115"/>
      <c r="C52" s="32"/>
      <c r="D52" s="103">
        <f t="shared" si="14"/>
        <v>0</v>
      </c>
      <c r="E52" s="103">
        <f t="shared" si="15"/>
        <v>0</v>
      </c>
      <c r="F52" s="103">
        <f t="shared" si="16"/>
        <v>0</v>
      </c>
      <c r="H52" s="33">
        <f t="shared" si="13"/>
        <v>0</v>
      </c>
      <c r="I52" s="32"/>
      <c r="J52" s="32"/>
      <c r="K52" s="32"/>
      <c r="L52" s="32"/>
      <c r="M52" s="32"/>
      <c r="N52" s="28"/>
      <c r="O52" s="28">
        <f t="shared" si="12"/>
        <v>0</v>
      </c>
    </row>
    <row r="53" spans="1:15" x14ac:dyDescent="0.35">
      <c r="A53" s="32"/>
      <c r="B53" s="115"/>
      <c r="C53" s="32"/>
      <c r="D53" s="103">
        <f t="shared" si="14"/>
        <v>0</v>
      </c>
      <c r="E53" s="103">
        <f t="shared" si="15"/>
        <v>0</v>
      </c>
      <c r="F53" s="103">
        <f t="shared" si="16"/>
        <v>0</v>
      </c>
      <c r="H53" s="33">
        <f t="shared" si="13"/>
        <v>0</v>
      </c>
      <c r="I53" s="32"/>
      <c r="J53" s="32"/>
      <c r="K53" s="32"/>
      <c r="L53" s="32"/>
      <c r="M53" s="32"/>
      <c r="N53" s="28"/>
      <c r="O53" s="28">
        <f t="shared" si="12"/>
        <v>0</v>
      </c>
    </row>
    <row r="54" spans="1:15" x14ac:dyDescent="0.35">
      <c r="A54" s="32"/>
      <c r="B54" s="115"/>
      <c r="C54" s="32"/>
      <c r="D54" s="103">
        <f t="shared" si="9"/>
        <v>0</v>
      </c>
      <c r="E54" s="103">
        <f t="shared" si="10"/>
        <v>0</v>
      </c>
      <c r="F54" s="103">
        <f t="shared" si="11"/>
        <v>0</v>
      </c>
      <c r="H54" s="33">
        <f t="shared" si="8"/>
        <v>0</v>
      </c>
      <c r="I54" s="32"/>
      <c r="J54" s="32"/>
      <c r="K54" s="32"/>
      <c r="L54" s="32"/>
      <c r="M54" s="32"/>
      <c r="N54" s="28"/>
      <c r="O54" s="28">
        <f t="shared" si="4"/>
        <v>0</v>
      </c>
    </row>
    <row r="55" spans="1:15" x14ac:dyDescent="0.35">
      <c r="A55" s="32"/>
      <c r="B55" s="115"/>
      <c r="C55" s="32"/>
      <c r="D55" s="103">
        <f t="shared" si="9"/>
        <v>0</v>
      </c>
      <c r="E55" s="103">
        <f t="shared" si="10"/>
        <v>0</v>
      </c>
      <c r="F55" s="103">
        <f t="shared" si="11"/>
        <v>0</v>
      </c>
      <c r="H55" s="33">
        <f t="shared" si="8"/>
        <v>0</v>
      </c>
      <c r="I55" s="32"/>
      <c r="J55" s="32"/>
      <c r="K55" s="32"/>
      <c r="L55" s="32"/>
      <c r="M55" s="32"/>
      <c r="N55" s="28"/>
      <c r="O55" s="28">
        <f t="shared" si="4"/>
        <v>0</v>
      </c>
    </row>
    <row r="56" spans="1:15" x14ac:dyDescent="0.35">
      <c r="A56" s="32"/>
      <c r="B56" s="115"/>
      <c r="C56" s="32"/>
      <c r="D56" s="103">
        <f t="shared" si="9"/>
        <v>0</v>
      </c>
      <c r="E56" s="103">
        <f t="shared" si="10"/>
        <v>0</v>
      </c>
      <c r="F56" s="103">
        <f t="shared" si="11"/>
        <v>0</v>
      </c>
      <c r="H56" s="33">
        <f t="shared" si="8"/>
        <v>0</v>
      </c>
      <c r="I56" s="32"/>
      <c r="J56" s="32"/>
      <c r="K56" s="32"/>
      <c r="L56" s="32"/>
      <c r="M56" s="32"/>
      <c r="N56" s="28"/>
      <c r="O56" s="28">
        <f t="shared" si="4"/>
        <v>0</v>
      </c>
    </row>
    <row r="57" spans="1:15" x14ac:dyDescent="0.35">
      <c r="A57" s="32"/>
      <c r="B57" s="115"/>
      <c r="C57" s="32"/>
      <c r="D57" s="103">
        <f t="shared" si="5"/>
        <v>0</v>
      </c>
      <c r="E57" s="103">
        <f t="shared" si="6"/>
        <v>0</v>
      </c>
      <c r="F57" s="103">
        <f t="shared" si="7"/>
        <v>0</v>
      </c>
      <c r="H57" s="33">
        <f t="shared" si="8"/>
        <v>0</v>
      </c>
      <c r="I57" s="32"/>
      <c r="J57" s="32"/>
      <c r="K57" s="32"/>
      <c r="L57" s="32"/>
      <c r="M57" s="32"/>
      <c r="N57" s="28"/>
      <c r="O57" s="28">
        <f t="shared" si="4"/>
        <v>0</v>
      </c>
    </row>
    <row r="58" spans="1:15" x14ac:dyDescent="0.35">
      <c r="A58" s="32"/>
      <c r="B58" s="115"/>
      <c r="C58" s="32"/>
      <c r="D58" s="103">
        <f t="shared" si="5"/>
        <v>0</v>
      </c>
      <c r="E58" s="103">
        <f t="shared" si="6"/>
        <v>0</v>
      </c>
      <c r="F58" s="103">
        <f t="shared" si="7"/>
        <v>0</v>
      </c>
      <c r="H58" s="33">
        <f t="shared" si="8"/>
        <v>0</v>
      </c>
      <c r="I58" s="32"/>
      <c r="J58" s="32"/>
      <c r="K58" s="32"/>
      <c r="L58" s="32"/>
      <c r="M58" s="32"/>
      <c r="N58" s="28"/>
      <c r="O58" s="28">
        <f t="shared" si="4"/>
        <v>0</v>
      </c>
    </row>
    <row r="59" spans="1:15" x14ac:dyDescent="0.35">
      <c r="A59" s="32"/>
      <c r="B59" s="115"/>
      <c r="C59" s="32"/>
      <c r="D59" s="103">
        <f t="shared" si="5"/>
        <v>0</v>
      </c>
      <c r="E59" s="103">
        <f t="shared" si="6"/>
        <v>0</v>
      </c>
      <c r="F59" s="103">
        <f t="shared" si="7"/>
        <v>0</v>
      </c>
      <c r="H59" s="33">
        <f t="shared" si="8"/>
        <v>0</v>
      </c>
      <c r="I59" s="32"/>
      <c r="J59" s="32"/>
      <c r="K59" s="32"/>
      <c r="L59" s="32"/>
      <c r="M59" s="32"/>
      <c r="N59" s="28"/>
      <c r="O59" s="28">
        <f t="shared" si="4"/>
        <v>0</v>
      </c>
    </row>
    <row r="60" spans="1:15" x14ac:dyDescent="0.35">
      <c r="A60" s="32"/>
      <c r="B60" s="115"/>
      <c r="C60" s="32"/>
      <c r="D60" s="103">
        <f t="shared" si="5"/>
        <v>0</v>
      </c>
      <c r="E60" s="103">
        <f t="shared" si="6"/>
        <v>0</v>
      </c>
      <c r="F60" s="103">
        <f t="shared" si="7"/>
        <v>0</v>
      </c>
      <c r="H60" s="33">
        <f t="shared" si="8"/>
        <v>0</v>
      </c>
      <c r="I60" s="32"/>
      <c r="J60" s="32"/>
      <c r="K60" s="32"/>
      <c r="L60" s="32"/>
      <c r="M60" s="32"/>
      <c r="N60" s="28"/>
      <c r="O60" s="28">
        <f t="shared" si="4"/>
        <v>0</v>
      </c>
    </row>
    <row r="61" spans="1:15" x14ac:dyDescent="0.35">
      <c r="A61" s="32"/>
      <c r="B61" s="115"/>
      <c r="C61" s="32"/>
      <c r="D61" s="103">
        <f t="shared" si="5"/>
        <v>0</v>
      </c>
      <c r="E61" s="103">
        <f t="shared" si="6"/>
        <v>0</v>
      </c>
      <c r="F61" s="103">
        <f t="shared" si="7"/>
        <v>0</v>
      </c>
      <c r="H61" s="33">
        <f t="shared" si="8"/>
        <v>0</v>
      </c>
      <c r="I61" s="32"/>
      <c r="J61" s="32"/>
      <c r="K61" s="32"/>
      <c r="L61" s="32"/>
      <c r="M61" s="32"/>
      <c r="N61" s="28"/>
      <c r="O61" s="28">
        <f t="shared" si="4"/>
        <v>0</v>
      </c>
    </row>
    <row r="62" spans="1:15" x14ac:dyDescent="0.35">
      <c r="A62" s="32"/>
      <c r="B62" s="115"/>
      <c r="C62" s="32"/>
      <c r="D62" s="103">
        <f t="shared" si="5"/>
        <v>0</v>
      </c>
      <c r="E62" s="103">
        <f t="shared" si="6"/>
        <v>0</v>
      </c>
      <c r="F62" s="103">
        <f t="shared" si="7"/>
        <v>0</v>
      </c>
      <c r="H62" s="33">
        <f t="shared" si="8"/>
        <v>0</v>
      </c>
      <c r="I62" s="32"/>
      <c r="J62" s="32"/>
      <c r="K62" s="32"/>
      <c r="L62" s="32"/>
      <c r="M62" s="32"/>
      <c r="N62" s="28"/>
      <c r="O62" s="28">
        <f t="shared" si="4"/>
        <v>0</v>
      </c>
    </row>
    <row r="63" spans="1:15" x14ac:dyDescent="0.35">
      <c r="A63" s="32"/>
      <c r="B63" s="115"/>
      <c r="C63" s="32"/>
      <c r="D63" s="103">
        <f t="shared" si="5"/>
        <v>0</v>
      </c>
      <c r="E63" s="103">
        <f t="shared" si="6"/>
        <v>0</v>
      </c>
      <c r="F63" s="103">
        <f t="shared" si="7"/>
        <v>0</v>
      </c>
      <c r="H63" s="33">
        <f t="shared" si="8"/>
        <v>0</v>
      </c>
      <c r="I63" s="32"/>
      <c r="J63" s="32"/>
      <c r="K63" s="32"/>
      <c r="L63" s="32"/>
      <c r="M63" s="32"/>
      <c r="N63" s="28"/>
      <c r="O63" s="28">
        <f t="shared" si="4"/>
        <v>0</v>
      </c>
    </row>
    <row r="64" spans="1:15" x14ac:dyDescent="0.35">
      <c r="A64" s="32"/>
      <c r="B64" s="115"/>
      <c r="C64" s="32"/>
      <c r="D64" s="103">
        <f t="shared" si="5"/>
        <v>0</v>
      </c>
      <c r="E64" s="103">
        <f t="shared" si="6"/>
        <v>0</v>
      </c>
      <c r="F64" s="103">
        <f t="shared" si="7"/>
        <v>0</v>
      </c>
      <c r="H64" s="33">
        <f t="shared" si="8"/>
        <v>0</v>
      </c>
      <c r="I64" s="32"/>
      <c r="J64" s="32"/>
      <c r="K64" s="32"/>
      <c r="L64" s="32"/>
      <c r="M64" s="32"/>
      <c r="O64" s="28">
        <f t="shared" si="4"/>
        <v>0</v>
      </c>
    </row>
    <row r="65" spans="1:15" x14ac:dyDescent="0.35">
      <c r="A65" s="32"/>
      <c r="B65" s="115"/>
      <c r="C65" s="32"/>
      <c r="D65" s="103">
        <f t="shared" si="5"/>
        <v>0</v>
      </c>
      <c r="E65" s="103">
        <f t="shared" si="6"/>
        <v>0</v>
      </c>
      <c r="F65" s="103">
        <f t="shared" si="7"/>
        <v>0</v>
      </c>
      <c r="H65" s="33">
        <f t="shared" si="8"/>
        <v>0</v>
      </c>
      <c r="I65" s="32"/>
      <c r="J65" s="32"/>
      <c r="K65" s="32"/>
      <c r="L65" s="32"/>
      <c r="M65" s="32"/>
      <c r="O65" s="28">
        <f t="shared" si="4"/>
        <v>0</v>
      </c>
    </row>
    <row r="66" spans="1:15" x14ac:dyDescent="0.35">
      <c r="A66" s="32"/>
      <c r="B66" s="115"/>
      <c r="C66" s="32"/>
      <c r="D66" s="103">
        <f t="shared" si="5"/>
        <v>0</v>
      </c>
      <c r="E66" s="103">
        <f t="shared" si="6"/>
        <v>0</v>
      </c>
      <c r="F66" s="103">
        <f t="shared" si="7"/>
        <v>0</v>
      </c>
      <c r="H66" s="33">
        <f t="shared" si="8"/>
        <v>0</v>
      </c>
      <c r="I66" s="32"/>
      <c r="J66" s="32"/>
      <c r="K66" s="32"/>
      <c r="L66" s="32"/>
      <c r="M66" s="32"/>
      <c r="O66" s="28">
        <f t="shared" si="4"/>
        <v>0</v>
      </c>
    </row>
    <row r="67" spans="1:15" x14ac:dyDescent="0.35">
      <c r="A67" s="32"/>
      <c r="B67" s="115"/>
      <c r="C67" s="32"/>
      <c r="D67" s="103">
        <f t="shared" si="5"/>
        <v>0</v>
      </c>
      <c r="E67" s="103">
        <f t="shared" si="6"/>
        <v>0</v>
      </c>
      <c r="F67" s="103">
        <f t="shared" si="7"/>
        <v>0</v>
      </c>
      <c r="H67" s="33">
        <f t="shared" si="8"/>
        <v>0</v>
      </c>
      <c r="I67" s="32"/>
      <c r="J67" s="32"/>
      <c r="K67" s="32"/>
      <c r="L67" s="32"/>
      <c r="M67" s="32"/>
      <c r="O67" s="28">
        <f t="shared" si="4"/>
        <v>0</v>
      </c>
    </row>
    <row r="68" spans="1:15" x14ac:dyDescent="0.35">
      <c r="A68" s="32"/>
      <c r="B68" s="115"/>
      <c r="C68" s="32"/>
      <c r="D68" s="103">
        <f t="shared" si="5"/>
        <v>0</v>
      </c>
      <c r="E68" s="103">
        <f t="shared" si="6"/>
        <v>0</v>
      </c>
      <c r="F68" s="103">
        <f t="shared" si="7"/>
        <v>0</v>
      </c>
      <c r="H68" s="33">
        <f t="shared" si="8"/>
        <v>0</v>
      </c>
      <c r="I68" s="32"/>
      <c r="J68" s="32"/>
      <c r="K68" s="32"/>
      <c r="L68" s="32"/>
      <c r="M68" s="32"/>
      <c r="O68" s="28">
        <f t="shared" si="4"/>
        <v>0</v>
      </c>
    </row>
    <row r="69" spans="1:15" x14ac:dyDescent="0.35">
      <c r="A69" s="32"/>
      <c r="B69" s="115"/>
      <c r="C69" s="32"/>
      <c r="D69" s="103">
        <f t="shared" si="5"/>
        <v>0</v>
      </c>
      <c r="E69" s="103">
        <f t="shared" si="6"/>
        <v>0</v>
      </c>
      <c r="F69" s="103">
        <f t="shared" si="7"/>
        <v>0</v>
      </c>
      <c r="H69" s="33">
        <f t="shared" si="8"/>
        <v>0</v>
      </c>
      <c r="I69" s="32"/>
      <c r="J69" s="32"/>
      <c r="K69" s="32"/>
      <c r="L69" s="32"/>
      <c r="M69" s="32"/>
      <c r="O69" s="28">
        <f t="shared" si="4"/>
        <v>0</v>
      </c>
    </row>
    <row r="70" spans="1:15" x14ac:dyDescent="0.35">
      <c r="A70" s="32"/>
      <c r="B70" s="115"/>
      <c r="C70" s="32"/>
      <c r="D70" s="103">
        <f t="shared" si="5"/>
        <v>0</v>
      </c>
      <c r="E70" s="103">
        <f t="shared" si="6"/>
        <v>0</v>
      </c>
      <c r="F70" s="103">
        <f t="shared" si="7"/>
        <v>0</v>
      </c>
      <c r="H70" s="33">
        <f t="shared" si="8"/>
        <v>0</v>
      </c>
      <c r="I70" s="32"/>
      <c r="J70" s="32"/>
      <c r="K70" s="32"/>
      <c r="L70" s="32"/>
      <c r="M70" s="32"/>
      <c r="O70" s="28">
        <f t="shared" si="4"/>
        <v>0</v>
      </c>
    </row>
    <row r="71" spans="1:15" x14ac:dyDescent="0.35">
      <c r="A71" s="32"/>
      <c r="B71" s="115"/>
      <c r="C71" s="32"/>
      <c r="D71" s="103">
        <f t="shared" si="5"/>
        <v>0</v>
      </c>
      <c r="E71" s="103">
        <f t="shared" si="6"/>
        <v>0</v>
      </c>
      <c r="F71" s="103">
        <f t="shared" si="7"/>
        <v>0</v>
      </c>
      <c r="H71" s="33">
        <f t="shared" si="8"/>
        <v>0</v>
      </c>
      <c r="I71" s="32"/>
      <c r="J71" s="32"/>
      <c r="K71" s="32"/>
      <c r="L71" s="32"/>
      <c r="M71" s="32"/>
      <c r="O71" s="28">
        <f t="shared" si="4"/>
        <v>0</v>
      </c>
    </row>
    <row r="72" spans="1:15" x14ac:dyDescent="0.35">
      <c r="A72" s="32"/>
      <c r="B72" s="115"/>
      <c r="C72" s="32"/>
      <c r="D72" s="103">
        <f t="shared" si="5"/>
        <v>0</v>
      </c>
      <c r="E72" s="103">
        <f t="shared" si="6"/>
        <v>0</v>
      </c>
      <c r="F72" s="103">
        <f t="shared" si="7"/>
        <v>0</v>
      </c>
      <c r="H72" s="33">
        <f t="shared" si="8"/>
        <v>0</v>
      </c>
      <c r="I72" s="32"/>
      <c r="J72" s="32"/>
      <c r="K72" s="32"/>
      <c r="L72" s="32"/>
      <c r="M72" s="32"/>
      <c r="O72" s="28">
        <f t="shared" si="4"/>
        <v>0</v>
      </c>
    </row>
    <row r="73" spans="1:15" x14ac:dyDescent="0.35">
      <c r="A73" s="32"/>
      <c r="B73" s="115"/>
      <c r="C73" s="32"/>
      <c r="D73" s="103">
        <f t="shared" si="5"/>
        <v>0</v>
      </c>
      <c r="E73" s="103">
        <f t="shared" si="6"/>
        <v>0</v>
      </c>
      <c r="F73" s="103">
        <f t="shared" si="7"/>
        <v>0</v>
      </c>
      <c r="H73" s="33">
        <f t="shared" si="8"/>
        <v>0</v>
      </c>
      <c r="I73" s="32"/>
      <c r="J73" s="32"/>
      <c r="K73" s="32"/>
      <c r="L73" s="32"/>
      <c r="M73" s="32"/>
      <c r="O73" s="28">
        <f t="shared" si="4"/>
        <v>0</v>
      </c>
    </row>
    <row r="74" spans="1:15" x14ac:dyDescent="0.35">
      <c r="A74" s="32"/>
      <c r="B74" s="115"/>
      <c r="C74" s="32"/>
      <c r="D74" s="103">
        <f t="shared" si="5"/>
        <v>0</v>
      </c>
      <c r="E74" s="103">
        <f t="shared" si="6"/>
        <v>0</v>
      </c>
      <c r="F74" s="103">
        <f t="shared" si="7"/>
        <v>0</v>
      </c>
      <c r="H74" s="33">
        <f t="shared" si="8"/>
        <v>0</v>
      </c>
      <c r="I74" s="32"/>
      <c r="J74" s="32"/>
      <c r="K74" s="32"/>
      <c r="L74" s="32"/>
      <c r="M74" s="32"/>
      <c r="O74" s="28">
        <f t="shared" si="4"/>
        <v>0</v>
      </c>
    </row>
    <row r="75" spans="1:15" x14ac:dyDescent="0.35">
      <c r="A75" s="32"/>
      <c r="B75" s="115"/>
      <c r="C75" s="32"/>
      <c r="D75" s="103">
        <f t="shared" si="5"/>
        <v>0</v>
      </c>
      <c r="E75" s="103">
        <f t="shared" si="6"/>
        <v>0</v>
      </c>
      <c r="F75" s="103">
        <f t="shared" si="7"/>
        <v>0</v>
      </c>
      <c r="H75" s="33">
        <f t="shared" si="8"/>
        <v>0</v>
      </c>
      <c r="I75" s="32"/>
      <c r="J75" s="32"/>
      <c r="K75" s="32"/>
      <c r="L75" s="32"/>
      <c r="M75" s="32"/>
      <c r="O75" s="28">
        <f t="shared" si="4"/>
        <v>0</v>
      </c>
    </row>
    <row r="76" spans="1:15" x14ac:dyDescent="0.35">
      <c r="A76" s="32"/>
      <c r="B76" s="115"/>
      <c r="C76" s="32"/>
      <c r="D76" s="103">
        <f t="shared" si="5"/>
        <v>0</v>
      </c>
      <c r="E76" s="103">
        <f t="shared" si="6"/>
        <v>0</v>
      </c>
      <c r="F76" s="103">
        <f t="shared" si="7"/>
        <v>0</v>
      </c>
      <c r="H76" s="33">
        <f t="shared" si="8"/>
        <v>0</v>
      </c>
      <c r="I76" s="32"/>
      <c r="J76" s="32"/>
      <c r="K76" s="32"/>
      <c r="L76" s="32"/>
      <c r="M76" s="32"/>
      <c r="O76" s="28">
        <f t="shared" si="4"/>
        <v>0</v>
      </c>
    </row>
    <row r="77" spans="1:15" x14ac:dyDescent="0.35">
      <c r="A77" s="32"/>
      <c r="B77" s="115"/>
      <c r="C77" s="32"/>
      <c r="D77" s="103">
        <f t="shared" si="5"/>
        <v>0</v>
      </c>
      <c r="E77" s="103">
        <f t="shared" si="6"/>
        <v>0</v>
      </c>
      <c r="F77" s="103">
        <f t="shared" si="7"/>
        <v>0</v>
      </c>
      <c r="H77" s="33">
        <f t="shared" si="8"/>
        <v>0</v>
      </c>
      <c r="I77" s="32"/>
      <c r="J77" s="32"/>
      <c r="K77" s="32"/>
      <c r="L77" s="32"/>
      <c r="M77" s="32"/>
      <c r="O77" s="28">
        <f t="shared" si="4"/>
        <v>0</v>
      </c>
    </row>
    <row r="78" spans="1:15" x14ac:dyDescent="0.35">
      <c r="A78" s="32"/>
      <c r="B78" s="115"/>
      <c r="C78" s="32"/>
      <c r="D78" s="103">
        <f t="shared" si="5"/>
        <v>0</v>
      </c>
      <c r="E78" s="103">
        <f t="shared" si="6"/>
        <v>0</v>
      </c>
      <c r="F78" s="103">
        <f t="shared" si="7"/>
        <v>0</v>
      </c>
      <c r="H78" s="33">
        <f t="shared" si="8"/>
        <v>0</v>
      </c>
      <c r="I78" s="32"/>
      <c r="J78" s="32"/>
      <c r="K78" s="32"/>
      <c r="L78" s="32"/>
      <c r="M78" s="32"/>
      <c r="O78" s="28">
        <f t="shared" si="4"/>
        <v>0</v>
      </c>
    </row>
    <row r="79" spans="1:15" x14ac:dyDescent="0.35">
      <c r="A79" s="32"/>
      <c r="B79" s="115"/>
      <c r="C79" s="32"/>
      <c r="D79" s="103">
        <f t="shared" si="5"/>
        <v>0</v>
      </c>
      <c r="E79" s="103">
        <f t="shared" si="6"/>
        <v>0</v>
      </c>
      <c r="F79" s="103">
        <f t="shared" si="7"/>
        <v>0</v>
      </c>
      <c r="H79" s="33">
        <f t="shared" si="8"/>
        <v>0</v>
      </c>
      <c r="I79" s="32"/>
      <c r="J79" s="32"/>
      <c r="K79" s="32"/>
      <c r="L79" s="32"/>
      <c r="M79" s="32"/>
      <c r="O79" s="28">
        <f t="shared" si="4"/>
        <v>0</v>
      </c>
    </row>
    <row r="80" spans="1:15" x14ac:dyDescent="0.35">
      <c r="A80" s="32"/>
      <c r="B80" s="115"/>
      <c r="C80" s="32"/>
      <c r="D80" s="103">
        <f t="shared" si="5"/>
        <v>0</v>
      </c>
      <c r="E80" s="103">
        <f t="shared" si="6"/>
        <v>0</v>
      </c>
      <c r="F80" s="103">
        <f t="shared" si="7"/>
        <v>0</v>
      </c>
      <c r="H80" s="33">
        <f t="shared" si="8"/>
        <v>0</v>
      </c>
      <c r="I80" s="32"/>
      <c r="J80" s="32"/>
      <c r="K80" s="32"/>
      <c r="L80" s="32"/>
      <c r="M80" s="32"/>
      <c r="O80" s="28">
        <f t="shared" si="4"/>
        <v>0</v>
      </c>
    </row>
    <row r="81" spans="1:15" x14ac:dyDescent="0.35">
      <c r="A81" s="32"/>
      <c r="B81" s="115"/>
      <c r="C81" s="32"/>
      <c r="D81" s="103">
        <f t="shared" si="5"/>
        <v>0</v>
      </c>
      <c r="E81" s="103">
        <f t="shared" si="6"/>
        <v>0</v>
      </c>
      <c r="F81" s="103">
        <f t="shared" si="7"/>
        <v>0</v>
      </c>
      <c r="H81" s="33">
        <f t="shared" si="8"/>
        <v>0</v>
      </c>
      <c r="I81" s="32"/>
      <c r="J81" s="32"/>
      <c r="K81" s="32"/>
      <c r="L81" s="32"/>
      <c r="M81" s="32"/>
      <c r="O81" s="28">
        <f t="shared" si="4"/>
        <v>0</v>
      </c>
    </row>
    <row r="82" spans="1:15" x14ac:dyDescent="0.35">
      <c r="A82" s="32"/>
      <c r="B82" s="115"/>
      <c r="C82" s="32"/>
      <c r="D82" s="103">
        <f t="shared" si="5"/>
        <v>0</v>
      </c>
      <c r="E82" s="103">
        <f t="shared" si="6"/>
        <v>0</v>
      </c>
      <c r="F82" s="103">
        <f t="shared" si="7"/>
        <v>0</v>
      </c>
      <c r="H82" s="33">
        <f t="shared" si="8"/>
        <v>0</v>
      </c>
      <c r="I82" s="32"/>
      <c r="J82" s="32"/>
      <c r="K82" s="32"/>
      <c r="L82" s="32"/>
      <c r="M82" s="32"/>
      <c r="O82" s="28">
        <f t="shared" si="4"/>
        <v>0</v>
      </c>
    </row>
    <row r="83" spans="1:15" x14ac:dyDescent="0.35">
      <c r="A83" s="32"/>
      <c r="B83" s="115"/>
      <c r="C83" s="32"/>
      <c r="D83" s="103">
        <f t="shared" si="5"/>
        <v>0</v>
      </c>
      <c r="E83" s="103">
        <f t="shared" si="6"/>
        <v>0</v>
      </c>
      <c r="F83" s="103">
        <f t="shared" si="7"/>
        <v>0</v>
      </c>
      <c r="H83" s="33">
        <f t="shared" si="8"/>
        <v>0</v>
      </c>
      <c r="I83" s="32"/>
      <c r="J83" s="32"/>
      <c r="K83" s="32"/>
      <c r="L83" s="32"/>
      <c r="M83" s="32"/>
      <c r="O83" s="28">
        <f t="shared" si="4"/>
        <v>0</v>
      </c>
    </row>
    <row r="84" spans="1:15" x14ac:dyDescent="0.35">
      <c r="A84" s="32"/>
      <c r="B84" s="115"/>
      <c r="C84" s="32"/>
      <c r="D84" s="103">
        <f t="shared" si="5"/>
        <v>0</v>
      </c>
      <c r="E84" s="103">
        <f t="shared" si="6"/>
        <v>0</v>
      </c>
      <c r="F84" s="103">
        <f t="shared" si="7"/>
        <v>0</v>
      </c>
      <c r="H84" s="33">
        <f t="shared" si="8"/>
        <v>0</v>
      </c>
      <c r="I84" s="32"/>
      <c r="J84" s="32"/>
      <c r="K84" s="32"/>
      <c r="L84" s="32"/>
      <c r="M84" s="32"/>
      <c r="O84" s="28">
        <f t="shared" si="4"/>
        <v>0</v>
      </c>
    </row>
    <row r="85" spans="1:15" x14ac:dyDescent="0.35">
      <c r="A85" s="32"/>
      <c r="B85" s="115"/>
      <c r="C85" s="32"/>
      <c r="D85" s="103">
        <f t="shared" si="5"/>
        <v>0</v>
      </c>
      <c r="E85" s="103">
        <f t="shared" si="6"/>
        <v>0</v>
      </c>
      <c r="F85" s="103">
        <f t="shared" si="7"/>
        <v>0</v>
      </c>
      <c r="H85" s="33">
        <f t="shared" si="8"/>
        <v>0</v>
      </c>
      <c r="I85" s="32"/>
      <c r="J85" s="32"/>
      <c r="K85" s="32"/>
      <c r="L85" s="32"/>
      <c r="M85" s="32"/>
      <c r="O85" s="28">
        <f t="shared" si="4"/>
        <v>0</v>
      </c>
    </row>
    <row r="86" spans="1:15" x14ac:dyDescent="0.35">
      <c r="A86" s="32"/>
      <c r="B86" s="115"/>
      <c r="C86" s="32"/>
      <c r="D86" s="103">
        <f t="shared" si="5"/>
        <v>0</v>
      </c>
      <c r="E86" s="103">
        <f t="shared" si="6"/>
        <v>0</v>
      </c>
      <c r="F86" s="103">
        <f t="shared" si="7"/>
        <v>0</v>
      </c>
      <c r="H86" s="33">
        <f t="shared" si="8"/>
        <v>0</v>
      </c>
      <c r="I86" s="32"/>
      <c r="J86" s="32"/>
      <c r="K86" s="32"/>
      <c r="L86" s="32"/>
      <c r="M86" s="32"/>
      <c r="O86" s="28">
        <f t="shared" si="4"/>
        <v>0</v>
      </c>
    </row>
    <row r="87" spans="1:15" x14ac:dyDescent="0.35">
      <c r="A87" s="32"/>
      <c r="B87" s="115"/>
      <c r="C87" s="32"/>
      <c r="D87" s="103">
        <f t="shared" si="5"/>
        <v>0</v>
      </c>
      <c r="E87" s="103">
        <f t="shared" si="6"/>
        <v>0</v>
      </c>
      <c r="F87" s="103">
        <f t="shared" si="7"/>
        <v>0</v>
      </c>
      <c r="H87" s="33">
        <f t="shared" si="8"/>
        <v>0</v>
      </c>
      <c r="I87" s="32"/>
      <c r="J87" s="32"/>
      <c r="K87" s="32"/>
      <c r="L87" s="32"/>
      <c r="M87" s="32"/>
      <c r="O87" s="28">
        <f t="shared" si="4"/>
        <v>0</v>
      </c>
    </row>
    <row r="88" spans="1:15" x14ac:dyDescent="0.35">
      <c r="A88" s="32"/>
      <c r="B88" s="115"/>
      <c r="C88" s="32"/>
      <c r="D88" s="103">
        <f t="shared" si="5"/>
        <v>0</v>
      </c>
      <c r="E88" s="103">
        <f t="shared" si="6"/>
        <v>0</v>
      </c>
      <c r="F88" s="103">
        <f t="shared" si="7"/>
        <v>0</v>
      </c>
      <c r="H88" s="33">
        <f t="shared" si="8"/>
        <v>0</v>
      </c>
      <c r="I88" s="32"/>
      <c r="J88" s="32"/>
      <c r="K88" s="32"/>
      <c r="L88" s="32"/>
      <c r="M88" s="32"/>
      <c r="O88" s="28">
        <f t="shared" si="4"/>
        <v>0</v>
      </c>
    </row>
    <row r="89" spans="1:15" x14ac:dyDescent="0.35">
      <c r="A89" s="32"/>
      <c r="B89" s="115"/>
      <c r="C89" s="32"/>
      <c r="D89" s="103">
        <f t="shared" si="5"/>
        <v>0</v>
      </c>
      <c r="E89" s="103">
        <f t="shared" si="6"/>
        <v>0</v>
      </c>
      <c r="F89" s="103">
        <f t="shared" si="7"/>
        <v>0</v>
      </c>
      <c r="H89" s="33">
        <f t="shared" si="8"/>
        <v>0</v>
      </c>
      <c r="I89" s="32"/>
      <c r="J89" s="32"/>
      <c r="K89" s="32"/>
      <c r="L89" s="32"/>
      <c r="M89" s="32"/>
      <c r="O89" s="28">
        <f t="shared" si="4"/>
        <v>0</v>
      </c>
    </row>
    <row r="90" spans="1:15" x14ac:dyDescent="0.35">
      <c r="A90" s="32"/>
      <c r="B90" s="115"/>
      <c r="C90" s="32"/>
      <c r="D90" s="103">
        <f t="shared" si="5"/>
        <v>0</v>
      </c>
      <c r="E90" s="103">
        <f t="shared" si="6"/>
        <v>0</v>
      </c>
      <c r="F90" s="103">
        <f t="shared" si="7"/>
        <v>0</v>
      </c>
      <c r="H90" s="33">
        <f t="shared" si="8"/>
        <v>0</v>
      </c>
      <c r="I90" s="32"/>
      <c r="J90" s="32"/>
      <c r="K90" s="32"/>
      <c r="L90" s="32"/>
      <c r="M90" s="32"/>
      <c r="O90" s="28">
        <f t="shared" si="4"/>
        <v>0</v>
      </c>
    </row>
    <row r="91" spans="1:15" x14ac:dyDescent="0.35">
      <c r="A91" s="32"/>
      <c r="B91" s="115"/>
      <c r="C91" s="32"/>
      <c r="D91" s="103">
        <f t="shared" si="5"/>
        <v>0</v>
      </c>
      <c r="E91" s="103">
        <f t="shared" si="6"/>
        <v>0</v>
      </c>
      <c r="F91" s="103">
        <f t="shared" si="7"/>
        <v>0</v>
      </c>
      <c r="H91" s="33">
        <f t="shared" si="8"/>
        <v>0</v>
      </c>
      <c r="I91" s="32"/>
      <c r="J91" s="32"/>
      <c r="K91" s="32"/>
      <c r="L91" s="32"/>
      <c r="M91" s="32"/>
      <c r="O91" s="28">
        <f t="shared" ref="O91" si="17">IF(OR(G91="YES",K91="YES"), 1, 0)</f>
        <v>0</v>
      </c>
    </row>
    <row r="92" spans="1:15" ht="15" thickBot="1" x14ac:dyDescent="0.4">
      <c r="C92">
        <f>SUM(C2:C91)</f>
        <v>0</v>
      </c>
      <c r="D92" s="52">
        <f>SUM(D2:D91)</f>
        <v>0</v>
      </c>
      <c r="E92" s="52">
        <f>SUM(E2:E91)</f>
        <v>0</v>
      </c>
      <c r="F92" s="52">
        <f>SUM(F2:F91)</f>
        <v>0</v>
      </c>
      <c r="H92" s="52">
        <f>SUM(H2:H91)</f>
        <v>0</v>
      </c>
      <c r="L92">
        <f>SUM(L2:L91)</f>
        <v>0</v>
      </c>
      <c r="M92">
        <f>SUM(M2:M91)</f>
        <v>0</v>
      </c>
      <c r="O92">
        <f>SUM(O2:O91)</f>
        <v>0</v>
      </c>
    </row>
    <row r="93" spans="1:15" ht="15" thickTop="1" x14ac:dyDescent="0.35"/>
  </sheetData>
  <dataValidations count="2">
    <dataValidation type="list" allowBlank="1" showInputMessage="1" showErrorMessage="1" sqref="K2:K91 I2:I91 B2:B91" xr:uid="{F48B38C8-0A58-4F20-8766-9F067B0B7DCC}">
      <formula1>"YES,NO"</formula1>
    </dataValidation>
    <dataValidation type="list" allowBlank="1" showInputMessage="1" showErrorMessage="1" sqref="J2:J91" xr:uid="{98516E48-53F8-4F29-AAEA-3454F6FACB97}">
      <formula1>"-,P,S,EV,P/S,P/EV,S/EV,P/S/EV"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CFC2-1CDA-4EC2-AE8C-51D520194A05}">
  <dimension ref="A1:J52"/>
  <sheetViews>
    <sheetView workbookViewId="0">
      <selection activeCell="H12" sqref="H12"/>
    </sheetView>
  </sheetViews>
  <sheetFormatPr defaultRowHeight="14.5" x14ac:dyDescent="0.35"/>
  <cols>
    <col min="2" max="2" width="9.7265625" bestFit="1" customWidth="1"/>
    <col min="3" max="3" width="0" hidden="1" customWidth="1"/>
    <col min="5" max="5" width="0" hidden="1" customWidth="1"/>
    <col min="6" max="6" width="17.26953125" bestFit="1" customWidth="1"/>
  </cols>
  <sheetData>
    <row r="1" spans="1:10" ht="58.5" thickBot="1" x14ac:dyDescent="0.4">
      <c r="A1" s="144" t="s">
        <v>219</v>
      </c>
      <c r="B1" s="145" t="s">
        <v>154</v>
      </c>
      <c r="C1" s="146" t="s">
        <v>51</v>
      </c>
      <c r="D1" s="145" t="s">
        <v>52</v>
      </c>
      <c r="E1" s="146" t="s">
        <v>53</v>
      </c>
      <c r="F1" s="146" t="s">
        <v>96</v>
      </c>
      <c r="G1" s="146" t="s">
        <v>151</v>
      </c>
      <c r="H1" s="146" t="s">
        <v>34</v>
      </c>
      <c r="I1" s="145" t="s">
        <v>165</v>
      </c>
      <c r="J1" s="147" t="s">
        <v>166</v>
      </c>
    </row>
    <row r="2" spans="1:10" x14ac:dyDescent="0.35">
      <c r="A2" s="130"/>
      <c r="B2" s="139"/>
      <c r="C2" s="140">
        <f>IF(D2&gt;0,1,0)</f>
        <v>0</v>
      </c>
      <c r="D2" s="139"/>
      <c r="E2" s="141">
        <f>IF(I2&gt;0, 1, 0)</f>
        <v>0</v>
      </c>
      <c r="F2" s="139"/>
      <c r="G2" s="142"/>
      <c r="H2" s="142"/>
      <c r="I2" s="139"/>
      <c r="J2" s="143"/>
    </row>
    <row r="3" spans="1:10" x14ac:dyDescent="0.35">
      <c r="A3" s="130"/>
      <c r="B3" s="139"/>
      <c r="C3" s="129">
        <f t="shared" ref="C3:C4" si="0">IF(D3&gt;0,1,0)</f>
        <v>0</v>
      </c>
      <c r="D3" s="139"/>
      <c r="E3" s="131">
        <f t="shared" ref="E3:E51" si="1">IF(I3&gt;0, 1, 0)</f>
        <v>0</v>
      </c>
      <c r="F3" s="139"/>
      <c r="G3" s="142"/>
      <c r="H3" s="142"/>
      <c r="I3" s="139"/>
      <c r="J3" s="143"/>
    </row>
    <row r="4" spans="1:10" x14ac:dyDescent="0.35">
      <c r="A4" s="130"/>
      <c r="B4" s="139"/>
      <c r="C4" s="129">
        <f t="shared" si="0"/>
        <v>0</v>
      </c>
      <c r="D4" s="139"/>
      <c r="E4" s="131">
        <f t="shared" si="1"/>
        <v>0</v>
      </c>
      <c r="F4" s="139"/>
      <c r="G4" s="142"/>
      <c r="H4" s="142"/>
      <c r="I4" s="139"/>
      <c r="J4" s="143"/>
    </row>
    <row r="5" spans="1:10" x14ac:dyDescent="0.35">
      <c r="A5" s="130"/>
      <c r="B5" s="130"/>
      <c r="C5" s="129"/>
      <c r="D5" s="130"/>
      <c r="E5" s="131">
        <f>IF(I5&gt;0, 1, 0)</f>
        <v>0</v>
      </c>
      <c r="F5" s="130"/>
      <c r="G5" s="132"/>
      <c r="H5" s="132"/>
      <c r="I5" s="130"/>
      <c r="J5" s="133"/>
    </row>
    <row r="6" spans="1:10" x14ac:dyDescent="0.35">
      <c r="A6" s="130"/>
      <c r="B6" s="130"/>
      <c r="C6" s="129"/>
      <c r="D6" s="130"/>
      <c r="E6" s="131">
        <f t="shared" si="1"/>
        <v>0</v>
      </c>
      <c r="F6" s="130"/>
      <c r="G6" s="132"/>
      <c r="H6" s="132"/>
      <c r="I6" s="130"/>
      <c r="J6" s="133"/>
    </row>
    <row r="7" spans="1:10" x14ac:dyDescent="0.35">
      <c r="A7" s="130"/>
      <c r="B7" s="130"/>
      <c r="C7" s="129"/>
      <c r="D7" s="130"/>
      <c r="E7" s="131">
        <f t="shared" si="1"/>
        <v>0</v>
      </c>
      <c r="F7" s="130"/>
      <c r="G7" s="132"/>
      <c r="H7" s="132"/>
      <c r="I7" s="130"/>
      <c r="J7" s="133"/>
    </row>
    <row r="8" spans="1:10" x14ac:dyDescent="0.35">
      <c r="A8" s="130"/>
      <c r="B8" s="130"/>
      <c r="C8" s="129"/>
      <c r="D8" s="130"/>
      <c r="E8" s="131">
        <f t="shared" si="1"/>
        <v>0</v>
      </c>
      <c r="F8" s="130"/>
      <c r="G8" s="132"/>
      <c r="H8" s="132"/>
      <c r="I8" s="130"/>
      <c r="J8" s="133"/>
    </row>
    <row r="9" spans="1:10" x14ac:dyDescent="0.35">
      <c r="A9" s="130"/>
      <c r="B9" s="130"/>
      <c r="C9" s="129"/>
      <c r="D9" s="130"/>
      <c r="E9" s="131">
        <f t="shared" si="1"/>
        <v>0</v>
      </c>
      <c r="F9" s="130"/>
      <c r="G9" s="132"/>
      <c r="H9" s="132"/>
      <c r="I9" s="130"/>
      <c r="J9" s="133"/>
    </row>
    <row r="10" spans="1:10" x14ac:dyDescent="0.35">
      <c r="A10" s="130"/>
      <c r="B10" s="130"/>
      <c r="C10" s="129"/>
      <c r="D10" s="130"/>
      <c r="E10" s="131">
        <f t="shared" si="1"/>
        <v>0</v>
      </c>
      <c r="F10" s="130"/>
      <c r="G10" s="132"/>
      <c r="H10" s="132"/>
      <c r="I10" s="130"/>
      <c r="J10" s="133"/>
    </row>
    <row r="11" spans="1:10" x14ac:dyDescent="0.35">
      <c r="A11" s="130"/>
      <c r="B11" s="130"/>
      <c r="C11" s="129"/>
      <c r="D11" s="130"/>
      <c r="E11" s="131">
        <f t="shared" si="1"/>
        <v>0</v>
      </c>
      <c r="F11" s="130"/>
      <c r="G11" s="132"/>
      <c r="H11" s="132"/>
      <c r="I11" s="130"/>
      <c r="J11" s="133"/>
    </row>
    <row r="12" spans="1:10" x14ac:dyDescent="0.35">
      <c r="A12" s="130"/>
      <c r="B12" s="130"/>
      <c r="C12" s="129"/>
      <c r="D12" s="130"/>
      <c r="E12" s="131">
        <f t="shared" si="1"/>
        <v>0</v>
      </c>
      <c r="F12" s="130"/>
      <c r="G12" s="132"/>
      <c r="H12" s="132"/>
      <c r="I12" s="130"/>
      <c r="J12" s="133"/>
    </row>
    <row r="13" spans="1:10" x14ac:dyDescent="0.35">
      <c r="A13" s="130"/>
      <c r="B13" s="130"/>
      <c r="C13" s="129"/>
      <c r="D13" s="130"/>
      <c r="E13" s="131">
        <f t="shared" si="1"/>
        <v>0</v>
      </c>
      <c r="F13" s="130"/>
      <c r="G13" s="132"/>
      <c r="H13" s="132"/>
      <c r="I13" s="130"/>
      <c r="J13" s="133"/>
    </row>
    <row r="14" spans="1:10" x14ac:dyDescent="0.35">
      <c r="A14" s="130"/>
      <c r="B14" s="130"/>
      <c r="C14" s="129"/>
      <c r="D14" s="130"/>
      <c r="E14" s="131">
        <f t="shared" si="1"/>
        <v>0</v>
      </c>
      <c r="F14" s="130"/>
      <c r="G14" s="132"/>
      <c r="H14" s="132"/>
      <c r="I14" s="130"/>
      <c r="J14" s="133"/>
    </row>
    <row r="15" spans="1:10" x14ac:dyDescent="0.35">
      <c r="A15" s="130"/>
      <c r="B15" s="130"/>
      <c r="C15" s="129"/>
      <c r="D15" s="130"/>
      <c r="E15" s="131">
        <f t="shared" si="1"/>
        <v>0</v>
      </c>
      <c r="F15" s="130"/>
      <c r="G15" s="132"/>
      <c r="H15" s="132"/>
      <c r="I15" s="130"/>
      <c r="J15" s="133"/>
    </row>
    <row r="16" spans="1:10" x14ac:dyDescent="0.35">
      <c r="A16" s="130"/>
      <c r="B16" s="130"/>
      <c r="C16" s="129"/>
      <c r="D16" s="130"/>
      <c r="E16" s="131">
        <f t="shared" si="1"/>
        <v>0</v>
      </c>
      <c r="F16" s="130"/>
      <c r="G16" s="132"/>
      <c r="H16" s="132"/>
      <c r="I16" s="130"/>
      <c r="J16" s="133"/>
    </row>
    <row r="17" spans="1:10" x14ac:dyDescent="0.35">
      <c r="A17" s="130"/>
      <c r="B17" s="130"/>
      <c r="C17" s="129"/>
      <c r="D17" s="130"/>
      <c r="E17" s="131">
        <f t="shared" si="1"/>
        <v>0</v>
      </c>
      <c r="F17" s="130"/>
      <c r="G17" s="132"/>
      <c r="H17" s="132"/>
      <c r="I17" s="130"/>
      <c r="J17" s="133"/>
    </row>
    <row r="18" spans="1:10" x14ac:dyDescent="0.35">
      <c r="A18" s="130"/>
      <c r="B18" s="139"/>
      <c r="C18" s="140">
        <f>IF(D18&gt;0,1,0)</f>
        <v>0</v>
      </c>
      <c r="D18" s="139"/>
      <c r="E18" s="141">
        <f>IF(I18&gt;0, 1, 0)</f>
        <v>0</v>
      </c>
      <c r="F18" s="139"/>
      <c r="G18" s="142"/>
      <c r="H18" s="142"/>
      <c r="I18" s="139"/>
      <c r="J18" s="143"/>
    </row>
    <row r="19" spans="1:10" x14ac:dyDescent="0.35">
      <c r="A19" s="130"/>
      <c r="B19" s="139"/>
      <c r="C19" s="129">
        <f t="shared" ref="C19:C20" si="2">IF(D19&gt;0,1,0)</f>
        <v>0</v>
      </c>
      <c r="D19" s="139"/>
      <c r="E19" s="131">
        <f t="shared" ref="E19:E20" si="3">IF(I19&gt;0, 1, 0)</f>
        <v>0</v>
      </c>
      <c r="F19" s="139"/>
      <c r="G19" s="142"/>
      <c r="H19" s="142"/>
      <c r="I19" s="139"/>
      <c r="J19" s="143"/>
    </row>
    <row r="20" spans="1:10" x14ac:dyDescent="0.35">
      <c r="A20" s="130"/>
      <c r="B20" s="139"/>
      <c r="C20" s="129">
        <f t="shared" si="2"/>
        <v>0</v>
      </c>
      <c r="D20" s="139"/>
      <c r="E20" s="131">
        <f t="shared" si="3"/>
        <v>0</v>
      </c>
      <c r="F20" s="139"/>
      <c r="G20" s="142"/>
      <c r="H20" s="142"/>
      <c r="I20" s="139"/>
      <c r="J20" s="143"/>
    </row>
    <row r="21" spans="1:10" x14ac:dyDescent="0.35">
      <c r="A21" s="130"/>
      <c r="B21" s="130"/>
      <c r="C21" s="129"/>
      <c r="D21" s="130"/>
      <c r="E21" s="131">
        <f>IF(I21&gt;0, 1, 0)</f>
        <v>0</v>
      </c>
      <c r="F21" s="130"/>
      <c r="G21" s="132"/>
      <c r="H21" s="132"/>
      <c r="I21" s="130"/>
      <c r="J21" s="133"/>
    </row>
    <row r="22" spans="1:10" x14ac:dyDescent="0.35">
      <c r="A22" s="130"/>
      <c r="B22" s="130"/>
      <c r="C22" s="129"/>
      <c r="D22" s="130"/>
      <c r="E22" s="131">
        <f t="shared" ref="E22:E33" si="4">IF(I22&gt;0, 1, 0)</f>
        <v>0</v>
      </c>
      <c r="F22" s="130"/>
      <c r="G22" s="132"/>
      <c r="H22" s="132"/>
      <c r="I22" s="130"/>
      <c r="J22" s="133"/>
    </row>
    <row r="23" spans="1:10" x14ac:dyDescent="0.35">
      <c r="A23" s="130"/>
      <c r="B23" s="130"/>
      <c r="C23" s="129"/>
      <c r="D23" s="130"/>
      <c r="E23" s="131">
        <f t="shared" si="4"/>
        <v>0</v>
      </c>
      <c r="F23" s="130"/>
      <c r="G23" s="132"/>
      <c r="H23" s="132"/>
      <c r="I23" s="130"/>
      <c r="J23" s="133"/>
    </row>
    <row r="24" spans="1:10" x14ac:dyDescent="0.35">
      <c r="A24" s="130"/>
      <c r="B24" s="130"/>
      <c r="C24" s="129"/>
      <c r="D24" s="130"/>
      <c r="E24" s="131">
        <f t="shared" si="4"/>
        <v>0</v>
      </c>
      <c r="F24" s="130"/>
      <c r="G24" s="132"/>
      <c r="H24" s="132"/>
      <c r="I24" s="130"/>
      <c r="J24" s="133"/>
    </row>
    <row r="25" spans="1:10" x14ac:dyDescent="0.35">
      <c r="A25" s="130"/>
      <c r="B25" s="130"/>
      <c r="C25" s="129"/>
      <c r="D25" s="130"/>
      <c r="E25" s="131">
        <f t="shared" si="4"/>
        <v>0</v>
      </c>
      <c r="F25" s="130"/>
      <c r="G25" s="132"/>
      <c r="H25" s="132"/>
      <c r="I25" s="130"/>
      <c r="J25" s="133"/>
    </row>
    <row r="26" spans="1:10" x14ac:dyDescent="0.35">
      <c r="A26" s="130"/>
      <c r="B26" s="130"/>
      <c r="C26" s="129"/>
      <c r="D26" s="130"/>
      <c r="E26" s="131">
        <f t="shared" si="4"/>
        <v>0</v>
      </c>
      <c r="F26" s="130"/>
      <c r="G26" s="132"/>
      <c r="H26" s="132"/>
      <c r="I26" s="130"/>
      <c r="J26" s="133"/>
    </row>
    <row r="27" spans="1:10" x14ac:dyDescent="0.35">
      <c r="A27" s="130"/>
      <c r="B27" s="130"/>
      <c r="C27" s="129"/>
      <c r="D27" s="130"/>
      <c r="E27" s="131">
        <f t="shared" si="4"/>
        <v>0</v>
      </c>
      <c r="F27" s="130"/>
      <c r="G27" s="132"/>
      <c r="H27" s="132"/>
      <c r="I27" s="130"/>
      <c r="J27" s="133"/>
    </row>
    <row r="28" spans="1:10" x14ac:dyDescent="0.35">
      <c r="A28" s="130"/>
      <c r="B28" s="130"/>
      <c r="C28" s="129"/>
      <c r="D28" s="130"/>
      <c r="E28" s="131">
        <f t="shared" si="4"/>
        <v>0</v>
      </c>
      <c r="F28" s="130"/>
      <c r="G28" s="132"/>
      <c r="H28" s="132"/>
      <c r="I28" s="130"/>
      <c r="J28" s="133"/>
    </row>
    <row r="29" spans="1:10" x14ac:dyDescent="0.35">
      <c r="A29" s="130"/>
      <c r="B29" s="130"/>
      <c r="C29" s="129"/>
      <c r="D29" s="130"/>
      <c r="E29" s="131">
        <f t="shared" si="4"/>
        <v>0</v>
      </c>
      <c r="F29" s="130"/>
      <c r="G29" s="132"/>
      <c r="H29" s="132"/>
      <c r="I29" s="130"/>
      <c r="J29" s="133"/>
    </row>
    <row r="30" spans="1:10" x14ac:dyDescent="0.35">
      <c r="A30" s="130"/>
      <c r="B30" s="130"/>
      <c r="C30" s="129"/>
      <c r="D30" s="130"/>
      <c r="E30" s="131">
        <f t="shared" si="4"/>
        <v>0</v>
      </c>
      <c r="F30" s="130"/>
      <c r="G30" s="132"/>
      <c r="H30" s="132"/>
      <c r="I30" s="130"/>
      <c r="J30" s="133"/>
    </row>
    <row r="31" spans="1:10" x14ac:dyDescent="0.35">
      <c r="A31" s="130"/>
      <c r="B31" s="130"/>
      <c r="C31" s="129"/>
      <c r="D31" s="130"/>
      <c r="E31" s="131">
        <f t="shared" si="4"/>
        <v>0</v>
      </c>
      <c r="F31" s="130"/>
      <c r="G31" s="132"/>
      <c r="H31" s="132"/>
      <c r="I31" s="130"/>
      <c r="J31" s="133"/>
    </row>
    <row r="32" spans="1:10" x14ac:dyDescent="0.35">
      <c r="A32" s="130"/>
      <c r="B32" s="130"/>
      <c r="C32" s="129"/>
      <c r="D32" s="130"/>
      <c r="E32" s="131">
        <f t="shared" si="4"/>
        <v>0</v>
      </c>
      <c r="F32" s="130"/>
      <c r="G32" s="132"/>
      <c r="H32" s="132"/>
      <c r="I32" s="130"/>
      <c r="J32" s="133"/>
    </row>
    <row r="33" spans="1:10" x14ac:dyDescent="0.35">
      <c r="A33" s="130"/>
      <c r="B33" s="130"/>
      <c r="C33" s="129"/>
      <c r="D33" s="130"/>
      <c r="E33" s="131">
        <f t="shared" si="4"/>
        <v>0</v>
      </c>
      <c r="F33" s="130"/>
      <c r="G33" s="132"/>
      <c r="H33" s="132"/>
      <c r="I33" s="130"/>
      <c r="J33" s="133"/>
    </row>
    <row r="34" spans="1:10" x14ac:dyDescent="0.35">
      <c r="A34" s="130"/>
      <c r="B34" s="130"/>
      <c r="C34" s="129"/>
      <c r="D34" s="130"/>
      <c r="E34" s="131">
        <f t="shared" si="1"/>
        <v>0</v>
      </c>
      <c r="F34" s="130"/>
      <c r="G34" s="132"/>
      <c r="H34" s="132"/>
      <c r="I34" s="130"/>
      <c r="J34" s="133"/>
    </row>
    <row r="35" spans="1:10" x14ac:dyDescent="0.35">
      <c r="A35" s="130"/>
      <c r="B35" s="130"/>
      <c r="C35" s="129"/>
      <c r="D35" s="130"/>
      <c r="E35" s="131">
        <f t="shared" si="1"/>
        <v>0</v>
      </c>
      <c r="F35" s="130"/>
      <c r="G35" s="132"/>
      <c r="H35" s="132"/>
      <c r="I35" s="130"/>
      <c r="J35" s="133"/>
    </row>
    <row r="36" spans="1:10" x14ac:dyDescent="0.35">
      <c r="A36" s="130"/>
      <c r="B36" s="130"/>
      <c r="C36" s="129"/>
      <c r="D36" s="130"/>
      <c r="E36" s="131">
        <f t="shared" si="1"/>
        <v>0</v>
      </c>
      <c r="F36" s="130"/>
      <c r="G36" s="132"/>
      <c r="H36" s="132"/>
      <c r="I36" s="130"/>
      <c r="J36" s="133"/>
    </row>
    <row r="37" spans="1:10" x14ac:dyDescent="0.35">
      <c r="A37" s="130"/>
      <c r="B37" s="130"/>
      <c r="C37" s="129"/>
      <c r="D37" s="130"/>
      <c r="E37" s="131">
        <f t="shared" si="1"/>
        <v>0</v>
      </c>
      <c r="F37" s="130"/>
      <c r="G37" s="132"/>
      <c r="H37" s="132"/>
      <c r="I37" s="130"/>
      <c r="J37" s="133"/>
    </row>
    <row r="38" spans="1:10" x14ac:dyDescent="0.35">
      <c r="A38" s="130"/>
      <c r="B38" s="130"/>
      <c r="C38" s="129"/>
      <c r="D38" s="130"/>
      <c r="E38" s="131">
        <f t="shared" si="1"/>
        <v>0</v>
      </c>
      <c r="F38" s="130"/>
      <c r="G38" s="132"/>
      <c r="H38" s="132"/>
      <c r="I38" s="130"/>
      <c r="J38" s="133"/>
    </row>
    <row r="39" spans="1:10" x14ac:dyDescent="0.35">
      <c r="A39" s="130"/>
      <c r="B39" s="130"/>
      <c r="C39" s="129"/>
      <c r="D39" s="130"/>
      <c r="E39" s="131">
        <f t="shared" si="1"/>
        <v>0</v>
      </c>
      <c r="F39" s="130"/>
      <c r="G39" s="132"/>
      <c r="H39" s="132"/>
      <c r="I39" s="130"/>
      <c r="J39" s="133"/>
    </row>
    <row r="40" spans="1:10" x14ac:dyDescent="0.35">
      <c r="A40" s="130"/>
      <c r="B40" s="130"/>
      <c r="C40" s="129"/>
      <c r="D40" s="130"/>
      <c r="E40" s="131">
        <f t="shared" si="1"/>
        <v>0</v>
      </c>
      <c r="F40" s="130"/>
      <c r="G40" s="132"/>
      <c r="H40" s="132"/>
      <c r="I40" s="130"/>
      <c r="J40" s="133"/>
    </row>
    <row r="41" spans="1:10" x14ac:dyDescent="0.35">
      <c r="A41" s="130"/>
      <c r="B41" s="130"/>
      <c r="C41" s="129"/>
      <c r="D41" s="130"/>
      <c r="E41" s="131">
        <f t="shared" si="1"/>
        <v>0</v>
      </c>
      <c r="F41" s="130"/>
      <c r="G41" s="132"/>
      <c r="H41" s="132"/>
      <c r="I41" s="130"/>
      <c r="J41" s="133"/>
    </row>
    <row r="42" spans="1:10" x14ac:dyDescent="0.35">
      <c r="A42" s="130"/>
      <c r="B42" s="130"/>
      <c r="C42" s="129"/>
      <c r="D42" s="130"/>
      <c r="E42" s="131">
        <f t="shared" si="1"/>
        <v>0</v>
      </c>
      <c r="F42" s="130"/>
      <c r="G42" s="132"/>
      <c r="H42" s="132"/>
      <c r="I42" s="130"/>
      <c r="J42" s="133"/>
    </row>
    <row r="43" spans="1:10" x14ac:dyDescent="0.35">
      <c r="A43" s="130"/>
      <c r="B43" s="130"/>
      <c r="C43" s="129"/>
      <c r="D43" s="130"/>
      <c r="E43" s="131">
        <f t="shared" si="1"/>
        <v>0</v>
      </c>
      <c r="F43" s="130"/>
      <c r="G43" s="132"/>
      <c r="H43" s="132"/>
      <c r="I43" s="130"/>
      <c r="J43" s="133"/>
    </row>
    <row r="44" spans="1:10" x14ac:dyDescent="0.35">
      <c r="A44" s="130"/>
      <c r="B44" s="130"/>
      <c r="C44" s="129"/>
      <c r="D44" s="130"/>
      <c r="E44" s="131">
        <f t="shared" si="1"/>
        <v>0</v>
      </c>
      <c r="F44" s="130"/>
      <c r="G44" s="132"/>
      <c r="H44" s="132"/>
      <c r="I44" s="130"/>
      <c r="J44" s="133"/>
    </row>
    <row r="45" spans="1:10" x14ac:dyDescent="0.35">
      <c r="A45" s="130"/>
      <c r="B45" s="130"/>
      <c r="C45" s="129"/>
      <c r="D45" s="130"/>
      <c r="E45" s="131">
        <f t="shared" si="1"/>
        <v>0</v>
      </c>
      <c r="F45" s="130"/>
      <c r="G45" s="132"/>
      <c r="H45" s="132"/>
      <c r="I45" s="130"/>
      <c r="J45" s="133"/>
    </row>
    <row r="46" spans="1:10" x14ac:dyDescent="0.35">
      <c r="A46" s="130"/>
      <c r="B46" s="130"/>
      <c r="C46" s="129"/>
      <c r="D46" s="130"/>
      <c r="E46" s="131">
        <f t="shared" si="1"/>
        <v>0</v>
      </c>
      <c r="F46" s="130"/>
      <c r="G46" s="132"/>
      <c r="H46" s="132"/>
      <c r="I46" s="130"/>
      <c r="J46" s="133"/>
    </row>
    <row r="47" spans="1:10" x14ac:dyDescent="0.35">
      <c r="A47" s="130"/>
      <c r="B47" s="130"/>
      <c r="C47" s="129"/>
      <c r="D47" s="130"/>
      <c r="E47" s="131">
        <f t="shared" si="1"/>
        <v>0</v>
      </c>
      <c r="F47" s="130"/>
      <c r="G47" s="132"/>
      <c r="H47" s="132"/>
      <c r="I47" s="130"/>
      <c r="J47" s="133"/>
    </row>
    <row r="48" spans="1:10" x14ac:dyDescent="0.35">
      <c r="A48" s="130"/>
      <c r="B48" s="130"/>
      <c r="C48" s="129"/>
      <c r="D48" s="130"/>
      <c r="E48" s="131">
        <f t="shared" ref="E48" si="5">IF(I48&gt;0, 1, 0)</f>
        <v>0</v>
      </c>
      <c r="F48" s="130"/>
      <c r="G48" s="132"/>
      <c r="H48" s="132"/>
      <c r="I48" s="130"/>
      <c r="J48" s="133"/>
    </row>
    <row r="49" spans="1:10" x14ac:dyDescent="0.35">
      <c r="A49" s="130"/>
      <c r="B49" s="130"/>
      <c r="C49" s="129"/>
      <c r="D49" s="130"/>
      <c r="E49" s="131">
        <f t="shared" si="1"/>
        <v>0</v>
      </c>
      <c r="F49" s="130"/>
      <c r="G49" s="132"/>
      <c r="H49" s="132"/>
      <c r="I49" s="130"/>
      <c r="J49" s="133"/>
    </row>
    <row r="50" spans="1:10" x14ac:dyDescent="0.35">
      <c r="A50" s="130"/>
      <c r="B50" s="130"/>
      <c r="C50" s="129"/>
      <c r="D50" s="130"/>
      <c r="E50" s="131">
        <f t="shared" si="1"/>
        <v>0</v>
      </c>
      <c r="F50" s="130"/>
      <c r="G50" s="132"/>
      <c r="H50" s="132"/>
      <c r="I50" s="130"/>
      <c r="J50" s="133"/>
    </row>
    <row r="51" spans="1:10" ht="15" thickBot="1" x14ac:dyDescent="0.4">
      <c r="A51" s="130"/>
      <c r="B51" s="134"/>
      <c r="C51" s="135"/>
      <c r="D51" s="134"/>
      <c r="E51" s="136">
        <f t="shared" si="1"/>
        <v>0</v>
      </c>
      <c r="F51" s="134"/>
      <c r="G51" s="137"/>
      <c r="H51" s="137"/>
      <c r="I51" s="134"/>
      <c r="J51" s="138"/>
    </row>
    <row r="52" spans="1:10" x14ac:dyDescent="0.35">
      <c r="E52" s="148">
        <f>SUM(E2:E51)</f>
        <v>0</v>
      </c>
      <c r="I52">
        <f>SUM(I2:I51)</f>
        <v>0</v>
      </c>
    </row>
  </sheetData>
  <dataValidations count="1">
    <dataValidation type="list" allowBlank="1" showInputMessage="1" showErrorMessage="1" sqref="B2:B51" xr:uid="{748EBB32-9615-40AF-A228-A8C046C31763}">
      <formula1>"NATIONAL,RURAL,-"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FE7120-789C-47D9-BF36-74A7B119F35E}">
          <x14:formula1>
            <xm:f>TESTS!$B$3:$B$34</xm:f>
          </x14:formula1>
          <xm:sqref>F2:F51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AF7B-D95F-4761-8DC6-B0A18C5ABC1D}">
  <dimension ref="A1:H123"/>
  <sheetViews>
    <sheetView topLeftCell="A68" workbookViewId="0">
      <selection activeCell="E100" sqref="E100"/>
    </sheetView>
  </sheetViews>
  <sheetFormatPr defaultRowHeight="14.5" x14ac:dyDescent="0.35"/>
  <cols>
    <col min="2" max="2" width="12.81640625" customWidth="1"/>
    <col min="4" max="7" width="9.1796875" customWidth="1"/>
    <col min="8" max="8" width="10.7265625" customWidth="1"/>
  </cols>
  <sheetData>
    <row r="1" spans="1:8" ht="29.25" customHeight="1" thickBot="1" x14ac:dyDescent="0.4">
      <c r="A1" s="24" t="s">
        <v>172</v>
      </c>
      <c r="B1" s="46" t="s">
        <v>173</v>
      </c>
      <c r="C1" s="24" t="s">
        <v>165</v>
      </c>
      <c r="D1" s="24" t="s">
        <v>175</v>
      </c>
      <c r="E1" s="122" t="s">
        <v>174</v>
      </c>
      <c r="F1" s="24" t="s">
        <v>176</v>
      </c>
      <c r="H1" s="46" t="s">
        <v>53</v>
      </c>
    </row>
    <row r="2" spans="1:8" x14ac:dyDescent="0.35">
      <c r="A2" s="115"/>
      <c r="B2" s="115"/>
      <c r="C2" s="115"/>
      <c r="D2" s="103">
        <f>IF(C2&gt;5,5,C2)</f>
        <v>0</v>
      </c>
      <c r="E2" s="103">
        <f>IF(C2&gt;10,5,MAX(0,C2-5))</f>
        <v>0</v>
      </c>
      <c r="F2" s="103">
        <f>IF(C2&gt;15,5,MAX(0,C2-10))</f>
        <v>0</v>
      </c>
      <c r="H2" s="103">
        <f>IF(C2&gt;0,1,0)</f>
        <v>0</v>
      </c>
    </row>
    <row r="3" spans="1:8" x14ac:dyDescent="0.35">
      <c r="A3" s="115"/>
      <c r="B3" s="115"/>
      <c r="C3" s="32"/>
      <c r="D3" s="103">
        <f t="shared" ref="D3:D46" si="0">IF(C3&gt;5,5,C3)</f>
        <v>0</v>
      </c>
      <c r="E3" s="103">
        <f t="shared" ref="E3:E46" si="1">IF(C3&gt;10,5,MAX(0,C3-5))</f>
        <v>0</v>
      </c>
      <c r="F3" s="103">
        <f t="shared" ref="F3:F46" si="2">IF(C3&gt;15,5,MAX(0,C3-10))</f>
        <v>0</v>
      </c>
      <c r="H3" s="33">
        <f t="shared" ref="H3:H79" si="3">IF(C3&gt;0,1,0)</f>
        <v>0</v>
      </c>
    </row>
    <row r="4" spans="1:8" x14ac:dyDescent="0.35">
      <c r="A4" s="115"/>
      <c r="B4" s="115"/>
      <c r="C4" s="115"/>
      <c r="D4" s="103">
        <f t="shared" si="0"/>
        <v>0</v>
      </c>
      <c r="E4" s="103">
        <f t="shared" si="1"/>
        <v>0</v>
      </c>
      <c r="F4" s="103">
        <f t="shared" si="2"/>
        <v>0</v>
      </c>
      <c r="H4" s="33">
        <f t="shared" si="3"/>
        <v>0</v>
      </c>
    </row>
    <row r="5" spans="1:8" x14ac:dyDescent="0.35">
      <c r="A5" s="115"/>
      <c r="B5" s="115"/>
      <c r="C5" s="32"/>
      <c r="D5" s="103">
        <f t="shared" si="0"/>
        <v>0</v>
      </c>
      <c r="E5" s="103">
        <f t="shared" si="1"/>
        <v>0</v>
      </c>
      <c r="F5" s="103">
        <f t="shared" si="2"/>
        <v>0</v>
      </c>
      <c r="H5" s="33">
        <f t="shared" si="3"/>
        <v>0</v>
      </c>
    </row>
    <row r="6" spans="1:8" x14ac:dyDescent="0.35">
      <c r="A6" s="115"/>
      <c r="B6" s="115"/>
      <c r="C6" s="115"/>
      <c r="D6" s="103">
        <f t="shared" ref="D6:D40" si="4">IF(C6&gt;5,5,C6)</f>
        <v>0</v>
      </c>
      <c r="E6" s="103">
        <f t="shared" ref="E6:E40" si="5">IF(C6&gt;10,5,MAX(0,C6-5))</f>
        <v>0</v>
      </c>
      <c r="F6" s="103">
        <f t="shared" ref="F6:F40" si="6">IF(C6&gt;15,5,MAX(0,C6-10))</f>
        <v>0</v>
      </c>
      <c r="H6" s="33">
        <f t="shared" si="3"/>
        <v>0</v>
      </c>
    </row>
    <row r="7" spans="1:8" x14ac:dyDescent="0.35">
      <c r="A7" s="115"/>
      <c r="B7" s="115"/>
      <c r="C7" s="32"/>
      <c r="D7" s="103">
        <f t="shared" si="4"/>
        <v>0</v>
      </c>
      <c r="E7" s="103">
        <f t="shared" si="5"/>
        <v>0</v>
      </c>
      <c r="F7" s="103">
        <f t="shared" si="6"/>
        <v>0</v>
      </c>
      <c r="H7" s="33">
        <f t="shared" si="3"/>
        <v>0</v>
      </c>
    </row>
    <row r="8" spans="1:8" x14ac:dyDescent="0.35">
      <c r="A8" s="115"/>
      <c r="B8" s="115"/>
      <c r="C8" s="115"/>
      <c r="D8" s="103">
        <f t="shared" si="4"/>
        <v>0</v>
      </c>
      <c r="E8" s="103">
        <f t="shared" si="5"/>
        <v>0</v>
      </c>
      <c r="F8" s="103">
        <f t="shared" si="6"/>
        <v>0</v>
      </c>
      <c r="H8" s="33">
        <f t="shared" si="3"/>
        <v>0</v>
      </c>
    </row>
    <row r="9" spans="1:8" x14ac:dyDescent="0.35">
      <c r="A9" s="115"/>
      <c r="B9" s="115"/>
      <c r="C9" s="32"/>
      <c r="D9" s="103">
        <f t="shared" si="4"/>
        <v>0</v>
      </c>
      <c r="E9" s="103">
        <f t="shared" si="5"/>
        <v>0</v>
      </c>
      <c r="F9" s="103">
        <f t="shared" si="6"/>
        <v>0</v>
      </c>
      <c r="H9" s="33">
        <f t="shared" si="3"/>
        <v>0</v>
      </c>
    </row>
    <row r="10" spans="1:8" x14ac:dyDescent="0.35">
      <c r="A10" s="115"/>
      <c r="B10" s="115"/>
      <c r="C10" s="115"/>
      <c r="D10" s="103">
        <f t="shared" ref="D10:D32" si="7">IF(C10&gt;5,5,C10)</f>
        <v>0</v>
      </c>
      <c r="E10" s="103">
        <f t="shared" ref="E10:E32" si="8">IF(C10&gt;10,5,MAX(0,C10-5))</f>
        <v>0</v>
      </c>
      <c r="F10" s="103">
        <f t="shared" ref="F10:F32" si="9">IF(C10&gt;15,5,MAX(0,C10-10))</f>
        <v>0</v>
      </c>
      <c r="H10" s="33">
        <f t="shared" si="3"/>
        <v>0</v>
      </c>
    </row>
    <row r="11" spans="1:8" x14ac:dyDescent="0.35">
      <c r="A11" s="115"/>
      <c r="B11" s="115"/>
      <c r="C11" s="32"/>
      <c r="D11" s="103">
        <f t="shared" si="7"/>
        <v>0</v>
      </c>
      <c r="E11" s="103">
        <f t="shared" si="8"/>
        <v>0</v>
      </c>
      <c r="F11" s="103">
        <f t="shared" si="9"/>
        <v>0</v>
      </c>
      <c r="H11" s="33">
        <f t="shared" si="3"/>
        <v>0</v>
      </c>
    </row>
    <row r="12" spans="1:8" x14ac:dyDescent="0.35">
      <c r="A12" s="115"/>
      <c r="B12" s="115"/>
      <c r="C12" s="115"/>
      <c r="D12" s="103">
        <f t="shared" si="7"/>
        <v>0</v>
      </c>
      <c r="E12" s="103">
        <f t="shared" si="8"/>
        <v>0</v>
      </c>
      <c r="F12" s="103">
        <f t="shared" si="9"/>
        <v>0</v>
      </c>
      <c r="H12" s="33">
        <f t="shared" si="3"/>
        <v>0</v>
      </c>
    </row>
    <row r="13" spans="1:8" x14ac:dyDescent="0.35">
      <c r="A13" s="115"/>
      <c r="B13" s="115"/>
      <c r="C13" s="32"/>
      <c r="D13" s="103">
        <f t="shared" si="7"/>
        <v>0</v>
      </c>
      <c r="E13" s="103">
        <f t="shared" si="8"/>
        <v>0</v>
      </c>
      <c r="F13" s="103">
        <f t="shared" si="9"/>
        <v>0</v>
      </c>
      <c r="H13" s="33">
        <f t="shared" si="3"/>
        <v>0</v>
      </c>
    </row>
    <row r="14" spans="1:8" x14ac:dyDescent="0.35">
      <c r="A14" s="115"/>
      <c r="B14" s="115"/>
      <c r="C14" s="115"/>
      <c r="D14" s="103">
        <f t="shared" si="7"/>
        <v>0</v>
      </c>
      <c r="E14" s="103">
        <f t="shared" si="8"/>
        <v>0</v>
      </c>
      <c r="F14" s="103">
        <f t="shared" si="9"/>
        <v>0</v>
      </c>
      <c r="H14" s="33">
        <f t="shared" si="3"/>
        <v>0</v>
      </c>
    </row>
    <row r="15" spans="1:8" x14ac:dyDescent="0.35">
      <c r="A15" s="115"/>
      <c r="B15" s="115"/>
      <c r="C15" s="32"/>
      <c r="D15" s="103">
        <f t="shared" si="7"/>
        <v>0</v>
      </c>
      <c r="E15" s="103">
        <f t="shared" si="8"/>
        <v>0</v>
      </c>
      <c r="F15" s="103">
        <f t="shared" si="9"/>
        <v>0</v>
      </c>
      <c r="H15" s="33">
        <f t="shared" si="3"/>
        <v>0</v>
      </c>
    </row>
    <row r="16" spans="1:8" x14ac:dyDescent="0.35">
      <c r="A16" s="115"/>
      <c r="B16" s="115"/>
      <c r="C16" s="115"/>
      <c r="D16" s="103">
        <f t="shared" si="7"/>
        <v>0</v>
      </c>
      <c r="E16" s="103">
        <f t="shared" si="8"/>
        <v>0</v>
      </c>
      <c r="F16" s="103">
        <f t="shared" si="9"/>
        <v>0</v>
      </c>
      <c r="H16" s="33">
        <f t="shared" si="3"/>
        <v>0</v>
      </c>
    </row>
    <row r="17" spans="1:8" x14ac:dyDescent="0.35">
      <c r="A17" s="115"/>
      <c r="B17" s="115"/>
      <c r="C17" s="32"/>
      <c r="D17" s="103">
        <f t="shared" si="7"/>
        <v>0</v>
      </c>
      <c r="E17" s="103">
        <f t="shared" si="8"/>
        <v>0</v>
      </c>
      <c r="F17" s="103">
        <f t="shared" si="9"/>
        <v>0</v>
      </c>
      <c r="H17" s="33">
        <f t="shared" si="3"/>
        <v>0</v>
      </c>
    </row>
    <row r="18" spans="1:8" x14ac:dyDescent="0.35">
      <c r="A18" s="115"/>
      <c r="B18" s="115"/>
      <c r="C18" s="115"/>
      <c r="D18" s="103">
        <f t="shared" si="7"/>
        <v>0</v>
      </c>
      <c r="E18" s="103">
        <f t="shared" si="8"/>
        <v>0</v>
      </c>
      <c r="F18" s="103">
        <f t="shared" si="9"/>
        <v>0</v>
      </c>
      <c r="H18" s="33">
        <f t="shared" si="3"/>
        <v>0</v>
      </c>
    </row>
    <row r="19" spans="1:8" x14ac:dyDescent="0.35">
      <c r="A19" s="115"/>
      <c r="B19" s="115"/>
      <c r="C19" s="32"/>
      <c r="D19" s="103">
        <f t="shared" si="7"/>
        <v>0</v>
      </c>
      <c r="E19" s="103">
        <f t="shared" si="8"/>
        <v>0</v>
      </c>
      <c r="F19" s="103">
        <f t="shared" si="9"/>
        <v>0</v>
      </c>
      <c r="H19" s="33">
        <f t="shared" si="3"/>
        <v>0</v>
      </c>
    </row>
    <row r="20" spans="1:8" x14ac:dyDescent="0.35">
      <c r="A20" s="115"/>
      <c r="B20" s="115"/>
      <c r="C20" s="115"/>
      <c r="D20" s="103">
        <f t="shared" si="7"/>
        <v>0</v>
      </c>
      <c r="E20" s="103">
        <f t="shared" si="8"/>
        <v>0</v>
      </c>
      <c r="F20" s="103">
        <f t="shared" si="9"/>
        <v>0</v>
      </c>
      <c r="H20" s="33">
        <f t="shared" si="3"/>
        <v>0</v>
      </c>
    </row>
    <row r="21" spans="1:8" x14ac:dyDescent="0.35">
      <c r="A21" s="115"/>
      <c r="B21" s="115"/>
      <c r="C21" s="32"/>
      <c r="D21" s="103">
        <f t="shared" si="7"/>
        <v>0</v>
      </c>
      <c r="E21" s="103">
        <f t="shared" si="8"/>
        <v>0</v>
      </c>
      <c r="F21" s="103">
        <f t="shared" si="9"/>
        <v>0</v>
      </c>
      <c r="H21" s="33">
        <f t="shared" si="3"/>
        <v>0</v>
      </c>
    </row>
    <row r="22" spans="1:8" x14ac:dyDescent="0.35">
      <c r="A22" s="115"/>
      <c r="B22" s="115"/>
      <c r="C22" s="115"/>
      <c r="D22" s="103">
        <f t="shared" si="7"/>
        <v>0</v>
      </c>
      <c r="E22" s="103">
        <f t="shared" si="8"/>
        <v>0</v>
      </c>
      <c r="F22" s="103">
        <f t="shared" si="9"/>
        <v>0</v>
      </c>
      <c r="H22" s="33">
        <f t="shared" si="3"/>
        <v>0</v>
      </c>
    </row>
    <row r="23" spans="1:8" x14ac:dyDescent="0.35">
      <c r="A23" s="115"/>
      <c r="B23" s="115"/>
      <c r="C23" s="32"/>
      <c r="D23" s="103">
        <f t="shared" si="7"/>
        <v>0</v>
      </c>
      <c r="E23" s="103">
        <f t="shared" si="8"/>
        <v>0</v>
      </c>
      <c r="F23" s="103">
        <f t="shared" si="9"/>
        <v>0</v>
      </c>
      <c r="H23" s="33">
        <f t="shared" si="3"/>
        <v>0</v>
      </c>
    </row>
    <row r="24" spans="1:8" x14ac:dyDescent="0.35">
      <c r="A24" s="115"/>
      <c r="B24" s="115"/>
      <c r="C24" s="115"/>
      <c r="D24" s="103">
        <f t="shared" si="7"/>
        <v>0</v>
      </c>
      <c r="E24" s="103">
        <f t="shared" si="8"/>
        <v>0</v>
      </c>
      <c r="F24" s="103">
        <f t="shared" si="9"/>
        <v>0</v>
      </c>
      <c r="H24" s="33">
        <f t="shared" si="3"/>
        <v>0</v>
      </c>
    </row>
    <row r="25" spans="1:8" x14ac:dyDescent="0.35">
      <c r="A25" s="115"/>
      <c r="B25" s="115"/>
      <c r="C25" s="32"/>
      <c r="D25" s="103">
        <f t="shared" si="7"/>
        <v>0</v>
      </c>
      <c r="E25" s="103">
        <f t="shared" si="8"/>
        <v>0</v>
      </c>
      <c r="F25" s="103">
        <f t="shared" si="9"/>
        <v>0</v>
      </c>
      <c r="H25" s="33">
        <f t="shared" si="3"/>
        <v>0</v>
      </c>
    </row>
    <row r="26" spans="1:8" x14ac:dyDescent="0.35">
      <c r="A26" s="115"/>
      <c r="B26" s="115"/>
      <c r="C26" s="115"/>
      <c r="D26" s="103">
        <f t="shared" si="7"/>
        <v>0</v>
      </c>
      <c r="E26" s="103">
        <f t="shared" si="8"/>
        <v>0</v>
      </c>
      <c r="F26" s="103">
        <f t="shared" si="9"/>
        <v>0</v>
      </c>
      <c r="H26" s="33">
        <f t="shared" si="3"/>
        <v>0</v>
      </c>
    </row>
    <row r="27" spans="1:8" x14ac:dyDescent="0.35">
      <c r="A27" s="115"/>
      <c r="B27" s="115"/>
      <c r="C27" s="32"/>
      <c r="D27" s="103">
        <f t="shared" si="7"/>
        <v>0</v>
      </c>
      <c r="E27" s="103">
        <f t="shared" si="8"/>
        <v>0</v>
      </c>
      <c r="F27" s="103">
        <f t="shared" si="9"/>
        <v>0</v>
      </c>
      <c r="H27" s="33">
        <f t="shared" si="3"/>
        <v>0</v>
      </c>
    </row>
    <row r="28" spans="1:8" x14ac:dyDescent="0.35">
      <c r="A28" s="115"/>
      <c r="B28" s="115"/>
      <c r="C28" s="115"/>
      <c r="D28" s="103">
        <f t="shared" si="7"/>
        <v>0</v>
      </c>
      <c r="E28" s="103">
        <f t="shared" si="8"/>
        <v>0</v>
      </c>
      <c r="F28" s="103">
        <f t="shared" si="9"/>
        <v>0</v>
      </c>
      <c r="H28" s="33">
        <f t="shared" si="3"/>
        <v>0</v>
      </c>
    </row>
    <row r="29" spans="1:8" x14ac:dyDescent="0.35">
      <c r="A29" s="115"/>
      <c r="B29" s="115"/>
      <c r="C29" s="32"/>
      <c r="D29" s="103">
        <f t="shared" si="7"/>
        <v>0</v>
      </c>
      <c r="E29" s="103">
        <f t="shared" si="8"/>
        <v>0</v>
      </c>
      <c r="F29" s="103">
        <f t="shared" si="9"/>
        <v>0</v>
      </c>
      <c r="H29" s="33">
        <f t="shared" si="3"/>
        <v>0</v>
      </c>
    </row>
    <row r="30" spans="1:8" x14ac:dyDescent="0.35">
      <c r="A30" s="115"/>
      <c r="B30" s="115"/>
      <c r="C30" s="115"/>
      <c r="D30" s="103">
        <f t="shared" si="7"/>
        <v>0</v>
      </c>
      <c r="E30" s="103">
        <f t="shared" si="8"/>
        <v>0</v>
      </c>
      <c r="F30" s="103">
        <f t="shared" si="9"/>
        <v>0</v>
      </c>
      <c r="H30" s="33">
        <f t="shared" si="3"/>
        <v>0</v>
      </c>
    </row>
    <row r="31" spans="1:8" x14ac:dyDescent="0.35">
      <c r="A31" s="115"/>
      <c r="B31" s="115"/>
      <c r="C31" s="32"/>
      <c r="D31" s="103">
        <f t="shared" si="7"/>
        <v>0</v>
      </c>
      <c r="E31" s="103">
        <f t="shared" si="8"/>
        <v>0</v>
      </c>
      <c r="F31" s="103">
        <f t="shared" si="9"/>
        <v>0</v>
      </c>
      <c r="H31" s="33">
        <f t="shared" si="3"/>
        <v>0</v>
      </c>
    </row>
    <row r="32" spans="1:8" x14ac:dyDescent="0.35">
      <c r="A32" s="115"/>
      <c r="B32" s="115"/>
      <c r="C32" s="115"/>
      <c r="D32" s="103">
        <f t="shared" si="7"/>
        <v>0</v>
      </c>
      <c r="E32" s="103">
        <f t="shared" si="8"/>
        <v>0</v>
      </c>
      <c r="F32" s="103">
        <f t="shared" si="9"/>
        <v>0</v>
      </c>
      <c r="H32" s="33">
        <f t="shared" si="3"/>
        <v>0</v>
      </c>
    </row>
    <row r="33" spans="1:8" x14ac:dyDescent="0.35">
      <c r="A33" s="115"/>
      <c r="B33" s="115"/>
      <c r="C33" s="32"/>
      <c r="D33" s="103">
        <f t="shared" si="4"/>
        <v>0</v>
      </c>
      <c r="E33" s="103">
        <f t="shared" si="5"/>
        <v>0</v>
      </c>
      <c r="F33" s="103">
        <f t="shared" si="6"/>
        <v>0</v>
      </c>
      <c r="H33" s="33">
        <f t="shared" si="3"/>
        <v>0</v>
      </c>
    </row>
    <row r="34" spans="1:8" x14ac:dyDescent="0.35">
      <c r="A34" s="115"/>
      <c r="B34" s="115"/>
      <c r="C34" s="115"/>
      <c r="D34" s="103">
        <f t="shared" si="4"/>
        <v>0</v>
      </c>
      <c r="E34" s="103">
        <f t="shared" si="5"/>
        <v>0</v>
      </c>
      <c r="F34" s="103">
        <f t="shared" si="6"/>
        <v>0</v>
      </c>
      <c r="H34" s="33">
        <f t="shared" si="3"/>
        <v>0</v>
      </c>
    </row>
    <row r="35" spans="1:8" x14ac:dyDescent="0.35">
      <c r="A35" s="115"/>
      <c r="B35" s="115"/>
      <c r="C35" s="32"/>
      <c r="D35" s="103">
        <f t="shared" si="4"/>
        <v>0</v>
      </c>
      <c r="E35" s="103">
        <f t="shared" si="5"/>
        <v>0</v>
      </c>
      <c r="F35" s="103">
        <f t="shared" si="6"/>
        <v>0</v>
      </c>
      <c r="H35" s="33">
        <f t="shared" si="3"/>
        <v>0</v>
      </c>
    </row>
    <row r="36" spans="1:8" x14ac:dyDescent="0.35">
      <c r="A36" s="115"/>
      <c r="B36" s="115"/>
      <c r="C36" s="115"/>
      <c r="D36" s="103">
        <f t="shared" si="4"/>
        <v>0</v>
      </c>
      <c r="E36" s="103">
        <f t="shared" si="5"/>
        <v>0</v>
      </c>
      <c r="F36" s="103">
        <f t="shared" si="6"/>
        <v>0</v>
      </c>
      <c r="H36" s="33">
        <f t="shared" si="3"/>
        <v>0</v>
      </c>
    </row>
    <row r="37" spans="1:8" x14ac:dyDescent="0.35">
      <c r="A37" s="115"/>
      <c r="B37" s="115"/>
      <c r="C37" s="32"/>
      <c r="D37" s="103">
        <f t="shared" si="4"/>
        <v>0</v>
      </c>
      <c r="E37" s="103">
        <f t="shared" si="5"/>
        <v>0</v>
      </c>
      <c r="F37" s="103">
        <f t="shared" si="6"/>
        <v>0</v>
      </c>
      <c r="H37" s="33">
        <f t="shared" si="3"/>
        <v>0</v>
      </c>
    </row>
    <row r="38" spans="1:8" x14ac:dyDescent="0.35">
      <c r="A38" s="115"/>
      <c r="B38" s="115"/>
      <c r="C38" s="115"/>
      <c r="D38" s="103">
        <f t="shared" si="4"/>
        <v>0</v>
      </c>
      <c r="E38" s="103">
        <f t="shared" si="5"/>
        <v>0</v>
      </c>
      <c r="F38" s="103">
        <f t="shared" si="6"/>
        <v>0</v>
      </c>
      <c r="H38" s="33">
        <f t="shared" si="3"/>
        <v>0</v>
      </c>
    </row>
    <row r="39" spans="1:8" x14ac:dyDescent="0.35">
      <c r="A39" s="115"/>
      <c r="B39" s="115"/>
      <c r="C39" s="32"/>
      <c r="D39" s="103">
        <f t="shared" si="4"/>
        <v>0</v>
      </c>
      <c r="E39" s="103">
        <f t="shared" si="5"/>
        <v>0</v>
      </c>
      <c r="F39" s="103">
        <f t="shared" si="6"/>
        <v>0</v>
      </c>
      <c r="H39" s="33">
        <f t="shared" si="3"/>
        <v>0</v>
      </c>
    </row>
    <row r="40" spans="1:8" x14ac:dyDescent="0.35">
      <c r="A40" s="115"/>
      <c r="B40" s="115"/>
      <c r="C40" s="115"/>
      <c r="D40" s="103">
        <f t="shared" si="4"/>
        <v>0</v>
      </c>
      <c r="E40" s="103">
        <f t="shared" si="5"/>
        <v>0</v>
      </c>
      <c r="F40" s="103">
        <f t="shared" si="6"/>
        <v>0</v>
      </c>
      <c r="H40" s="33">
        <f t="shared" si="3"/>
        <v>0</v>
      </c>
    </row>
    <row r="41" spans="1:8" x14ac:dyDescent="0.35">
      <c r="A41" s="115"/>
      <c r="B41" s="115"/>
      <c r="C41" s="32"/>
      <c r="D41" s="103">
        <f t="shared" si="0"/>
        <v>0</v>
      </c>
      <c r="E41" s="103">
        <f t="shared" si="1"/>
        <v>0</v>
      </c>
      <c r="F41" s="103">
        <f t="shared" si="2"/>
        <v>0</v>
      </c>
      <c r="H41" s="33">
        <f t="shared" si="3"/>
        <v>0</v>
      </c>
    </row>
    <row r="42" spans="1:8" x14ac:dyDescent="0.35">
      <c r="A42" s="115"/>
      <c r="B42" s="115"/>
      <c r="C42" s="115"/>
      <c r="D42" s="103">
        <f t="shared" si="0"/>
        <v>0</v>
      </c>
      <c r="E42" s="103">
        <f t="shared" si="1"/>
        <v>0</v>
      </c>
      <c r="F42" s="103">
        <f t="shared" si="2"/>
        <v>0</v>
      </c>
      <c r="H42" s="33">
        <f t="shared" si="3"/>
        <v>0</v>
      </c>
    </row>
    <row r="43" spans="1:8" x14ac:dyDescent="0.35">
      <c r="A43" s="115"/>
      <c r="B43" s="115"/>
      <c r="C43" s="32"/>
      <c r="D43" s="103">
        <f t="shared" si="0"/>
        <v>0</v>
      </c>
      <c r="E43" s="103">
        <f t="shared" si="1"/>
        <v>0</v>
      </c>
      <c r="F43" s="103">
        <f t="shared" si="2"/>
        <v>0</v>
      </c>
      <c r="H43" s="33">
        <f t="shared" si="3"/>
        <v>0</v>
      </c>
    </row>
    <row r="44" spans="1:8" x14ac:dyDescent="0.35">
      <c r="A44" s="115"/>
      <c r="B44" s="115"/>
      <c r="C44" s="115"/>
      <c r="D44" s="103">
        <f t="shared" si="0"/>
        <v>0</v>
      </c>
      <c r="E44" s="103">
        <f t="shared" si="1"/>
        <v>0</v>
      </c>
      <c r="F44" s="103">
        <f t="shared" si="2"/>
        <v>0</v>
      </c>
      <c r="H44" s="33">
        <f t="shared" si="3"/>
        <v>0</v>
      </c>
    </row>
    <row r="45" spans="1:8" x14ac:dyDescent="0.35">
      <c r="A45" s="115"/>
      <c r="B45" s="115"/>
      <c r="C45" s="32"/>
      <c r="D45" s="103">
        <f t="shared" si="0"/>
        <v>0</v>
      </c>
      <c r="E45" s="103">
        <f t="shared" si="1"/>
        <v>0</v>
      </c>
      <c r="F45" s="103">
        <f t="shared" si="2"/>
        <v>0</v>
      </c>
      <c r="H45" s="33">
        <f t="shared" si="3"/>
        <v>0</v>
      </c>
    </row>
    <row r="46" spans="1:8" x14ac:dyDescent="0.35">
      <c r="A46" s="115"/>
      <c r="B46" s="115"/>
      <c r="C46" s="115"/>
      <c r="D46" s="103">
        <f t="shared" si="0"/>
        <v>0</v>
      </c>
      <c r="E46" s="103">
        <f t="shared" si="1"/>
        <v>0</v>
      </c>
      <c r="F46" s="103">
        <f t="shared" si="2"/>
        <v>0</v>
      </c>
      <c r="H46" s="33">
        <f t="shared" si="3"/>
        <v>0</v>
      </c>
    </row>
    <row r="47" spans="1:8" x14ac:dyDescent="0.35">
      <c r="A47" s="115"/>
      <c r="B47" s="115"/>
      <c r="C47" s="32"/>
      <c r="D47" s="103">
        <f t="shared" ref="D47:D79" si="10">IF(C47&gt;5,5,C47)</f>
        <v>0</v>
      </c>
      <c r="E47" s="103">
        <f t="shared" ref="E47:E79" si="11">IF(C47&gt;10,5,MAX(0,C47-5))</f>
        <v>0</v>
      </c>
      <c r="F47" s="103">
        <f t="shared" ref="F47:F79" si="12">IF(C47&gt;15,5,MAX(0,C47-10))</f>
        <v>0</v>
      </c>
      <c r="H47" s="33">
        <f t="shared" si="3"/>
        <v>0</v>
      </c>
    </row>
    <row r="48" spans="1:8" x14ac:dyDescent="0.35">
      <c r="A48" s="115"/>
      <c r="B48" s="115"/>
      <c r="C48" s="115"/>
      <c r="D48" s="103">
        <f t="shared" si="10"/>
        <v>0</v>
      </c>
      <c r="E48" s="103">
        <f t="shared" si="11"/>
        <v>0</v>
      </c>
      <c r="F48" s="103">
        <f t="shared" si="12"/>
        <v>0</v>
      </c>
      <c r="H48" s="33">
        <f t="shared" si="3"/>
        <v>0</v>
      </c>
    </row>
    <row r="49" spans="1:8" x14ac:dyDescent="0.35">
      <c r="A49" s="115"/>
      <c r="B49" s="115"/>
      <c r="C49" s="32"/>
      <c r="D49" s="103">
        <f t="shared" si="10"/>
        <v>0</v>
      </c>
      <c r="E49" s="103">
        <f t="shared" si="11"/>
        <v>0</v>
      </c>
      <c r="F49" s="103">
        <f t="shared" si="12"/>
        <v>0</v>
      </c>
      <c r="H49" s="33">
        <f t="shared" si="3"/>
        <v>0</v>
      </c>
    </row>
    <row r="50" spans="1:8" x14ac:dyDescent="0.35">
      <c r="A50" s="115"/>
      <c r="B50" s="115"/>
      <c r="C50" s="115"/>
      <c r="D50" s="103">
        <f t="shared" si="10"/>
        <v>0</v>
      </c>
      <c r="E50" s="103">
        <f t="shared" si="11"/>
        <v>0</v>
      </c>
      <c r="F50" s="103">
        <f t="shared" si="12"/>
        <v>0</v>
      </c>
      <c r="H50" s="33">
        <f t="shared" si="3"/>
        <v>0</v>
      </c>
    </row>
    <row r="51" spans="1:8" x14ac:dyDescent="0.35">
      <c r="A51" s="115"/>
      <c r="B51" s="115"/>
      <c r="C51" s="32"/>
      <c r="D51" s="103">
        <f t="shared" si="10"/>
        <v>0</v>
      </c>
      <c r="E51" s="103">
        <f t="shared" si="11"/>
        <v>0</v>
      </c>
      <c r="F51" s="103">
        <f t="shared" si="12"/>
        <v>0</v>
      </c>
      <c r="H51" s="33">
        <f t="shared" si="3"/>
        <v>0</v>
      </c>
    </row>
    <row r="52" spans="1:8" x14ac:dyDescent="0.35">
      <c r="A52" s="115"/>
      <c r="B52" s="115"/>
      <c r="C52" s="115"/>
      <c r="D52" s="103">
        <f t="shared" si="10"/>
        <v>0</v>
      </c>
      <c r="E52" s="103">
        <f t="shared" si="11"/>
        <v>0</v>
      </c>
      <c r="F52" s="103">
        <f t="shared" si="12"/>
        <v>0</v>
      </c>
      <c r="H52" s="33">
        <f t="shared" si="3"/>
        <v>0</v>
      </c>
    </row>
    <row r="53" spans="1:8" x14ac:dyDescent="0.35">
      <c r="A53" s="115"/>
      <c r="B53" s="115"/>
      <c r="C53" s="32"/>
      <c r="D53" s="103">
        <f t="shared" si="10"/>
        <v>0</v>
      </c>
      <c r="E53" s="103">
        <f t="shared" si="11"/>
        <v>0</v>
      </c>
      <c r="F53" s="103">
        <f t="shared" si="12"/>
        <v>0</v>
      </c>
      <c r="H53" s="33">
        <f t="shared" si="3"/>
        <v>0</v>
      </c>
    </row>
    <row r="54" spans="1:8" x14ac:dyDescent="0.35">
      <c r="A54" s="115"/>
      <c r="B54" s="115"/>
      <c r="C54" s="115"/>
      <c r="D54" s="103">
        <f t="shared" si="10"/>
        <v>0</v>
      </c>
      <c r="E54" s="103">
        <f t="shared" si="11"/>
        <v>0</v>
      </c>
      <c r="F54" s="103">
        <f t="shared" si="12"/>
        <v>0</v>
      </c>
      <c r="H54" s="33">
        <f t="shared" si="3"/>
        <v>0</v>
      </c>
    </row>
    <row r="55" spans="1:8" x14ac:dyDescent="0.35">
      <c r="A55" s="115"/>
      <c r="B55" s="115"/>
      <c r="C55" s="32"/>
      <c r="D55" s="103">
        <f t="shared" si="10"/>
        <v>0</v>
      </c>
      <c r="E55" s="103">
        <f t="shared" si="11"/>
        <v>0</v>
      </c>
      <c r="F55" s="103">
        <f t="shared" si="12"/>
        <v>0</v>
      </c>
      <c r="H55" s="33">
        <f t="shared" si="3"/>
        <v>0</v>
      </c>
    </row>
    <row r="56" spans="1:8" x14ac:dyDescent="0.35">
      <c r="A56" s="115"/>
      <c r="B56" s="115"/>
      <c r="C56" s="115"/>
      <c r="D56" s="103">
        <f t="shared" si="10"/>
        <v>0</v>
      </c>
      <c r="E56" s="103">
        <f t="shared" si="11"/>
        <v>0</v>
      </c>
      <c r="F56" s="103">
        <f t="shared" si="12"/>
        <v>0</v>
      </c>
      <c r="H56" s="33">
        <f t="shared" si="3"/>
        <v>0</v>
      </c>
    </row>
    <row r="57" spans="1:8" x14ac:dyDescent="0.35">
      <c r="A57" s="115"/>
      <c r="B57" s="115"/>
      <c r="C57" s="32"/>
      <c r="D57" s="103">
        <f t="shared" si="10"/>
        <v>0</v>
      </c>
      <c r="E57" s="103">
        <f t="shared" si="11"/>
        <v>0</v>
      </c>
      <c r="F57" s="103">
        <f t="shared" si="12"/>
        <v>0</v>
      </c>
      <c r="H57" s="33">
        <f t="shared" si="3"/>
        <v>0</v>
      </c>
    </row>
    <row r="58" spans="1:8" x14ac:dyDescent="0.35">
      <c r="A58" s="115"/>
      <c r="B58" s="115"/>
      <c r="C58" s="115"/>
      <c r="D58" s="103">
        <f t="shared" si="10"/>
        <v>0</v>
      </c>
      <c r="E58" s="103">
        <f t="shared" si="11"/>
        <v>0</v>
      </c>
      <c r="F58" s="103">
        <f t="shared" si="12"/>
        <v>0</v>
      </c>
      <c r="H58" s="33">
        <f t="shared" si="3"/>
        <v>0</v>
      </c>
    </row>
    <row r="59" spans="1:8" x14ac:dyDescent="0.35">
      <c r="A59" s="115"/>
      <c r="B59" s="115"/>
      <c r="C59" s="32"/>
      <c r="D59" s="103">
        <f t="shared" si="10"/>
        <v>0</v>
      </c>
      <c r="E59" s="103">
        <f t="shared" si="11"/>
        <v>0</v>
      </c>
      <c r="F59" s="103">
        <f t="shared" si="12"/>
        <v>0</v>
      </c>
      <c r="H59" s="33">
        <f t="shared" si="3"/>
        <v>0</v>
      </c>
    </row>
    <row r="60" spans="1:8" x14ac:dyDescent="0.35">
      <c r="A60" s="115"/>
      <c r="B60" s="115"/>
      <c r="C60" s="115"/>
      <c r="D60" s="103">
        <f t="shared" si="10"/>
        <v>0</v>
      </c>
      <c r="E60" s="103">
        <f t="shared" si="11"/>
        <v>0</v>
      </c>
      <c r="F60" s="103">
        <f t="shared" si="12"/>
        <v>0</v>
      </c>
      <c r="H60" s="33">
        <f t="shared" si="3"/>
        <v>0</v>
      </c>
    </row>
    <row r="61" spans="1:8" x14ac:dyDescent="0.35">
      <c r="A61" s="115"/>
      <c r="B61" s="115"/>
      <c r="C61" s="32"/>
      <c r="D61" s="103">
        <f t="shared" si="10"/>
        <v>0</v>
      </c>
      <c r="E61" s="103">
        <f t="shared" si="11"/>
        <v>0</v>
      </c>
      <c r="F61" s="103">
        <f t="shared" si="12"/>
        <v>0</v>
      </c>
      <c r="H61" s="33">
        <f t="shared" si="3"/>
        <v>0</v>
      </c>
    </row>
    <row r="62" spans="1:8" x14ac:dyDescent="0.35">
      <c r="A62" s="115"/>
      <c r="B62" s="115"/>
      <c r="C62" s="115"/>
      <c r="D62" s="103">
        <f t="shared" si="10"/>
        <v>0</v>
      </c>
      <c r="E62" s="103">
        <f t="shared" si="11"/>
        <v>0</v>
      </c>
      <c r="F62" s="103">
        <f t="shared" si="12"/>
        <v>0</v>
      </c>
      <c r="H62" s="33">
        <f t="shared" si="3"/>
        <v>0</v>
      </c>
    </row>
    <row r="63" spans="1:8" x14ac:dyDescent="0.35">
      <c r="A63" s="115"/>
      <c r="B63" s="115"/>
      <c r="C63" s="32"/>
      <c r="D63" s="103">
        <f t="shared" si="10"/>
        <v>0</v>
      </c>
      <c r="E63" s="103">
        <f t="shared" si="11"/>
        <v>0</v>
      </c>
      <c r="F63" s="103">
        <f t="shared" si="12"/>
        <v>0</v>
      </c>
      <c r="H63" s="33">
        <f t="shared" si="3"/>
        <v>0</v>
      </c>
    </row>
    <row r="64" spans="1:8" x14ac:dyDescent="0.35">
      <c r="A64" s="115"/>
      <c r="B64" s="115"/>
      <c r="C64" s="115"/>
      <c r="D64" s="103">
        <f t="shared" si="10"/>
        <v>0</v>
      </c>
      <c r="E64" s="103">
        <f t="shared" si="11"/>
        <v>0</v>
      </c>
      <c r="F64" s="103">
        <f t="shared" si="12"/>
        <v>0</v>
      </c>
      <c r="H64" s="33">
        <f t="shared" si="3"/>
        <v>0</v>
      </c>
    </row>
    <row r="65" spans="1:8" x14ac:dyDescent="0.35">
      <c r="A65" s="115"/>
      <c r="B65" s="115"/>
      <c r="C65" s="32"/>
      <c r="D65" s="103">
        <f t="shared" si="10"/>
        <v>0</v>
      </c>
      <c r="E65" s="103">
        <f t="shared" si="11"/>
        <v>0</v>
      </c>
      <c r="F65" s="103">
        <f t="shared" si="12"/>
        <v>0</v>
      </c>
      <c r="H65" s="33">
        <f t="shared" si="3"/>
        <v>0</v>
      </c>
    </row>
    <row r="66" spans="1:8" x14ac:dyDescent="0.35">
      <c r="A66" s="115"/>
      <c r="B66" s="115"/>
      <c r="C66" s="115"/>
      <c r="D66" s="103">
        <f t="shared" si="10"/>
        <v>0</v>
      </c>
      <c r="E66" s="103">
        <f t="shared" si="11"/>
        <v>0</v>
      </c>
      <c r="F66" s="103">
        <f t="shared" si="12"/>
        <v>0</v>
      </c>
      <c r="H66" s="33">
        <f t="shared" si="3"/>
        <v>0</v>
      </c>
    </row>
    <row r="67" spans="1:8" x14ac:dyDescent="0.35">
      <c r="A67" s="115"/>
      <c r="B67" s="115"/>
      <c r="C67" s="32"/>
      <c r="D67" s="103">
        <f t="shared" si="10"/>
        <v>0</v>
      </c>
      <c r="E67" s="103">
        <f t="shared" si="11"/>
        <v>0</v>
      </c>
      <c r="F67" s="103">
        <f t="shared" si="12"/>
        <v>0</v>
      </c>
      <c r="H67" s="33">
        <f t="shared" si="3"/>
        <v>0</v>
      </c>
    </row>
    <row r="68" spans="1:8" x14ac:dyDescent="0.35">
      <c r="A68" s="115"/>
      <c r="B68" s="115"/>
      <c r="C68" s="115"/>
      <c r="D68" s="103">
        <f t="shared" si="10"/>
        <v>0</v>
      </c>
      <c r="E68" s="103">
        <f t="shared" si="11"/>
        <v>0</v>
      </c>
      <c r="F68" s="103">
        <f t="shared" si="12"/>
        <v>0</v>
      </c>
      <c r="H68" s="33">
        <f t="shared" si="3"/>
        <v>0</v>
      </c>
    </row>
    <row r="69" spans="1:8" x14ac:dyDescent="0.35">
      <c r="A69" s="115"/>
      <c r="B69" s="115"/>
      <c r="C69" s="32"/>
      <c r="D69" s="103">
        <f t="shared" si="10"/>
        <v>0</v>
      </c>
      <c r="E69" s="103">
        <f t="shared" si="11"/>
        <v>0</v>
      </c>
      <c r="F69" s="103">
        <f t="shared" si="12"/>
        <v>0</v>
      </c>
      <c r="H69" s="33">
        <f t="shared" si="3"/>
        <v>0</v>
      </c>
    </row>
    <row r="70" spans="1:8" x14ac:dyDescent="0.35">
      <c r="A70" s="115"/>
      <c r="B70" s="115"/>
      <c r="C70" s="115"/>
      <c r="D70" s="103">
        <f t="shared" si="10"/>
        <v>0</v>
      </c>
      <c r="E70" s="103">
        <f t="shared" si="11"/>
        <v>0</v>
      </c>
      <c r="F70" s="103">
        <f t="shared" si="12"/>
        <v>0</v>
      </c>
      <c r="H70" s="33">
        <f t="shared" si="3"/>
        <v>0</v>
      </c>
    </row>
    <row r="71" spans="1:8" x14ac:dyDescent="0.35">
      <c r="A71" s="115"/>
      <c r="B71" s="115"/>
      <c r="C71" s="32"/>
      <c r="D71" s="103">
        <f t="shared" si="10"/>
        <v>0</v>
      </c>
      <c r="E71" s="103">
        <f t="shared" si="11"/>
        <v>0</v>
      </c>
      <c r="F71" s="103">
        <f t="shared" si="12"/>
        <v>0</v>
      </c>
      <c r="H71" s="33">
        <f t="shared" si="3"/>
        <v>0</v>
      </c>
    </row>
    <row r="72" spans="1:8" x14ac:dyDescent="0.35">
      <c r="A72" s="115"/>
      <c r="B72" s="115"/>
      <c r="C72" s="115"/>
      <c r="D72" s="103">
        <f t="shared" si="10"/>
        <v>0</v>
      </c>
      <c r="E72" s="103">
        <f t="shared" si="11"/>
        <v>0</v>
      </c>
      <c r="F72" s="103">
        <f t="shared" si="12"/>
        <v>0</v>
      </c>
      <c r="H72" s="33">
        <f t="shared" si="3"/>
        <v>0</v>
      </c>
    </row>
    <row r="73" spans="1:8" x14ac:dyDescent="0.35">
      <c r="A73" s="115"/>
      <c r="B73" s="115"/>
      <c r="C73" s="32"/>
      <c r="D73" s="103">
        <f t="shared" si="10"/>
        <v>0</v>
      </c>
      <c r="E73" s="103">
        <f t="shared" si="11"/>
        <v>0</v>
      </c>
      <c r="F73" s="103">
        <f t="shared" si="12"/>
        <v>0</v>
      </c>
      <c r="H73" s="33">
        <f t="shared" si="3"/>
        <v>0</v>
      </c>
    </row>
    <row r="74" spans="1:8" x14ac:dyDescent="0.35">
      <c r="A74" s="115"/>
      <c r="B74" s="115"/>
      <c r="C74" s="115"/>
      <c r="D74" s="103">
        <f t="shared" si="10"/>
        <v>0</v>
      </c>
      <c r="E74" s="103">
        <f t="shared" si="11"/>
        <v>0</v>
      </c>
      <c r="F74" s="103">
        <f t="shared" si="12"/>
        <v>0</v>
      </c>
      <c r="H74" s="33">
        <f t="shared" si="3"/>
        <v>0</v>
      </c>
    </row>
    <row r="75" spans="1:8" x14ac:dyDescent="0.35">
      <c r="A75" s="115"/>
      <c r="B75" s="115"/>
      <c r="C75" s="32"/>
      <c r="D75" s="103">
        <f t="shared" si="10"/>
        <v>0</v>
      </c>
      <c r="E75" s="103">
        <f t="shared" si="11"/>
        <v>0</v>
      </c>
      <c r="F75" s="103">
        <f t="shared" si="12"/>
        <v>0</v>
      </c>
      <c r="H75" s="33">
        <f t="shared" si="3"/>
        <v>0</v>
      </c>
    </row>
    <row r="76" spans="1:8" x14ac:dyDescent="0.35">
      <c r="A76" s="115"/>
      <c r="B76" s="115"/>
      <c r="C76" s="115"/>
      <c r="D76" s="103">
        <f t="shared" si="10"/>
        <v>0</v>
      </c>
      <c r="E76" s="103">
        <f t="shared" si="11"/>
        <v>0</v>
      </c>
      <c r="F76" s="103">
        <f t="shared" si="12"/>
        <v>0</v>
      </c>
      <c r="H76" s="33">
        <f t="shared" si="3"/>
        <v>0</v>
      </c>
    </row>
    <row r="77" spans="1:8" x14ac:dyDescent="0.35">
      <c r="A77" s="115"/>
      <c r="B77" s="115"/>
      <c r="C77" s="32"/>
      <c r="D77" s="103">
        <f t="shared" si="10"/>
        <v>0</v>
      </c>
      <c r="E77" s="103">
        <f t="shared" si="11"/>
        <v>0</v>
      </c>
      <c r="F77" s="103">
        <f t="shared" si="12"/>
        <v>0</v>
      </c>
      <c r="H77" s="33">
        <f t="shared" si="3"/>
        <v>0</v>
      </c>
    </row>
    <row r="78" spans="1:8" x14ac:dyDescent="0.35">
      <c r="A78" s="115"/>
      <c r="B78" s="115"/>
      <c r="C78" s="115"/>
      <c r="D78" s="103">
        <f t="shared" si="10"/>
        <v>0</v>
      </c>
      <c r="E78" s="103">
        <f t="shared" si="11"/>
        <v>0</v>
      </c>
      <c r="F78" s="103">
        <f t="shared" si="12"/>
        <v>0</v>
      </c>
      <c r="H78" s="33">
        <f t="shared" si="3"/>
        <v>0</v>
      </c>
    </row>
    <row r="79" spans="1:8" x14ac:dyDescent="0.35">
      <c r="A79" s="150"/>
      <c r="B79" s="150"/>
      <c r="C79" s="151"/>
      <c r="D79" s="152">
        <f t="shared" si="10"/>
        <v>0</v>
      </c>
      <c r="E79" s="152">
        <f t="shared" si="11"/>
        <v>0</v>
      </c>
      <c r="F79" s="152">
        <f t="shared" si="12"/>
        <v>0</v>
      </c>
      <c r="H79" s="153">
        <f t="shared" si="3"/>
        <v>0</v>
      </c>
    </row>
    <row r="80" spans="1:8" x14ac:dyDescent="0.35">
      <c r="A80" s="130"/>
      <c r="B80" s="130"/>
      <c r="C80" s="130"/>
      <c r="D80" s="154"/>
      <c r="E80" s="154"/>
      <c r="F80" s="154"/>
      <c r="G80" s="155"/>
      <c r="H80" s="154"/>
    </row>
    <row r="81" spans="1:8" x14ac:dyDescent="0.35">
      <c r="A81" s="130"/>
      <c r="B81" s="130"/>
      <c r="C81" s="130"/>
      <c r="D81" s="154"/>
      <c r="E81" s="154"/>
      <c r="F81" s="154"/>
      <c r="G81" s="155"/>
      <c r="H81" s="154"/>
    </row>
    <row r="82" spans="1:8" x14ac:dyDescent="0.35">
      <c r="A82" s="130"/>
      <c r="B82" s="130"/>
      <c r="C82" s="130"/>
      <c r="D82" s="154"/>
      <c r="E82" s="154"/>
      <c r="F82" s="154"/>
      <c r="G82" s="155"/>
      <c r="H82" s="154"/>
    </row>
    <row r="83" spans="1:8" x14ac:dyDescent="0.35">
      <c r="A83" s="130"/>
      <c r="B83" s="130"/>
      <c r="C83" s="130"/>
      <c r="D83" s="154"/>
      <c r="E83" s="154"/>
      <c r="F83" s="154"/>
      <c r="G83" s="155"/>
      <c r="H83" s="154"/>
    </row>
    <row r="84" spans="1:8" x14ac:dyDescent="0.35">
      <c r="A84" s="130"/>
      <c r="B84" s="130"/>
      <c r="C84" s="130"/>
      <c r="D84" s="154"/>
      <c r="E84" s="154"/>
      <c r="F84" s="154"/>
      <c r="G84" s="155"/>
      <c r="H84" s="154"/>
    </row>
    <row r="85" spans="1:8" x14ac:dyDescent="0.35">
      <c r="A85" s="130"/>
      <c r="B85" s="130"/>
      <c r="C85" s="130"/>
      <c r="D85" s="154"/>
      <c r="E85" s="154"/>
      <c r="F85" s="154"/>
      <c r="G85" s="155"/>
      <c r="H85" s="154"/>
    </row>
    <row r="86" spans="1:8" x14ac:dyDescent="0.35">
      <c r="A86" s="130"/>
      <c r="B86" s="130"/>
      <c r="C86" s="130"/>
      <c r="D86" s="154"/>
      <c r="E86" s="154"/>
      <c r="F86" s="154"/>
      <c r="G86" s="155"/>
      <c r="H86" s="154"/>
    </row>
    <row r="87" spans="1:8" x14ac:dyDescent="0.35">
      <c r="A87" s="130"/>
      <c r="B87" s="130"/>
      <c r="C87" s="130"/>
      <c r="D87" s="154"/>
      <c r="E87" s="154"/>
      <c r="F87" s="154"/>
      <c r="G87" s="155"/>
      <c r="H87" s="154"/>
    </row>
    <row r="88" spans="1:8" x14ac:dyDescent="0.35">
      <c r="A88" s="130"/>
      <c r="B88" s="130"/>
      <c r="C88" s="130"/>
      <c r="D88" s="154"/>
      <c r="E88" s="154"/>
      <c r="F88" s="154"/>
      <c r="G88" s="155"/>
      <c r="H88" s="154"/>
    </row>
    <row r="89" spans="1:8" x14ac:dyDescent="0.35">
      <c r="A89" s="130"/>
      <c r="B89" s="130"/>
      <c r="C89" s="130"/>
      <c r="D89" s="154"/>
      <c r="E89" s="154"/>
      <c r="F89" s="154"/>
      <c r="G89" s="155"/>
      <c r="H89" s="154"/>
    </row>
    <row r="90" spans="1:8" x14ac:dyDescent="0.35">
      <c r="A90" s="130"/>
      <c r="B90" s="130"/>
      <c r="C90" s="130"/>
      <c r="D90" s="154"/>
      <c r="E90" s="154"/>
      <c r="F90" s="154"/>
      <c r="G90" s="155"/>
      <c r="H90" s="154"/>
    </row>
    <row r="91" spans="1:8" x14ac:dyDescent="0.35">
      <c r="A91" s="130"/>
      <c r="B91" s="130"/>
      <c r="C91" s="130"/>
      <c r="D91" s="154"/>
      <c r="E91" s="154"/>
      <c r="F91" s="154"/>
      <c r="G91" s="155"/>
      <c r="H91" s="154"/>
    </row>
    <row r="92" spans="1:8" x14ac:dyDescent="0.35">
      <c r="A92" s="130"/>
      <c r="B92" s="130"/>
      <c r="C92" s="130"/>
      <c r="D92" s="154"/>
      <c r="E92" s="154"/>
      <c r="F92" s="154"/>
      <c r="G92" s="155"/>
      <c r="H92" s="154"/>
    </row>
    <row r="93" spans="1:8" x14ac:dyDescent="0.35">
      <c r="A93" s="130"/>
      <c r="B93" s="130"/>
      <c r="C93" s="130"/>
      <c r="D93" s="154"/>
      <c r="E93" s="154"/>
      <c r="F93" s="154"/>
      <c r="G93" s="155"/>
      <c r="H93" s="154"/>
    </row>
    <row r="94" spans="1:8" x14ac:dyDescent="0.35">
      <c r="A94" s="130"/>
      <c r="B94" s="130"/>
      <c r="C94" s="130"/>
      <c r="D94" s="154"/>
      <c r="E94" s="154"/>
      <c r="F94" s="154"/>
      <c r="G94" s="155"/>
      <c r="H94" s="154"/>
    </row>
    <row r="95" spans="1:8" x14ac:dyDescent="0.35">
      <c r="A95" s="130"/>
      <c r="B95" s="130"/>
      <c r="C95" s="130"/>
      <c r="D95" s="154"/>
      <c r="E95" s="154"/>
      <c r="F95" s="154"/>
      <c r="G95" s="155"/>
      <c r="H95" s="154"/>
    </row>
    <row r="96" spans="1:8" x14ac:dyDescent="0.35">
      <c r="A96" s="130"/>
      <c r="B96" s="130"/>
      <c r="C96" s="130"/>
      <c r="D96" s="154"/>
      <c r="E96" s="154"/>
      <c r="F96" s="154"/>
      <c r="G96" s="155"/>
      <c r="H96" s="154"/>
    </row>
    <row r="97" spans="1:8" x14ac:dyDescent="0.35">
      <c r="A97" s="130"/>
      <c r="B97" s="130"/>
      <c r="C97" s="130"/>
      <c r="D97" s="154"/>
      <c r="E97" s="154"/>
      <c r="F97" s="154"/>
      <c r="G97" s="155"/>
      <c r="H97" s="154"/>
    </row>
    <row r="98" spans="1:8" x14ac:dyDescent="0.35">
      <c r="A98" s="130"/>
      <c r="B98" s="130"/>
      <c r="C98" s="130"/>
      <c r="D98" s="154"/>
      <c r="E98" s="154"/>
      <c r="F98" s="154"/>
      <c r="G98" s="155"/>
      <c r="H98" s="154"/>
    </row>
    <row r="99" spans="1:8" x14ac:dyDescent="0.35">
      <c r="A99" s="130"/>
      <c r="B99" s="130"/>
      <c r="C99" s="130"/>
      <c r="D99" s="154"/>
      <c r="E99" s="154"/>
      <c r="F99" s="154"/>
      <c r="G99" s="155"/>
      <c r="H99" s="154"/>
    </row>
    <row r="100" spans="1:8" x14ac:dyDescent="0.35">
      <c r="A100" s="130"/>
      <c r="B100" s="130"/>
      <c r="C100" s="130"/>
      <c r="D100" s="154"/>
      <c r="E100" s="154"/>
      <c r="F100" s="154"/>
      <c r="G100" s="155"/>
      <c r="H100" s="154"/>
    </row>
    <row r="101" spans="1:8" x14ac:dyDescent="0.35">
      <c r="A101" s="130"/>
      <c r="B101" s="130"/>
      <c r="C101" s="130"/>
      <c r="D101" s="154"/>
      <c r="E101" s="154"/>
      <c r="F101" s="154"/>
      <c r="G101" s="155"/>
      <c r="H101" s="154"/>
    </row>
    <row r="102" spans="1:8" x14ac:dyDescent="0.35">
      <c r="A102" s="130"/>
      <c r="B102" s="130"/>
      <c r="C102" s="130"/>
      <c r="D102" s="154"/>
      <c r="E102" s="154"/>
      <c r="F102" s="154"/>
      <c r="G102" s="155"/>
      <c r="H102" s="154"/>
    </row>
    <row r="103" spans="1:8" x14ac:dyDescent="0.35">
      <c r="A103" s="130"/>
      <c r="B103" s="130"/>
      <c r="C103" s="130"/>
      <c r="D103" s="154"/>
      <c r="E103" s="154"/>
      <c r="F103" s="154"/>
      <c r="G103" s="155"/>
      <c r="H103" s="154"/>
    </row>
    <row r="104" spans="1:8" x14ac:dyDescent="0.35">
      <c r="A104" s="130"/>
      <c r="B104" s="130"/>
      <c r="C104" s="130"/>
      <c r="D104" s="154"/>
      <c r="E104" s="154"/>
      <c r="F104" s="154"/>
      <c r="G104" s="155"/>
      <c r="H104" s="154"/>
    </row>
    <row r="105" spans="1:8" x14ac:dyDescent="0.35">
      <c r="A105" s="130"/>
      <c r="B105" s="130"/>
      <c r="C105" s="130"/>
      <c r="D105" s="154"/>
      <c r="E105" s="154"/>
      <c r="F105" s="154"/>
      <c r="G105" s="155"/>
      <c r="H105" s="154"/>
    </row>
    <row r="106" spans="1:8" x14ac:dyDescent="0.35">
      <c r="A106" s="130"/>
      <c r="B106" s="130"/>
      <c r="C106" s="130"/>
      <c r="D106" s="154"/>
      <c r="E106" s="154"/>
      <c r="F106" s="154"/>
      <c r="G106" s="155"/>
      <c r="H106" s="154"/>
    </row>
    <row r="107" spans="1:8" x14ac:dyDescent="0.35">
      <c r="A107" s="130"/>
      <c r="B107" s="130"/>
      <c r="C107" s="130"/>
      <c r="D107" s="154"/>
      <c r="E107" s="154"/>
      <c r="F107" s="154"/>
      <c r="G107" s="155"/>
      <c r="H107" s="154"/>
    </row>
    <row r="108" spans="1:8" x14ac:dyDescent="0.35">
      <c r="A108" s="130"/>
      <c r="B108" s="130"/>
      <c r="C108" s="130"/>
      <c r="D108" s="154"/>
      <c r="E108" s="154"/>
      <c r="F108" s="154"/>
      <c r="G108" s="155"/>
      <c r="H108" s="154"/>
    </row>
    <row r="109" spans="1:8" x14ac:dyDescent="0.35">
      <c r="A109" s="130"/>
      <c r="B109" s="130"/>
      <c r="C109" s="130"/>
      <c r="D109" s="154"/>
      <c r="E109" s="154"/>
      <c r="F109" s="154"/>
      <c r="G109" s="155"/>
      <c r="H109" s="154"/>
    </row>
    <row r="110" spans="1:8" x14ac:dyDescent="0.35">
      <c r="A110" s="130"/>
      <c r="B110" s="130"/>
      <c r="C110" s="130"/>
      <c r="D110" s="154"/>
      <c r="E110" s="154"/>
      <c r="F110" s="154"/>
      <c r="G110" s="155"/>
      <c r="H110" s="154"/>
    </row>
    <row r="111" spans="1:8" x14ac:dyDescent="0.35">
      <c r="A111" s="130"/>
      <c r="B111" s="130"/>
      <c r="C111" s="130"/>
      <c r="D111" s="154"/>
      <c r="E111" s="154"/>
      <c r="F111" s="154"/>
      <c r="G111" s="155"/>
      <c r="H111" s="154"/>
    </row>
    <row r="112" spans="1:8" x14ac:dyDescent="0.35">
      <c r="A112" s="130"/>
      <c r="B112" s="130"/>
      <c r="C112" s="130"/>
      <c r="D112" s="154"/>
      <c r="E112" s="154"/>
      <c r="F112" s="154"/>
      <c r="G112" s="155"/>
      <c r="H112" s="154"/>
    </row>
    <row r="113" spans="1:8" x14ac:dyDescent="0.35">
      <c r="A113" s="130"/>
      <c r="B113" s="130"/>
      <c r="C113" s="130"/>
      <c r="D113" s="154"/>
      <c r="E113" s="154"/>
      <c r="F113" s="154"/>
      <c r="G113" s="155"/>
      <c r="H113" s="154"/>
    </row>
    <row r="114" spans="1:8" x14ac:dyDescent="0.35">
      <c r="A114" s="130"/>
      <c r="B114" s="130"/>
      <c r="C114" s="130"/>
      <c r="D114" s="154"/>
      <c r="E114" s="154"/>
      <c r="F114" s="154"/>
      <c r="G114" s="155"/>
      <c r="H114" s="154"/>
    </row>
    <row r="115" spans="1:8" x14ac:dyDescent="0.35">
      <c r="A115" s="130"/>
      <c r="B115" s="130"/>
      <c r="C115" s="130"/>
      <c r="D115" s="154"/>
      <c r="E115" s="154"/>
      <c r="F115" s="154"/>
      <c r="G115" s="155"/>
      <c r="H115" s="154"/>
    </row>
    <row r="116" spans="1:8" x14ac:dyDescent="0.35">
      <c r="A116" s="130"/>
      <c r="B116" s="130"/>
      <c r="C116" s="130"/>
      <c r="D116" s="154"/>
      <c r="E116" s="154"/>
      <c r="F116" s="154"/>
      <c r="G116" s="155"/>
      <c r="H116" s="154"/>
    </row>
    <row r="117" spans="1:8" x14ac:dyDescent="0.35">
      <c r="A117" s="130"/>
      <c r="B117" s="130"/>
      <c r="C117" s="130"/>
      <c r="D117" s="154"/>
      <c r="E117" s="154"/>
      <c r="F117" s="154"/>
      <c r="G117" s="155"/>
      <c r="H117" s="154"/>
    </row>
    <row r="118" spans="1:8" x14ac:dyDescent="0.35">
      <c r="A118" s="130"/>
      <c r="B118" s="130"/>
      <c r="C118" s="130"/>
      <c r="D118" s="154"/>
      <c r="E118" s="154"/>
      <c r="F118" s="154"/>
      <c r="G118" s="155"/>
      <c r="H118" s="154"/>
    </row>
    <row r="119" spans="1:8" x14ac:dyDescent="0.35">
      <c r="A119" s="130"/>
      <c r="B119" s="130"/>
      <c r="C119" s="130"/>
      <c r="D119" s="154"/>
      <c r="E119" s="154"/>
      <c r="F119" s="154"/>
      <c r="G119" s="155"/>
      <c r="H119" s="154"/>
    </row>
    <row r="120" spans="1:8" x14ac:dyDescent="0.35">
      <c r="A120" s="130"/>
      <c r="B120" s="130"/>
      <c r="C120" s="130"/>
      <c r="D120" s="154"/>
      <c r="E120" s="154"/>
      <c r="F120" s="154"/>
      <c r="G120" s="155"/>
      <c r="H120" s="154"/>
    </row>
    <row r="121" spans="1:8" x14ac:dyDescent="0.35">
      <c r="A121" s="130"/>
      <c r="B121" s="130"/>
      <c r="C121" s="130"/>
      <c r="D121" s="154"/>
      <c r="E121" s="154"/>
      <c r="F121" s="154"/>
      <c r="G121" s="155"/>
      <c r="H121" s="154"/>
    </row>
    <row r="122" spans="1:8" ht="15" thickBot="1" x14ac:dyDescent="0.4">
      <c r="D122" s="52">
        <f>SUM(D2:D120)</f>
        <v>0</v>
      </c>
      <c r="E122" s="52">
        <f t="shared" ref="E122:F122" si="13">SUM(E2:E120)</f>
        <v>0</v>
      </c>
      <c r="F122" s="52">
        <f t="shared" si="13"/>
        <v>0</v>
      </c>
      <c r="H122" s="52">
        <f>SUM(H2:H121)</f>
        <v>0</v>
      </c>
    </row>
    <row r="123" spans="1:8" ht="15" thickTop="1" x14ac:dyDescent="0.35"/>
  </sheetData>
  <dataValidations count="1">
    <dataValidation type="list" allowBlank="1" showInputMessage="1" showErrorMessage="1" sqref="B2:B121" xr:uid="{60CC1CEF-B76A-4350-A520-48906F3A2A66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EDC6-B566-42CD-A9C1-7BCCFB3519BA}">
  <dimension ref="A1:K93"/>
  <sheetViews>
    <sheetView workbookViewId="0">
      <selection activeCell="K20" sqref="K20"/>
    </sheetView>
  </sheetViews>
  <sheetFormatPr defaultRowHeight="14.5" x14ac:dyDescent="0.35"/>
  <cols>
    <col min="2" max="2" width="12.54296875" customWidth="1"/>
    <col min="3" max="3" width="11.26953125" customWidth="1"/>
    <col min="5" max="5" width="8.81640625" customWidth="1"/>
    <col min="6" max="10" width="9.1796875" customWidth="1"/>
    <col min="11" max="11" width="11" customWidth="1"/>
  </cols>
  <sheetData>
    <row r="1" spans="1:11" x14ac:dyDescent="0.35">
      <c r="A1" s="30" t="s">
        <v>177</v>
      </c>
      <c r="B1" s="101" t="s">
        <v>178</v>
      </c>
      <c r="C1" s="101" t="s">
        <v>180</v>
      </c>
      <c r="D1" s="30" t="s">
        <v>179</v>
      </c>
      <c r="F1" t="s">
        <v>181</v>
      </c>
      <c r="G1" t="s">
        <v>58</v>
      </c>
      <c r="H1" t="s">
        <v>182</v>
      </c>
      <c r="I1" t="s">
        <v>183</v>
      </c>
      <c r="K1" t="s">
        <v>53</v>
      </c>
    </row>
    <row r="2" spans="1:11" x14ac:dyDescent="0.35">
      <c r="A2" s="32"/>
      <c r="B2" s="32"/>
      <c r="C2" s="32"/>
      <c r="D2" s="32"/>
      <c r="F2" s="33">
        <f>IF(D2&gt;10,10,D2)</f>
        <v>0</v>
      </c>
      <c r="G2" s="33">
        <f>IF(D2&gt;20,10,MAX(0,D2-10))</f>
        <v>0</v>
      </c>
      <c r="H2" s="33">
        <f>IF(D2&gt;30,10,MAX(0,D2-20))</f>
        <v>0</v>
      </c>
      <c r="I2" s="33">
        <f>IF(D2&gt;40,10,MAX(0,D2-30))</f>
        <v>0</v>
      </c>
      <c r="K2" s="33">
        <f>IF(D2&gt;0,1,0)</f>
        <v>0</v>
      </c>
    </row>
    <row r="3" spans="1:11" x14ac:dyDescent="0.35">
      <c r="A3" s="32"/>
      <c r="B3" s="32"/>
      <c r="C3" s="32"/>
      <c r="D3" s="32"/>
      <c r="F3" s="33">
        <f t="shared" ref="F3:F47" si="0">IF(D3&gt;10,10,D3)</f>
        <v>0</v>
      </c>
      <c r="G3" s="33">
        <f t="shared" ref="G3:G47" si="1">IF(D3&gt;20,10,MAX(0,D3-10))</f>
        <v>0</v>
      </c>
      <c r="H3" s="33">
        <f t="shared" ref="H3:H47" si="2">IF(D3&gt;30,10,MAX(0,D3-20))</f>
        <v>0</v>
      </c>
      <c r="I3" s="33">
        <f t="shared" ref="I3:I47" si="3">IF(D3&gt;40,10,MAX(0,D3-30))</f>
        <v>0</v>
      </c>
      <c r="K3" s="33">
        <f t="shared" ref="K3:K47" si="4">IF(D3&gt;0,1,0)</f>
        <v>0</v>
      </c>
    </row>
    <row r="4" spans="1:11" x14ac:dyDescent="0.35">
      <c r="A4" s="32"/>
      <c r="B4" s="32"/>
      <c r="C4" s="32"/>
      <c r="D4" s="32"/>
      <c r="F4" s="33">
        <f t="shared" si="0"/>
        <v>0</v>
      </c>
      <c r="G4" s="33">
        <f t="shared" si="1"/>
        <v>0</v>
      </c>
      <c r="H4" s="33">
        <f t="shared" si="2"/>
        <v>0</v>
      </c>
      <c r="I4" s="33">
        <f t="shared" si="3"/>
        <v>0</v>
      </c>
      <c r="K4" s="33">
        <f t="shared" si="4"/>
        <v>0</v>
      </c>
    </row>
    <row r="5" spans="1:11" x14ac:dyDescent="0.35">
      <c r="A5" s="32"/>
      <c r="B5" s="32"/>
      <c r="C5" s="32"/>
      <c r="D5" s="32"/>
      <c r="F5" s="33">
        <f t="shared" si="0"/>
        <v>0</v>
      </c>
      <c r="G5" s="33">
        <f t="shared" si="1"/>
        <v>0</v>
      </c>
      <c r="H5" s="33">
        <f t="shared" si="2"/>
        <v>0</v>
      </c>
      <c r="I5" s="33">
        <f t="shared" si="3"/>
        <v>0</v>
      </c>
      <c r="K5" s="33">
        <f t="shared" si="4"/>
        <v>0</v>
      </c>
    </row>
    <row r="6" spans="1:11" x14ac:dyDescent="0.35">
      <c r="A6" s="32"/>
      <c r="B6" s="32"/>
      <c r="C6" s="32"/>
      <c r="D6" s="32"/>
      <c r="F6" s="33">
        <f t="shared" si="0"/>
        <v>0</v>
      </c>
      <c r="G6" s="33">
        <f t="shared" si="1"/>
        <v>0</v>
      </c>
      <c r="H6" s="33">
        <f t="shared" si="2"/>
        <v>0</v>
      </c>
      <c r="I6" s="33">
        <f t="shared" si="3"/>
        <v>0</v>
      </c>
      <c r="K6" s="33">
        <f t="shared" si="4"/>
        <v>0</v>
      </c>
    </row>
    <row r="7" spans="1:11" x14ac:dyDescent="0.35">
      <c r="A7" s="32"/>
      <c r="B7" s="32"/>
      <c r="C7" s="32"/>
      <c r="D7" s="32"/>
      <c r="F7" s="33">
        <f t="shared" si="0"/>
        <v>0</v>
      </c>
      <c r="G7" s="33">
        <f t="shared" si="1"/>
        <v>0</v>
      </c>
      <c r="H7" s="33">
        <f t="shared" si="2"/>
        <v>0</v>
      </c>
      <c r="I7" s="33">
        <f t="shared" si="3"/>
        <v>0</v>
      </c>
      <c r="K7" s="33">
        <f t="shared" si="4"/>
        <v>0</v>
      </c>
    </row>
    <row r="8" spans="1:11" x14ac:dyDescent="0.35">
      <c r="A8" s="32"/>
      <c r="B8" s="32"/>
      <c r="C8" s="32"/>
      <c r="D8" s="32"/>
      <c r="F8" s="33">
        <f t="shared" si="0"/>
        <v>0</v>
      </c>
      <c r="G8" s="33">
        <f t="shared" si="1"/>
        <v>0</v>
      </c>
      <c r="H8" s="33">
        <f t="shared" si="2"/>
        <v>0</v>
      </c>
      <c r="I8" s="33">
        <f t="shared" si="3"/>
        <v>0</v>
      </c>
      <c r="K8" s="33">
        <f t="shared" si="4"/>
        <v>0</v>
      </c>
    </row>
    <row r="9" spans="1:11" x14ac:dyDescent="0.35">
      <c r="A9" s="32"/>
      <c r="B9" s="32"/>
      <c r="C9" s="32"/>
      <c r="D9" s="32"/>
      <c r="F9" s="33">
        <f t="shared" si="0"/>
        <v>0</v>
      </c>
      <c r="G9" s="33">
        <f t="shared" si="1"/>
        <v>0</v>
      </c>
      <c r="H9" s="33">
        <f t="shared" si="2"/>
        <v>0</v>
      </c>
      <c r="I9" s="33">
        <f t="shared" si="3"/>
        <v>0</v>
      </c>
      <c r="K9" s="33">
        <f t="shared" si="4"/>
        <v>0</v>
      </c>
    </row>
    <row r="10" spans="1:11" x14ac:dyDescent="0.35">
      <c r="A10" s="32"/>
      <c r="B10" s="32"/>
      <c r="C10" s="32"/>
      <c r="D10" s="32"/>
      <c r="F10" s="33">
        <f t="shared" si="0"/>
        <v>0</v>
      </c>
      <c r="G10" s="33">
        <f t="shared" si="1"/>
        <v>0</v>
      </c>
      <c r="H10" s="33">
        <f t="shared" si="2"/>
        <v>0</v>
      </c>
      <c r="I10" s="33">
        <f t="shared" si="3"/>
        <v>0</v>
      </c>
      <c r="K10" s="33">
        <f t="shared" si="4"/>
        <v>0</v>
      </c>
    </row>
    <row r="11" spans="1:11" x14ac:dyDescent="0.35">
      <c r="A11" s="32"/>
      <c r="B11" s="32"/>
      <c r="C11" s="32"/>
      <c r="D11" s="32"/>
      <c r="F11" s="33">
        <f t="shared" si="0"/>
        <v>0</v>
      </c>
      <c r="G11" s="33">
        <f t="shared" si="1"/>
        <v>0</v>
      </c>
      <c r="H11" s="33">
        <f t="shared" si="2"/>
        <v>0</v>
      </c>
      <c r="I11" s="33">
        <f t="shared" si="3"/>
        <v>0</v>
      </c>
      <c r="K11" s="33">
        <f t="shared" si="4"/>
        <v>0</v>
      </c>
    </row>
    <row r="12" spans="1:11" x14ac:dyDescent="0.35">
      <c r="A12" s="32"/>
      <c r="B12" s="32"/>
      <c r="C12" s="32"/>
      <c r="D12" s="32"/>
      <c r="F12" s="33">
        <f t="shared" si="0"/>
        <v>0</v>
      </c>
      <c r="G12" s="33">
        <f t="shared" si="1"/>
        <v>0</v>
      </c>
      <c r="H12" s="33">
        <f t="shared" si="2"/>
        <v>0</v>
      </c>
      <c r="I12" s="33">
        <f t="shared" si="3"/>
        <v>0</v>
      </c>
      <c r="K12" s="33">
        <f t="shared" si="4"/>
        <v>0</v>
      </c>
    </row>
    <row r="13" spans="1:11" x14ac:dyDescent="0.35">
      <c r="A13" s="32"/>
      <c r="B13" s="32"/>
      <c r="C13" s="32"/>
      <c r="D13" s="32"/>
      <c r="F13" s="33">
        <f t="shared" si="0"/>
        <v>0</v>
      </c>
      <c r="G13" s="33">
        <f t="shared" si="1"/>
        <v>0</v>
      </c>
      <c r="H13" s="33">
        <f t="shared" si="2"/>
        <v>0</v>
      </c>
      <c r="I13" s="33">
        <f t="shared" si="3"/>
        <v>0</v>
      </c>
      <c r="K13" s="33">
        <f t="shared" si="4"/>
        <v>0</v>
      </c>
    </row>
    <row r="14" spans="1:11" x14ac:dyDescent="0.35">
      <c r="A14" s="32"/>
      <c r="B14" s="32"/>
      <c r="C14" s="32"/>
      <c r="D14" s="32"/>
      <c r="F14" s="33">
        <f t="shared" si="0"/>
        <v>0</v>
      </c>
      <c r="G14" s="33">
        <f t="shared" si="1"/>
        <v>0</v>
      </c>
      <c r="H14" s="33">
        <f t="shared" si="2"/>
        <v>0</v>
      </c>
      <c r="I14" s="33">
        <f t="shared" si="3"/>
        <v>0</v>
      </c>
      <c r="K14" s="33">
        <f t="shared" si="4"/>
        <v>0</v>
      </c>
    </row>
    <row r="15" spans="1:11" x14ac:dyDescent="0.35">
      <c r="A15" s="32"/>
      <c r="B15" s="32"/>
      <c r="C15" s="32"/>
      <c r="D15" s="32"/>
      <c r="F15" s="33">
        <f t="shared" si="0"/>
        <v>0</v>
      </c>
      <c r="G15" s="33">
        <f t="shared" si="1"/>
        <v>0</v>
      </c>
      <c r="H15" s="33">
        <f t="shared" si="2"/>
        <v>0</v>
      </c>
      <c r="I15" s="33">
        <f t="shared" si="3"/>
        <v>0</v>
      </c>
      <c r="K15" s="33">
        <f t="shared" si="4"/>
        <v>0</v>
      </c>
    </row>
    <row r="16" spans="1:11" x14ac:dyDescent="0.35">
      <c r="A16" s="32"/>
      <c r="B16" s="32"/>
      <c r="C16" s="32"/>
      <c r="D16" s="32"/>
      <c r="F16" s="33">
        <f t="shared" si="0"/>
        <v>0</v>
      </c>
      <c r="G16" s="33">
        <f t="shared" si="1"/>
        <v>0</v>
      </c>
      <c r="H16" s="33">
        <f t="shared" si="2"/>
        <v>0</v>
      </c>
      <c r="I16" s="33">
        <f t="shared" si="3"/>
        <v>0</v>
      </c>
      <c r="K16" s="33">
        <f t="shared" si="4"/>
        <v>0</v>
      </c>
    </row>
    <row r="17" spans="1:11" x14ac:dyDescent="0.35">
      <c r="A17" s="32"/>
      <c r="B17" s="32"/>
      <c r="C17" s="32"/>
      <c r="D17" s="32"/>
      <c r="F17" s="33">
        <f t="shared" si="0"/>
        <v>0</v>
      </c>
      <c r="G17" s="33">
        <f t="shared" si="1"/>
        <v>0</v>
      </c>
      <c r="H17" s="33">
        <f t="shared" si="2"/>
        <v>0</v>
      </c>
      <c r="I17" s="33">
        <f t="shared" si="3"/>
        <v>0</v>
      </c>
      <c r="K17" s="33">
        <f t="shared" si="4"/>
        <v>0</v>
      </c>
    </row>
    <row r="18" spans="1:11" x14ac:dyDescent="0.35">
      <c r="A18" s="32"/>
      <c r="B18" s="32"/>
      <c r="C18" s="32"/>
      <c r="D18" s="32"/>
      <c r="F18" s="33">
        <f t="shared" si="0"/>
        <v>0</v>
      </c>
      <c r="G18" s="33">
        <f t="shared" si="1"/>
        <v>0</v>
      </c>
      <c r="H18" s="33">
        <f t="shared" si="2"/>
        <v>0</v>
      </c>
      <c r="I18" s="33">
        <f t="shared" si="3"/>
        <v>0</v>
      </c>
      <c r="K18" s="33">
        <f t="shared" si="4"/>
        <v>0</v>
      </c>
    </row>
    <row r="19" spans="1:11" x14ac:dyDescent="0.35">
      <c r="A19" s="32"/>
      <c r="B19" s="32"/>
      <c r="C19" s="32"/>
      <c r="D19" s="32"/>
      <c r="F19" s="33">
        <f t="shared" si="0"/>
        <v>0</v>
      </c>
      <c r="G19" s="33">
        <f t="shared" si="1"/>
        <v>0</v>
      </c>
      <c r="H19" s="33">
        <f t="shared" si="2"/>
        <v>0</v>
      </c>
      <c r="I19" s="33">
        <f t="shared" si="3"/>
        <v>0</v>
      </c>
      <c r="K19" s="33">
        <f t="shared" si="4"/>
        <v>0</v>
      </c>
    </row>
    <row r="20" spans="1:11" x14ac:dyDescent="0.35">
      <c r="A20" s="32"/>
      <c r="B20" s="32"/>
      <c r="C20" s="32"/>
      <c r="D20" s="32"/>
      <c r="F20" s="33">
        <f t="shared" si="0"/>
        <v>0</v>
      </c>
      <c r="G20" s="33">
        <f t="shared" si="1"/>
        <v>0</v>
      </c>
      <c r="H20" s="33">
        <f t="shared" si="2"/>
        <v>0</v>
      </c>
      <c r="I20" s="33">
        <f t="shared" si="3"/>
        <v>0</v>
      </c>
      <c r="K20" s="33">
        <f t="shared" si="4"/>
        <v>0</v>
      </c>
    </row>
    <row r="21" spans="1:11" x14ac:dyDescent="0.35">
      <c r="A21" s="32"/>
      <c r="B21" s="32"/>
      <c r="C21" s="32"/>
      <c r="D21" s="32"/>
      <c r="F21" s="33">
        <f t="shared" si="0"/>
        <v>0</v>
      </c>
      <c r="G21" s="33">
        <f t="shared" si="1"/>
        <v>0</v>
      </c>
      <c r="H21" s="33">
        <f t="shared" si="2"/>
        <v>0</v>
      </c>
      <c r="I21" s="33">
        <f t="shared" si="3"/>
        <v>0</v>
      </c>
      <c r="K21" s="33">
        <f t="shared" si="4"/>
        <v>0</v>
      </c>
    </row>
    <row r="22" spans="1:11" x14ac:dyDescent="0.35">
      <c r="A22" s="32"/>
      <c r="B22" s="32"/>
      <c r="C22" s="32"/>
      <c r="D22" s="32"/>
      <c r="F22" s="33">
        <f t="shared" ref="F22:F37" si="5">IF(D22&gt;10,10,D22)</f>
        <v>0</v>
      </c>
      <c r="G22" s="33">
        <f t="shared" ref="G22:G37" si="6">IF(D22&gt;20,10,MAX(0,D22-10))</f>
        <v>0</v>
      </c>
      <c r="H22" s="33">
        <f t="shared" ref="H22:H37" si="7">IF(D22&gt;30,10,MAX(0,D22-20))</f>
        <v>0</v>
      </c>
      <c r="I22" s="33">
        <f t="shared" ref="I22:I37" si="8">IF(D22&gt;40,10,MAX(0,D22-30))</f>
        <v>0</v>
      </c>
      <c r="K22" s="33">
        <f t="shared" ref="K22:K37" si="9">IF(D22&gt;0,1,0)</f>
        <v>0</v>
      </c>
    </row>
    <row r="23" spans="1:11" x14ac:dyDescent="0.35">
      <c r="A23" s="32"/>
      <c r="B23" s="32"/>
      <c r="C23" s="32"/>
      <c r="D23" s="32"/>
      <c r="F23" s="33">
        <f t="shared" si="5"/>
        <v>0</v>
      </c>
      <c r="G23" s="33">
        <f t="shared" si="6"/>
        <v>0</v>
      </c>
      <c r="H23" s="33">
        <f t="shared" si="7"/>
        <v>0</v>
      </c>
      <c r="I23" s="33">
        <f t="shared" si="8"/>
        <v>0</v>
      </c>
      <c r="K23" s="33">
        <f t="shared" si="9"/>
        <v>0</v>
      </c>
    </row>
    <row r="24" spans="1:11" x14ac:dyDescent="0.35">
      <c r="A24" s="32"/>
      <c r="B24" s="32"/>
      <c r="C24" s="32"/>
      <c r="D24" s="32"/>
      <c r="F24" s="33">
        <f t="shared" si="5"/>
        <v>0</v>
      </c>
      <c r="G24" s="33">
        <f t="shared" si="6"/>
        <v>0</v>
      </c>
      <c r="H24" s="33">
        <f t="shared" si="7"/>
        <v>0</v>
      </c>
      <c r="I24" s="33">
        <f t="shared" si="8"/>
        <v>0</v>
      </c>
      <c r="K24" s="33">
        <f t="shared" si="9"/>
        <v>0</v>
      </c>
    </row>
    <row r="25" spans="1:11" x14ac:dyDescent="0.35">
      <c r="A25" s="32"/>
      <c r="B25" s="32"/>
      <c r="C25" s="32"/>
      <c r="D25" s="32"/>
      <c r="F25" s="33">
        <f t="shared" si="5"/>
        <v>0</v>
      </c>
      <c r="G25" s="33">
        <f t="shared" si="6"/>
        <v>0</v>
      </c>
      <c r="H25" s="33">
        <f t="shared" si="7"/>
        <v>0</v>
      </c>
      <c r="I25" s="33">
        <f t="shared" si="8"/>
        <v>0</v>
      </c>
      <c r="K25" s="33">
        <f t="shared" si="9"/>
        <v>0</v>
      </c>
    </row>
    <row r="26" spans="1:11" x14ac:dyDescent="0.35">
      <c r="A26" s="32"/>
      <c r="B26" s="32"/>
      <c r="C26" s="32"/>
      <c r="D26" s="32"/>
      <c r="F26" s="33">
        <f t="shared" si="5"/>
        <v>0</v>
      </c>
      <c r="G26" s="33">
        <f t="shared" si="6"/>
        <v>0</v>
      </c>
      <c r="H26" s="33">
        <f t="shared" si="7"/>
        <v>0</v>
      </c>
      <c r="I26" s="33">
        <f t="shared" si="8"/>
        <v>0</v>
      </c>
      <c r="K26" s="33">
        <f t="shared" si="9"/>
        <v>0</v>
      </c>
    </row>
    <row r="27" spans="1:11" x14ac:dyDescent="0.35">
      <c r="A27" s="32"/>
      <c r="B27" s="32"/>
      <c r="C27" s="32"/>
      <c r="D27" s="32"/>
      <c r="F27" s="33">
        <f t="shared" si="5"/>
        <v>0</v>
      </c>
      <c r="G27" s="33">
        <f t="shared" si="6"/>
        <v>0</v>
      </c>
      <c r="H27" s="33">
        <f t="shared" si="7"/>
        <v>0</v>
      </c>
      <c r="I27" s="33">
        <f t="shared" si="8"/>
        <v>0</v>
      </c>
      <c r="K27" s="33">
        <f t="shared" si="9"/>
        <v>0</v>
      </c>
    </row>
    <row r="28" spans="1:11" x14ac:dyDescent="0.35">
      <c r="A28" s="32"/>
      <c r="B28" s="32"/>
      <c r="C28" s="32"/>
      <c r="D28" s="32"/>
      <c r="F28" s="33">
        <f t="shared" si="5"/>
        <v>0</v>
      </c>
      <c r="G28" s="33">
        <f t="shared" si="6"/>
        <v>0</v>
      </c>
      <c r="H28" s="33">
        <f t="shared" si="7"/>
        <v>0</v>
      </c>
      <c r="I28" s="33">
        <f t="shared" si="8"/>
        <v>0</v>
      </c>
      <c r="K28" s="33">
        <f t="shared" si="9"/>
        <v>0</v>
      </c>
    </row>
    <row r="29" spans="1:11" x14ac:dyDescent="0.35">
      <c r="A29" s="32"/>
      <c r="B29" s="32"/>
      <c r="C29" s="32"/>
      <c r="D29" s="32"/>
      <c r="F29" s="33">
        <f t="shared" si="5"/>
        <v>0</v>
      </c>
      <c r="G29" s="33">
        <f t="shared" si="6"/>
        <v>0</v>
      </c>
      <c r="H29" s="33">
        <f t="shared" si="7"/>
        <v>0</v>
      </c>
      <c r="I29" s="33">
        <f t="shared" si="8"/>
        <v>0</v>
      </c>
      <c r="K29" s="33">
        <f t="shared" si="9"/>
        <v>0</v>
      </c>
    </row>
    <row r="30" spans="1:11" x14ac:dyDescent="0.35">
      <c r="A30" s="32"/>
      <c r="B30" s="32"/>
      <c r="C30" s="32"/>
      <c r="D30" s="32"/>
      <c r="F30" s="33">
        <f t="shared" si="5"/>
        <v>0</v>
      </c>
      <c r="G30" s="33">
        <f t="shared" si="6"/>
        <v>0</v>
      </c>
      <c r="H30" s="33">
        <f t="shared" si="7"/>
        <v>0</v>
      </c>
      <c r="I30" s="33">
        <f t="shared" si="8"/>
        <v>0</v>
      </c>
      <c r="K30" s="33">
        <f t="shared" si="9"/>
        <v>0</v>
      </c>
    </row>
    <row r="31" spans="1:11" x14ac:dyDescent="0.35">
      <c r="A31" s="32"/>
      <c r="B31" s="32"/>
      <c r="C31" s="32"/>
      <c r="D31" s="32"/>
      <c r="F31" s="33">
        <f t="shared" si="5"/>
        <v>0</v>
      </c>
      <c r="G31" s="33">
        <f t="shared" si="6"/>
        <v>0</v>
      </c>
      <c r="H31" s="33">
        <f t="shared" si="7"/>
        <v>0</v>
      </c>
      <c r="I31" s="33">
        <f t="shared" si="8"/>
        <v>0</v>
      </c>
      <c r="K31" s="33">
        <f t="shared" si="9"/>
        <v>0</v>
      </c>
    </row>
    <row r="32" spans="1:11" x14ac:dyDescent="0.35">
      <c r="A32" s="32"/>
      <c r="B32" s="32"/>
      <c r="C32" s="32"/>
      <c r="D32" s="32"/>
      <c r="F32" s="33">
        <f t="shared" si="5"/>
        <v>0</v>
      </c>
      <c r="G32" s="33">
        <f t="shared" si="6"/>
        <v>0</v>
      </c>
      <c r="H32" s="33">
        <f t="shared" si="7"/>
        <v>0</v>
      </c>
      <c r="I32" s="33">
        <f t="shared" si="8"/>
        <v>0</v>
      </c>
      <c r="K32" s="33">
        <f t="shared" si="9"/>
        <v>0</v>
      </c>
    </row>
    <row r="33" spans="1:11" x14ac:dyDescent="0.35">
      <c r="A33" s="32"/>
      <c r="B33" s="32"/>
      <c r="C33" s="32"/>
      <c r="D33" s="32"/>
      <c r="F33" s="33">
        <f t="shared" si="5"/>
        <v>0</v>
      </c>
      <c r="G33" s="33">
        <f t="shared" si="6"/>
        <v>0</v>
      </c>
      <c r="H33" s="33">
        <f t="shared" si="7"/>
        <v>0</v>
      </c>
      <c r="I33" s="33">
        <f t="shared" si="8"/>
        <v>0</v>
      </c>
      <c r="K33" s="33">
        <f t="shared" si="9"/>
        <v>0</v>
      </c>
    </row>
    <row r="34" spans="1:11" x14ac:dyDescent="0.35">
      <c r="A34" s="32"/>
      <c r="B34" s="32"/>
      <c r="C34" s="32"/>
      <c r="D34" s="32"/>
      <c r="F34" s="33">
        <f t="shared" si="5"/>
        <v>0</v>
      </c>
      <c r="G34" s="33">
        <f t="shared" si="6"/>
        <v>0</v>
      </c>
      <c r="H34" s="33">
        <f t="shared" si="7"/>
        <v>0</v>
      </c>
      <c r="I34" s="33">
        <f t="shared" si="8"/>
        <v>0</v>
      </c>
      <c r="K34" s="33">
        <f t="shared" si="9"/>
        <v>0</v>
      </c>
    </row>
    <row r="35" spans="1:11" x14ac:dyDescent="0.35">
      <c r="A35" s="32"/>
      <c r="B35" s="32"/>
      <c r="C35" s="32"/>
      <c r="D35" s="32"/>
      <c r="F35" s="33">
        <f t="shared" si="5"/>
        <v>0</v>
      </c>
      <c r="G35" s="33">
        <f t="shared" si="6"/>
        <v>0</v>
      </c>
      <c r="H35" s="33">
        <f t="shared" si="7"/>
        <v>0</v>
      </c>
      <c r="I35" s="33">
        <f t="shared" si="8"/>
        <v>0</v>
      </c>
      <c r="K35" s="33">
        <f t="shared" si="9"/>
        <v>0</v>
      </c>
    </row>
    <row r="36" spans="1:11" x14ac:dyDescent="0.35">
      <c r="A36" s="32"/>
      <c r="B36" s="32"/>
      <c r="C36" s="32"/>
      <c r="D36" s="32"/>
      <c r="F36" s="33">
        <f t="shared" si="5"/>
        <v>0</v>
      </c>
      <c r="G36" s="33">
        <f t="shared" si="6"/>
        <v>0</v>
      </c>
      <c r="H36" s="33">
        <f t="shared" si="7"/>
        <v>0</v>
      </c>
      <c r="I36" s="33">
        <f t="shared" si="8"/>
        <v>0</v>
      </c>
      <c r="K36" s="33">
        <f t="shared" si="9"/>
        <v>0</v>
      </c>
    </row>
    <row r="37" spans="1:11" x14ac:dyDescent="0.35">
      <c r="A37" s="32"/>
      <c r="B37" s="32"/>
      <c r="C37" s="32"/>
      <c r="D37" s="32"/>
      <c r="F37" s="33">
        <f t="shared" si="5"/>
        <v>0</v>
      </c>
      <c r="G37" s="33">
        <f t="shared" si="6"/>
        <v>0</v>
      </c>
      <c r="H37" s="33">
        <f t="shared" si="7"/>
        <v>0</v>
      </c>
      <c r="I37" s="33">
        <f t="shared" si="8"/>
        <v>0</v>
      </c>
      <c r="K37" s="33">
        <f t="shared" si="9"/>
        <v>0</v>
      </c>
    </row>
    <row r="38" spans="1:11" x14ac:dyDescent="0.35">
      <c r="A38" s="32"/>
      <c r="B38" s="32"/>
      <c r="C38" s="32"/>
      <c r="D38" s="32"/>
      <c r="F38" s="33">
        <f t="shared" si="0"/>
        <v>0</v>
      </c>
      <c r="G38" s="33">
        <f t="shared" si="1"/>
        <v>0</v>
      </c>
      <c r="H38" s="33">
        <f t="shared" si="2"/>
        <v>0</v>
      </c>
      <c r="I38" s="33">
        <f t="shared" si="3"/>
        <v>0</v>
      </c>
      <c r="K38" s="33">
        <f t="shared" si="4"/>
        <v>0</v>
      </c>
    </row>
    <row r="39" spans="1:11" x14ac:dyDescent="0.35">
      <c r="A39" s="32"/>
      <c r="B39" s="32"/>
      <c r="C39" s="32"/>
      <c r="D39" s="32"/>
      <c r="F39" s="33">
        <f t="shared" si="0"/>
        <v>0</v>
      </c>
      <c r="G39" s="33">
        <f t="shared" si="1"/>
        <v>0</v>
      </c>
      <c r="H39" s="33">
        <f t="shared" si="2"/>
        <v>0</v>
      </c>
      <c r="I39" s="33">
        <f t="shared" si="3"/>
        <v>0</v>
      </c>
      <c r="K39" s="33">
        <f t="shared" si="4"/>
        <v>0</v>
      </c>
    </row>
    <row r="40" spans="1:11" x14ac:dyDescent="0.35">
      <c r="A40" s="32"/>
      <c r="B40" s="32"/>
      <c r="C40" s="32"/>
      <c r="D40" s="32"/>
      <c r="F40" s="33">
        <f t="shared" si="0"/>
        <v>0</v>
      </c>
      <c r="G40" s="33">
        <f t="shared" si="1"/>
        <v>0</v>
      </c>
      <c r="H40" s="33">
        <f t="shared" si="2"/>
        <v>0</v>
      </c>
      <c r="I40" s="33">
        <f t="shared" si="3"/>
        <v>0</v>
      </c>
      <c r="K40" s="33">
        <f t="shared" si="4"/>
        <v>0</v>
      </c>
    </row>
    <row r="41" spans="1:11" x14ac:dyDescent="0.35">
      <c r="A41" s="32"/>
      <c r="B41" s="32"/>
      <c r="C41" s="32"/>
      <c r="D41" s="32"/>
      <c r="F41" s="33">
        <f t="shared" si="0"/>
        <v>0</v>
      </c>
      <c r="G41" s="33">
        <f t="shared" si="1"/>
        <v>0</v>
      </c>
      <c r="H41" s="33">
        <f t="shared" si="2"/>
        <v>0</v>
      </c>
      <c r="I41" s="33">
        <f t="shared" si="3"/>
        <v>0</v>
      </c>
      <c r="K41" s="33">
        <f t="shared" si="4"/>
        <v>0</v>
      </c>
    </row>
    <row r="42" spans="1:11" x14ac:dyDescent="0.35">
      <c r="A42" s="32"/>
      <c r="B42" s="32"/>
      <c r="C42" s="32"/>
      <c r="D42" s="32"/>
      <c r="F42" s="33">
        <f t="shared" si="0"/>
        <v>0</v>
      </c>
      <c r="G42" s="33">
        <f t="shared" si="1"/>
        <v>0</v>
      </c>
      <c r="H42" s="33">
        <f t="shared" si="2"/>
        <v>0</v>
      </c>
      <c r="I42" s="33">
        <f t="shared" si="3"/>
        <v>0</v>
      </c>
      <c r="K42" s="33">
        <f t="shared" si="4"/>
        <v>0</v>
      </c>
    </row>
    <row r="43" spans="1:11" x14ac:dyDescent="0.35">
      <c r="A43" s="32"/>
      <c r="B43" s="32"/>
      <c r="C43" s="32"/>
      <c r="D43" s="32"/>
      <c r="F43" s="33">
        <f t="shared" si="0"/>
        <v>0</v>
      </c>
      <c r="G43" s="33">
        <f t="shared" si="1"/>
        <v>0</v>
      </c>
      <c r="H43" s="33">
        <f t="shared" si="2"/>
        <v>0</v>
      </c>
      <c r="I43" s="33">
        <f t="shared" si="3"/>
        <v>0</v>
      </c>
      <c r="K43" s="33">
        <f t="shared" si="4"/>
        <v>0</v>
      </c>
    </row>
    <row r="44" spans="1:11" x14ac:dyDescent="0.35">
      <c r="A44" s="32"/>
      <c r="B44" s="32"/>
      <c r="C44" s="32"/>
      <c r="D44" s="32"/>
      <c r="F44" s="33">
        <f t="shared" si="0"/>
        <v>0</v>
      </c>
      <c r="G44" s="33">
        <f t="shared" si="1"/>
        <v>0</v>
      </c>
      <c r="H44" s="33">
        <f t="shared" si="2"/>
        <v>0</v>
      </c>
      <c r="I44" s="33">
        <f t="shared" si="3"/>
        <v>0</v>
      </c>
      <c r="K44" s="33">
        <f t="shared" si="4"/>
        <v>0</v>
      </c>
    </row>
    <row r="45" spans="1:11" x14ac:dyDescent="0.35">
      <c r="A45" s="32"/>
      <c r="B45" s="32"/>
      <c r="C45" s="32"/>
      <c r="D45" s="32"/>
      <c r="F45" s="33">
        <f t="shared" si="0"/>
        <v>0</v>
      </c>
      <c r="G45" s="33">
        <f t="shared" si="1"/>
        <v>0</v>
      </c>
      <c r="H45" s="33">
        <f t="shared" si="2"/>
        <v>0</v>
      </c>
      <c r="I45" s="33">
        <f t="shared" si="3"/>
        <v>0</v>
      </c>
      <c r="K45" s="33">
        <f t="shared" si="4"/>
        <v>0</v>
      </c>
    </row>
    <row r="46" spans="1:11" x14ac:dyDescent="0.35">
      <c r="A46" s="32"/>
      <c r="B46" s="32"/>
      <c r="C46" s="32"/>
      <c r="D46" s="32"/>
      <c r="F46" s="33">
        <f t="shared" si="0"/>
        <v>0</v>
      </c>
      <c r="G46" s="33">
        <f t="shared" si="1"/>
        <v>0</v>
      </c>
      <c r="H46" s="33">
        <f t="shared" si="2"/>
        <v>0</v>
      </c>
      <c r="I46" s="33">
        <f t="shared" si="3"/>
        <v>0</v>
      </c>
      <c r="K46" s="33">
        <f t="shared" si="4"/>
        <v>0</v>
      </c>
    </row>
    <row r="47" spans="1:11" x14ac:dyDescent="0.35">
      <c r="A47" s="32"/>
      <c r="B47" s="32"/>
      <c r="C47" s="32"/>
      <c r="D47" s="32"/>
      <c r="F47" s="33">
        <f t="shared" si="0"/>
        <v>0</v>
      </c>
      <c r="G47" s="33">
        <f t="shared" si="1"/>
        <v>0</v>
      </c>
      <c r="H47" s="33">
        <f t="shared" si="2"/>
        <v>0</v>
      </c>
      <c r="I47" s="33">
        <f t="shared" si="3"/>
        <v>0</v>
      </c>
      <c r="K47" s="33">
        <f t="shared" si="4"/>
        <v>0</v>
      </c>
    </row>
    <row r="48" spans="1:11" x14ac:dyDescent="0.35">
      <c r="A48" s="32"/>
      <c r="B48" s="32"/>
      <c r="C48" s="32"/>
      <c r="D48" s="32"/>
      <c r="F48" s="33">
        <f>IF(D48&gt;10,10,D48)</f>
        <v>0</v>
      </c>
      <c r="G48" s="33">
        <f>IF(D48&gt;20,10,MAX(0,D48-10))</f>
        <v>0</v>
      </c>
      <c r="H48" s="33">
        <f>IF(D48&gt;30,10,MAX(0,D48-20))</f>
        <v>0</v>
      </c>
      <c r="I48" s="33">
        <f>IF(D48&gt;40,10,MAX(0,D48-30))</f>
        <v>0</v>
      </c>
      <c r="K48" s="33">
        <f>IF(D48&gt;0,1,0)</f>
        <v>0</v>
      </c>
    </row>
    <row r="49" spans="1:11" x14ac:dyDescent="0.35">
      <c r="A49" s="32"/>
      <c r="B49" s="32"/>
      <c r="C49" s="32"/>
      <c r="D49" s="32"/>
      <c r="F49" s="33">
        <f t="shared" ref="F49:F91" si="10">IF(D49&gt;10,10,D49)</f>
        <v>0</v>
      </c>
      <c r="G49" s="33">
        <f t="shared" ref="G49:G91" si="11">IF(D49&gt;20,10,MAX(0,D49-10))</f>
        <v>0</v>
      </c>
      <c r="H49" s="33">
        <f t="shared" ref="H49:H91" si="12">IF(D49&gt;30,10,MAX(0,D49-20))</f>
        <v>0</v>
      </c>
      <c r="I49" s="33">
        <f t="shared" ref="I49:I91" si="13">IF(D49&gt;40,10,MAX(0,D49-30))</f>
        <v>0</v>
      </c>
      <c r="K49" s="33">
        <f t="shared" ref="K49:K91" si="14">IF(D49&gt;0,1,0)</f>
        <v>0</v>
      </c>
    </row>
    <row r="50" spans="1:11" x14ac:dyDescent="0.35">
      <c r="A50" s="32"/>
      <c r="B50" s="32"/>
      <c r="C50" s="32"/>
      <c r="D50" s="32"/>
      <c r="F50" s="33">
        <f t="shared" si="10"/>
        <v>0</v>
      </c>
      <c r="G50" s="33">
        <f t="shared" si="11"/>
        <v>0</v>
      </c>
      <c r="H50" s="33">
        <f t="shared" si="12"/>
        <v>0</v>
      </c>
      <c r="I50" s="33">
        <f t="shared" si="13"/>
        <v>0</v>
      </c>
      <c r="K50" s="33">
        <f t="shared" si="14"/>
        <v>0</v>
      </c>
    </row>
    <row r="51" spans="1:11" x14ac:dyDescent="0.35">
      <c r="A51" s="32"/>
      <c r="B51" s="32"/>
      <c r="C51" s="32"/>
      <c r="D51" s="32"/>
      <c r="F51" s="33">
        <f t="shared" si="10"/>
        <v>0</v>
      </c>
      <c r="G51" s="33">
        <f t="shared" si="11"/>
        <v>0</v>
      </c>
      <c r="H51" s="33">
        <f t="shared" si="12"/>
        <v>0</v>
      </c>
      <c r="I51" s="33">
        <f t="shared" si="13"/>
        <v>0</v>
      </c>
      <c r="K51" s="33">
        <f t="shared" si="14"/>
        <v>0</v>
      </c>
    </row>
    <row r="52" spans="1:11" x14ac:dyDescent="0.35">
      <c r="A52" s="32"/>
      <c r="B52" s="32"/>
      <c r="C52" s="32"/>
      <c r="D52" s="32"/>
      <c r="F52" s="33">
        <f t="shared" si="10"/>
        <v>0</v>
      </c>
      <c r="G52" s="33">
        <f t="shared" si="11"/>
        <v>0</v>
      </c>
      <c r="H52" s="33">
        <f t="shared" si="12"/>
        <v>0</v>
      </c>
      <c r="I52" s="33">
        <f t="shared" si="13"/>
        <v>0</v>
      </c>
      <c r="K52" s="33">
        <f t="shared" si="14"/>
        <v>0</v>
      </c>
    </row>
    <row r="53" spans="1:11" x14ac:dyDescent="0.35">
      <c r="A53" s="32"/>
      <c r="B53" s="32"/>
      <c r="C53" s="32"/>
      <c r="D53" s="32"/>
      <c r="F53" s="33">
        <f t="shared" si="10"/>
        <v>0</v>
      </c>
      <c r="G53" s="33">
        <f t="shared" si="11"/>
        <v>0</v>
      </c>
      <c r="H53" s="33">
        <f t="shared" si="12"/>
        <v>0</v>
      </c>
      <c r="I53" s="33">
        <f t="shared" si="13"/>
        <v>0</v>
      </c>
      <c r="K53" s="33">
        <f t="shared" si="14"/>
        <v>0</v>
      </c>
    </row>
    <row r="54" spans="1:11" x14ac:dyDescent="0.35">
      <c r="A54" s="32"/>
      <c r="B54" s="32"/>
      <c r="C54" s="32"/>
      <c r="D54" s="32"/>
      <c r="F54" s="33">
        <f t="shared" si="10"/>
        <v>0</v>
      </c>
      <c r="G54" s="33">
        <f t="shared" si="11"/>
        <v>0</v>
      </c>
      <c r="H54" s="33">
        <f t="shared" si="12"/>
        <v>0</v>
      </c>
      <c r="I54" s="33">
        <f t="shared" si="13"/>
        <v>0</v>
      </c>
      <c r="K54" s="33">
        <f t="shared" si="14"/>
        <v>0</v>
      </c>
    </row>
    <row r="55" spans="1:11" x14ac:dyDescent="0.35">
      <c r="A55" s="32"/>
      <c r="B55" s="32"/>
      <c r="C55" s="32"/>
      <c r="D55" s="32"/>
      <c r="F55" s="33">
        <f t="shared" si="10"/>
        <v>0</v>
      </c>
      <c r="G55" s="33">
        <f t="shared" si="11"/>
        <v>0</v>
      </c>
      <c r="H55" s="33">
        <f t="shared" si="12"/>
        <v>0</v>
      </c>
      <c r="I55" s="33">
        <f t="shared" si="13"/>
        <v>0</v>
      </c>
      <c r="K55" s="33">
        <f t="shared" si="14"/>
        <v>0</v>
      </c>
    </row>
    <row r="56" spans="1:11" x14ac:dyDescent="0.35">
      <c r="A56" s="32"/>
      <c r="B56" s="32"/>
      <c r="C56" s="32"/>
      <c r="D56" s="32"/>
      <c r="F56" s="33">
        <f t="shared" si="10"/>
        <v>0</v>
      </c>
      <c r="G56" s="33">
        <f t="shared" si="11"/>
        <v>0</v>
      </c>
      <c r="H56" s="33">
        <f t="shared" si="12"/>
        <v>0</v>
      </c>
      <c r="I56" s="33">
        <f t="shared" si="13"/>
        <v>0</v>
      </c>
      <c r="K56" s="33">
        <f t="shared" si="14"/>
        <v>0</v>
      </c>
    </row>
    <row r="57" spans="1:11" x14ac:dyDescent="0.35">
      <c r="A57" s="32"/>
      <c r="B57" s="32"/>
      <c r="C57" s="32"/>
      <c r="D57" s="32"/>
      <c r="F57" s="33">
        <f t="shared" si="10"/>
        <v>0</v>
      </c>
      <c r="G57" s="33">
        <f t="shared" si="11"/>
        <v>0</v>
      </c>
      <c r="H57" s="33">
        <f t="shared" si="12"/>
        <v>0</v>
      </c>
      <c r="I57" s="33">
        <f t="shared" si="13"/>
        <v>0</v>
      </c>
      <c r="K57" s="33">
        <f t="shared" si="14"/>
        <v>0</v>
      </c>
    </row>
    <row r="58" spans="1:11" x14ac:dyDescent="0.35">
      <c r="A58" s="32"/>
      <c r="B58" s="32"/>
      <c r="C58" s="32"/>
      <c r="D58" s="32"/>
      <c r="F58" s="33">
        <f t="shared" si="10"/>
        <v>0</v>
      </c>
      <c r="G58" s="33">
        <f t="shared" si="11"/>
        <v>0</v>
      </c>
      <c r="H58" s="33">
        <f t="shared" si="12"/>
        <v>0</v>
      </c>
      <c r="I58" s="33">
        <f t="shared" si="13"/>
        <v>0</v>
      </c>
      <c r="K58" s="33">
        <f t="shared" si="14"/>
        <v>0</v>
      </c>
    </row>
    <row r="59" spans="1:11" x14ac:dyDescent="0.35">
      <c r="A59" s="32"/>
      <c r="B59" s="32"/>
      <c r="C59" s="32"/>
      <c r="D59" s="32"/>
      <c r="F59" s="33">
        <f t="shared" si="10"/>
        <v>0</v>
      </c>
      <c r="G59" s="33">
        <f t="shared" si="11"/>
        <v>0</v>
      </c>
      <c r="H59" s="33">
        <f t="shared" si="12"/>
        <v>0</v>
      </c>
      <c r="I59" s="33">
        <f t="shared" si="13"/>
        <v>0</v>
      </c>
      <c r="K59" s="33">
        <f t="shared" si="14"/>
        <v>0</v>
      </c>
    </row>
    <row r="60" spans="1:11" x14ac:dyDescent="0.35">
      <c r="A60" s="32"/>
      <c r="B60" s="32"/>
      <c r="C60" s="32"/>
      <c r="D60" s="32"/>
      <c r="F60" s="33">
        <f t="shared" si="10"/>
        <v>0</v>
      </c>
      <c r="G60" s="33">
        <f t="shared" si="11"/>
        <v>0</v>
      </c>
      <c r="H60" s="33">
        <f t="shared" si="12"/>
        <v>0</v>
      </c>
      <c r="I60" s="33">
        <f t="shared" si="13"/>
        <v>0</v>
      </c>
      <c r="K60" s="33">
        <f t="shared" si="14"/>
        <v>0</v>
      </c>
    </row>
    <row r="61" spans="1:11" x14ac:dyDescent="0.35">
      <c r="A61" s="32"/>
      <c r="B61" s="32"/>
      <c r="C61" s="32"/>
      <c r="D61" s="32"/>
      <c r="F61" s="33">
        <f t="shared" si="10"/>
        <v>0</v>
      </c>
      <c r="G61" s="33">
        <f t="shared" si="11"/>
        <v>0</v>
      </c>
      <c r="H61" s="33">
        <f t="shared" si="12"/>
        <v>0</v>
      </c>
      <c r="I61" s="33">
        <f t="shared" si="13"/>
        <v>0</v>
      </c>
      <c r="K61" s="33">
        <f t="shared" si="14"/>
        <v>0</v>
      </c>
    </row>
    <row r="62" spans="1:11" x14ac:dyDescent="0.35">
      <c r="A62" s="32"/>
      <c r="B62" s="32"/>
      <c r="C62" s="32"/>
      <c r="D62" s="32"/>
      <c r="F62" s="33">
        <f t="shared" si="10"/>
        <v>0</v>
      </c>
      <c r="G62" s="33">
        <f t="shared" si="11"/>
        <v>0</v>
      </c>
      <c r="H62" s="33">
        <f t="shared" si="12"/>
        <v>0</v>
      </c>
      <c r="I62" s="33">
        <f t="shared" si="13"/>
        <v>0</v>
      </c>
      <c r="K62" s="33">
        <f t="shared" si="14"/>
        <v>0</v>
      </c>
    </row>
    <row r="63" spans="1:11" x14ac:dyDescent="0.35">
      <c r="A63" s="32"/>
      <c r="B63" s="32"/>
      <c r="C63" s="32"/>
      <c r="D63" s="32"/>
      <c r="F63" s="33">
        <f t="shared" si="10"/>
        <v>0</v>
      </c>
      <c r="G63" s="33">
        <f t="shared" si="11"/>
        <v>0</v>
      </c>
      <c r="H63" s="33">
        <f t="shared" si="12"/>
        <v>0</v>
      </c>
      <c r="I63" s="33">
        <f t="shared" si="13"/>
        <v>0</v>
      </c>
      <c r="K63" s="33">
        <f t="shared" si="14"/>
        <v>0</v>
      </c>
    </row>
    <row r="64" spans="1:11" x14ac:dyDescent="0.35">
      <c r="A64" s="32"/>
      <c r="B64" s="32"/>
      <c r="C64" s="32"/>
      <c r="D64" s="32"/>
      <c r="F64" s="33">
        <f t="shared" si="10"/>
        <v>0</v>
      </c>
      <c r="G64" s="33">
        <f t="shared" si="11"/>
        <v>0</v>
      </c>
      <c r="H64" s="33">
        <f t="shared" si="12"/>
        <v>0</v>
      </c>
      <c r="I64" s="33">
        <f t="shared" si="13"/>
        <v>0</v>
      </c>
      <c r="K64" s="33">
        <f t="shared" si="14"/>
        <v>0</v>
      </c>
    </row>
    <row r="65" spans="1:11" x14ac:dyDescent="0.35">
      <c r="A65" s="32"/>
      <c r="B65" s="32"/>
      <c r="C65" s="32"/>
      <c r="D65" s="32"/>
      <c r="F65" s="33">
        <f t="shared" si="10"/>
        <v>0</v>
      </c>
      <c r="G65" s="33">
        <f t="shared" si="11"/>
        <v>0</v>
      </c>
      <c r="H65" s="33">
        <f t="shared" si="12"/>
        <v>0</v>
      </c>
      <c r="I65" s="33">
        <f t="shared" si="13"/>
        <v>0</v>
      </c>
      <c r="K65" s="33">
        <f t="shared" si="14"/>
        <v>0</v>
      </c>
    </row>
    <row r="66" spans="1:11" x14ac:dyDescent="0.35">
      <c r="A66" s="32"/>
      <c r="B66" s="32"/>
      <c r="C66" s="32"/>
      <c r="D66" s="32"/>
      <c r="F66" s="33">
        <f t="shared" si="10"/>
        <v>0</v>
      </c>
      <c r="G66" s="33">
        <f t="shared" si="11"/>
        <v>0</v>
      </c>
      <c r="H66" s="33">
        <f t="shared" si="12"/>
        <v>0</v>
      </c>
      <c r="I66" s="33">
        <f t="shared" si="13"/>
        <v>0</v>
      </c>
      <c r="K66" s="33">
        <f t="shared" si="14"/>
        <v>0</v>
      </c>
    </row>
    <row r="67" spans="1:11" x14ac:dyDescent="0.35">
      <c r="A67" s="32"/>
      <c r="B67" s="32"/>
      <c r="C67" s="32"/>
      <c r="D67" s="32"/>
      <c r="F67" s="33">
        <f t="shared" si="10"/>
        <v>0</v>
      </c>
      <c r="G67" s="33">
        <f t="shared" si="11"/>
        <v>0</v>
      </c>
      <c r="H67" s="33">
        <f t="shared" si="12"/>
        <v>0</v>
      </c>
      <c r="I67" s="33">
        <f t="shared" si="13"/>
        <v>0</v>
      </c>
      <c r="K67" s="33">
        <f t="shared" si="14"/>
        <v>0</v>
      </c>
    </row>
    <row r="68" spans="1:11" x14ac:dyDescent="0.35">
      <c r="A68" s="32"/>
      <c r="B68" s="32"/>
      <c r="C68" s="32"/>
      <c r="D68" s="32"/>
      <c r="F68" s="33">
        <f t="shared" si="10"/>
        <v>0</v>
      </c>
      <c r="G68" s="33">
        <f t="shared" si="11"/>
        <v>0</v>
      </c>
      <c r="H68" s="33">
        <f t="shared" si="12"/>
        <v>0</v>
      </c>
      <c r="I68" s="33">
        <f t="shared" si="13"/>
        <v>0</v>
      </c>
      <c r="K68" s="33">
        <f t="shared" si="14"/>
        <v>0</v>
      </c>
    </row>
    <row r="69" spans="1:11" x14ac:dyDescent="0.35">
      <c r="A69" s="32"/>
      <c r="B69" s="32"/>
      <c r="C69" s="32"/>
      <c r="D69" s="32"/>
      <c r="F69" s="33">
        <f t="shared" si="10"/>
        <v>0</v>
      </c>
      <c r="G69" s="33">
        <f t="shared" si="11"/>
        <v>0</v>
      </c>
      <c r="H69" s="33">
        <f t="shared" si="12"/>
        <v>0</v>
      </c>
      <c r="I69" s="33">
        <f t="shared" si="13"/>
        <v>0</v>
      </c>
      <c r="K69" s="33">
        <f t="shared" si="14"/>
        <v>0</v>
      </c>
    </row>
    <row r="70" spans="1:11" x14ac:dyDescent="0.35">
      <c r="A70" s="32"/>
      <c r="B70" s="32"/>
      <c r="C70" s="32"/>
      <c r="D70" s="32"/>
      <c r="F70" s="33">
        <f t="shared" si="10"/>
        <v>0</v>
      </c>
      <c r="G70" s="33">
        <f t="shared" si="11"/>
        <v>0</v>
      </c>
      <c r="H70" s="33">
        <f t="shared" si="12"/>
        <v>0</v>
      </c>
      <c r="I70" s="33">
        <f t="shared" si="13"/>
        <v>0</v>
      </c>
      <c r="K70" s="33">
        <f t="shared" si="14"/>
        <v>0</v>
      </c>
    </row>
    <row r="71" spans="1:11" x14ac:dyDescent="0.35">
      <c r="A71" s="32"/>
      <c r="B71" s="32"/>
      <c r="C71" s="32"/>
      <c r="D71" s="32"/>
      <c r="F71" s="33">
        <f t="shared" si="10"/>
        <v>0</v>
      </c>
      <c r="G71" s="33">
        <f t="shared" si="11"/>
        <v>0</v>
      </c>
      <c r="H71" s="33">
        <f t="shared" si="12"/>
        <v>0</v>
      </c>
      <c r="I71" s="33">
        <f t="shared" si="13"/>
        <v>0</v>
      </c>
      <c r="K71" s="33">
        <f t="shared" si="14"/>
        <v>0</v>
      </c>
    </row>
    <row r="72" spans="1:11" x14ac:dyDescent="0.35">
      <c r="A72" s="32"/>
      <c r="B72" s="32"/>
      <c r="C72" s="32"/>
      <c r="D72" s="32"/>
      <c r="F72" s="33">
        <f t="shared" si="10"/>
        <v>0</v>
      </c>
      <c r="G72" s="33">
        <f t="shared" si="11"/>
        <v>0</v>
      </c>
      <c r="H72" s="33">
        <f t="shared" si="12"/>
        <v>0</v>
      </c>
      <c r="I72" s="33">
        <f t="shared" si="13"/>
        <v>0</v>
      </c>
      <c r="K72" s="33">
        <f t="shared" si="14"/>
        <v>0</v>
      </c>
    </row>
    <row r="73" spans="1:11" x14ac:dyDescent="0.35">
      <c r="A73" s="32"/>
      <c r="B73" s="32"/>
      <c r="C73" s="32"/>
      <c r="D73" s="32"/>
      <c r="F73" s="33">
        <f t="shared" si="10"/>
        <v>0</v>
      </c>
      <c r="G73" s="33">
        <f t="shared" si="11"/>
        <v>0</v>
      </c>
      <c r="H73" s="33">
        <f t="shared" si="12"/>
        <v>0</v>
      </c>
      <c r="I73" s="33">
        <f t="shared" si="13"/>
        <v>0</v>
      </c>
      <c r="K73" s="33">
        <f t="shared" si="14"/>
        <v>0</v>
      </c>
    </row>
    <row r="74" spans="1:11" x14ac:dyDescent="0.35">
      <c r="A74" s="32"/>
      <c r="B74" s="32"/>
      <c r="C74" s="32"/>
      <c r="D74" s="32"/>
      <c r="F74" s="33">
        <f t="shared" si="10"/>
        <v>0</v>
      </c>
      <c r="G74" s="33">
        <f t="shared" si="11"/>
        <v>0</v>
      </c>
      <c r="H74" s="33">
        <f t="shared" si="12"/>
        <v>0</v>
      </c>
      <c r="I74" s="33">
        <f t="shared" si="13"/>
        <v>0</v>
      </c>
      <c r="K74" s="33">
        <f t="shared" si="14"/>
        <v>0</v>
      </c>
    </row>
    <row r="75" spans="1:11" x14ac:dyDescent="0.35">
      <c r="A75" s="32"/>
      <c r="B75" s="32"/>
      <c r="C75" s="32"/>
      <c r="D75" s="32"/>
      <c r="F75" s="33">
        <f t="shared" si="10"/>
        <v>0</v>
      </c>
      <c r="G75" s="33">
        <f t="shared" si="11"/>
        <v>0</v>
      </c>
      <c r="H75" s="33">
        <f t="shared" si="12"/>
        <v>0</v>
      </c>
      <c r="I75" s="33">
        <f t="shared" si="13"/>
        <v>0</v>
      </c>
      <c r="K75" s="33">
        <f t="shared" si="14"/>
        <v>0</v>
      </c>
    </row>
    <row r="76" spans="1:11" x14ac:dyDescent="0.35">
      <c r="A76" s="32"/>
      <c r="B76" s="32"/>
      <c r="C76" s="32"/>
      <c r="D76" s="32"/>
      <c r="F76" s="33">
        <f t="shared" si="10"/>
        <v>0</v>
      </c>
      <c r="G76" s="33">
        <f t="shared" si="11"/>
        <v>0</v>
      </c>
      <c r="H76" s="33">
        <f t="shared" si="12"/>
        <v>0</v>
      </c>
      <c r="I76" s="33">
        <f t="shared" si="13"/>
        <v>0</v>
      </c>
      <c r="K76" s="33">
        <f t="shared" si="14"/>
        <v>0</v>
      </c>
    </row>
    <row r="77" spans="1:11" x14ac:dyDescent="0.35">
      <c r="A77" s="32"/>
      <c r="B77" s="32"/>
      <c r="C77" s="32"/>
      <c r="D77" s="32"/>
      <c r="F77" s="33">
        <f t="shared" si="10"/>
        <v>0</v>
      </c>
      <c r="G77" s="33">
        <f t="shared" si="11"/>
        <v>0</v>
      </c>
      <c r="H77" s="33">
        <f t="shared" si="12"/>
        <v>0</v>
      </c>
      <c r="I77" s="33">
        <f t="shared" si="13"/>
        <v>0</v>
      </c>
      <c r="K77" s="33">
        <f t="shared" si="14"/>
        <v>0</v>
      </c>
    </row>
    <row r="78" spans="1:11" x14ac:dyDescent="0.35">
      <c r="A78" s="32"/>
      <c r="B78" s="32"/>
      <c r="C78" s="32"/>
      <c r="D78" s="32"/>
      <c r="F78" s="33">
        <f t="shared" si="10"/>
        <v>0</v>
      </c>
      <c r="G78" s="33">
        <f t="shared" si="11"/>
        <v>0</v>
      </c>
      <c r="H78" s="33">
        <f t="shared" si="12"/>
        <v>0</v>
      </c>
      <c r="I78" s="33">
        <f t="shared" si="13"/>
        <v>0</v>
      </c>
      <c r="K78" s="33">
        <f t="shared" si="14"/>
        <v>0</v>
      </c>
    </row>
    <row r="79" spans="1:11" x14ac:dyDescent="0.35">
      <c r="A79" s="32"/>
      <c r="B79" s="32"/>
      <c r="C79" s="32"/>
      <c r="D79" s="32"/>
      <c r="F79" s="33">
        <f t="shared" si="10"/>
        <v>0</v>
      </c>
      <c r="G79" s="33">
        <f t="shared" si="11"/>
        <v>0</v>
      </c>
      <c r="H79" s="33">
        <f t="shared" si="12"/>
        <v>0</v>
      </c>
      <c r="I79" s="33">
        <f t="shared" si="13"/>
        <v>0</v>
      </c>
      <c r="K79" s="33">
        <f t="shared" si="14"/>
        <v>0</v>
      </c>
    </row>
    <row r="80" spans="1:11" x14ac:dyDescent="0.35">
      <c r="A80" s="32"/>
      <c r="B80" s="32"/>
      <c r="C80" s="32"/>
      <c r="D80" s="32"/>
      <c r="F80" s="33">
        <f t="shared" si="10"/>
        <v>0</v>
      </c>
      <c r="G80" s="33">
        <f t="shared" si="11"/>
        <v>0</v>
      </c>
      <c r="H80" s="33">
        <f t="shared" si="12"/>
        <v>0</v>
      </c>
      <c r="I80" s="33">
        <f t="shared" si="13"/>
        <v>0</v>
      </c>
      <c r="K80" s="33">
        <f t="shared" si="14"/>
        <v>0</v>
      </c>
    </row>
    <row r="81" spans="1:11" x14ac:dyDescent="0.35">
      <c r="A81" s="32"/>
      <c r="B81" s="32"/>
      <c r="C81" s="32"/>
      <c r="D81" s="32"/>
      <c r="F81" s="33">
        <f t="shared" si="10"/>
        <v>0</v>
      </c>
      <c r="G81" s="33">
        <f t="shared" si="11"/>
        <v>0</v>
      </c>
      <c r="H81" s="33">
        <f t="shared" si="12"/>
        <v>0</v>
      </c>
      <c r="I81" s="33">
        <f t="shared" si="13"/>
        <v>0</v>
      </c>
      <c r="K81" s="33">
        <f t="shared" si="14"/>
        <v>0</v>
      </c>
    </row>
    <row r="82" spans="1:11" x14ac:dyDescent="0.35">
      <c r="A82" s="32"/>
      <c r="B82" s="32"/>
      <c r="C82" s="32"/>
      <c r="D82" s="32"/>
      <c r="F82" s="33">
        <f t="shared" si="10"/>
        <v>0</v>
      </c>
      <c r="G82" s="33">
        <f t="shared" si="11"/>
        <v>0</v>
      </c>
      <c r="H82" s="33">
        <f t="shared" si="12"/>
        <v>0</v>
      </c>
      <c r="I82" s="33">
        <f t="shared" si="13"/>
        <v>0</v>
      </c>
      <c r="K82" s="33">
        <f t="shared" si="14"/>
        <v>0</v>
      </c>
    </row>
    <row r="83" spans="1:11" x14ac:dyDescent="0.35">
      <c r="A83" s="32"/>
      <c r="B83" s="32"/>
      <c r="C83" s="32"/>
      <c r="D83" s="32"/>
      <c r="F83" s="33">
        <f t="shared" si="10"/>
        <v>0</v>
      </c>
      <c r="G83" s="33">
        <f t="shared" si="11"/>
        <v>0</v>
      </c>
      <c r="H83" s="33">
        <f t="shared" si="12"/>
        <v>0</v>
      </c>
      <c r="I83" s="33">
        <f t="shared" si="13"/>
        <v>0</v>
      </c>
      <c r="K83" s="33">
        <f t="shared" si="14"/>
        <v>0</v>
      </c>
    </row>
    <row r="84" spans="1:11" x14ac:dyDescent="0.35">
      <c r="A84" s="32"/>
      <c r="B84" s="32"/>
      <c r="C84" s="32"/>
      <c r="D84" s="32"/>
      <c r="F84" s="33">
        <f t="shared" si="10"/>
        <v>0</v>
      </c>
      <c r="G84" s="33">
        <f t="shared" si="11"/>
        <v>0</v>
      </c>
      <c r="H84" s="33">
        <f t="shared" si="12"/>
        <v>0</v>
      </c>
      <c r="I84" s="33">
        <f t="shared" si="13"/>
        <v>0</v>
      </c>
      <c r="K84" s="33">
        <f t="shared" si="14"/>
        <v>0</v>
      </c>
    </row>
    <row r="85" spans="1:11" x14ac:dyDescent="0.35">
      <c r="A85" s="32"/>
      <c r="B85" s="32"/>
      <c r="C85" s="32"/>
      <c r="D85" s="32"/>
      <c r="F85" s="33">
        <f t="shared" si="10"/>
        <v>0</v>
      </c>
      <c r="G85" s="33">
        <f t="shared" si="11"/>
        <v>0</v>
      </c>
      <c r="H85" s="33">
        <f t="shared" si="12"/>
        <v>0</v>
      </c>
      <c r="I85" s="33">
        <f t="shared" si="13"/>
        <v>0</v>
      </c>
      <c r="K85" s="33">
        <f t="shared" si="14"/>
        <v>0</v>
      </c>
    </row>
    <row r="86" spans="1:11" x14ac:dyDescent="0.35">
      <c r="A86" s="32"/>
      <c r="B86" s="32"/>
      <c r="C86" s="32"/>
      <c r="D86" s="32"/>
      <c r="F86" s="33">
        <f t="shared" si="10"/>
        <v>0</v>
      </c>
      <c r="G86" s="33">
        <f t="shared" si="11"/>
        <v>0</v>
      </c>
      <c r="H86" s="33">
        <f t="shared" si="12"/>
        <v>0</v>
      </c>
      <c r="I86" s="33">
        <f t="shared" si="13"/>
        <v>0</v>
      </c>
      <c r="K86" s="33">
        <f t="shared" si="14"/>
        <v>0</v>
      </c>
    </row>
    <row r="87" spans="1:11" x14ac:dyDescent="0.35">
      <c r="A87" s="32"/>
      <c r="B87" s="32"/>
      <c r="C87" s="32"/>
      <c r="D87" s="32"/>
      <c r="F87" s="33">
        <f t="shared" si="10"/>
        <v>0</v>
      </c>
      <c r="G87" s="33">
        <f t="shared" si="11"/>
        <v>0</v>
      </c>
      <c r="H87" s="33">
        <f t="shared" si="12"/>
        <v>0</v>
      </c>
      <c r="I87" s="33">
        <f t="shared" si="13"/>
        <v>0</v>
      </c>
      <c r="K87" s="33">
        <f t="shared" si="14"/>
        <v>0</v>
      </c>
    </row>
    <row r="88" spans="1:11" x14ac:dyDescent="0.35">
      <c r="A88" s="32"/>
      <c r="B88" s="32"/>
      <c r="C88" s="32"/>
      <c r="D88" s="32"/>
      <c r="F88" s="33">
        <f t="shared" si="10"/>
        <v>0</v>
      </c>
      <c r="G88" s="33">
        <f t="shared" si="11"/>
        <v>0</v>
      </c>
      <c r="H88" s="33">
        <f t="shared" si="12"/>
        <v>0</v>
      </c>
      <c r="I88" s="33">
        <f t="shared" si="13"/>
        <v>0</v>
      </c>
      <c r="K88" s="33">
        <f t="shared" si="14"/>
        <v>0</v>
      </c>
    </row>
    <row r="89" spans="1:11" x14ac:dyDescent="0.35">
      <c r="A89" s="32"/>
      <c r="B89" s="32"/>
      <c r="C89" s="32"/>
      <c r="D89" s="32"/>
      <c r="F89" s="33">
        <f t="shared" si="10"/>
        <v>0</v>
      </c>
      <c r="G89" s="33">
        <f t="shared" si="11"/>
        <v>0</v>
      </c>
      <c r="H89" s="33">
        <f t="shared" si="12"/>
        <v>0</v>
      </c>
      <c r="I89" s="33">
        <f t="shared" si="13"/>
        <v>0</v>
      </c>
      <c r="K89" s="33">
        <f t="shared" si="14"/>
        <v>0</v>
      </c>
    </row>
    <row r="90" spans="1:11" x14ac:dyDescent="0.35">
      <c r="A90" s="32"/>
      <c r="B90" s="32"/>
      <c r="C90" s="32"/>
      <c r="D90" s="32"/>
      <c r="F90" s="33">
        <f t="shared" si="10"/>
        <v>0</v>
      </c>
      <c r="G90" s="33">
        <f t="shared" si="11"/>
        <v>0</v>
      </c>
      <c r="H90" s="33">
        <f t="shared" si="12"/>
        <v>0</v>
      </c>
      <c r="I90" s="33">
        <f t="shared" si="13"/>
        <v>0</v>
      </c>
      <c r="K90" s="33">
        <f t="shared" si="14"/>
        <v>0</v>
      </c>
    </row>
    <row r="91" spans="1:11" x14ac:dyDescent="0.35">
      <c r="A91" s="32"/>
      <c r="B91" s="32"/>
      <c r="C91" s="32"/>
      <c r="D91" s="32"/>
      <c r="F91" s="33">
        <f t="shared" si="10"/>
        <v>0</v>
      </c>
      <c r="G91" s="33">
        <f t="shared" si="11"/>
        <v>0</v>
      </c>
      <c r="H91" s="33">
        <f t="shared" si="12"/>
        <v>0</v>
      </c>
      <c r="I91" s="33">
        <f t="shared" si="13"/>
        <v>0</v>
      </c>
      <c r="K91" s="33">
        <f t="shared" si="14"/>
        <v>0</v>
      </c>
    </row>
    <row r="92" spans="1:11" ht="15" thickBot="1" x14ac:dyDescent="0.4">
      <c r="F92" s="52">
        <f>SUM(F2:F91)</f>
        <v>0</v>
      </c>
      <c r="G92" s="52">
        <f>SUM(G2:G91)</f>
        <v>0</v>
      </c>
      <c r="H92" s="52">
        <f>SUM(H2:H91)</f>
        <v>0</v>
      </c>
      <c r="I92" s="52">
        <f>SUM(I2:I91)</f>
        <v>0</v>
      </c>
      <c r="K92" s="121">
        <f>SUM(K2:K91)</f>
        <v>0</v>
      </c>
    </row>
    <row r="93" spans="1:11" ht="15" thickTop="1" x14ac:dyDescent="0.35"/>
  </sheetData>
  <dataValidations count="1">
    <dataValidation type="list" allowBlank="1" showInputMessage="1" showErrorMessage="1" sqref="B2:C91" xr:uid="{7A23DE79-361E-483D-8938-D1CFFECF68B4}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7"/>
  <sheetViews>
    <sheetView topLeftCell="A5" workbookViewId="0">
      <selection activeCell="L4" sqref="L4"/>
    </sheetView>
  </sheetViews>
  <sheetFormatPr defaultRowHeight="14.5" x14ac:dyDescent="0.35"/>
  <cols>
    <col min="1" max="1" width="35.453125" style="2" customWidth="1"/>
    <col min="2" max="2" width="12.1796875" style="2" bestFit="1" customWidth="1"/>
    <col min="3" max="3" width="9.81640625" style="2" bestFit="1" customWidth="1"/>
    <col min="4" max="5" width="11" style="2" customWidth="1"/>
    <col min="6" max="6" width="13.1796875" customWidth="1"/>
    <col min="7" max="7" width="13.7265625" customWidth="1"/>
    <col min="9" max="9" width="20.1796875" customWidth="1"/>
    <col min="10" max="11" width="15.54296875" style="2" customWidth="1"/>
    <col min="12" max="12" width="10.7265625" style="2" customWidth="1"/>
    <col min="13" max="13" width="9.1796875" style="2"/>
    <col min="14" max="14" width="9.81640625" style="2" customWidth="1"/>
    <col min="15" max="17" width="9.1796875" style="2"/>
    <col min="18" max="18" width="11" customWidth="1"/>
    <col min="19" max="19" width="10.453125" customWidth="1"/>
    <col min="20" max="20" width="10" customWidth="1"/>
  </cols>
  <sheetData>
    <row r="1" spans="1:17" ht="16.5" customHeight="1" thickTop="1" thickBot="1" x14ac:dyDescent="0.4">
      <c r="A1" s="4"/>
      <c r="B1" s="4"/>
      <c r="C1" s="4" t="s">
        <v>102</v>
      </c>
      <c r="D1" s="4"/>
      <c r="E1" s="4"/>
      <c r="F1" s="5"/>
      <c r="G1" s="5"/>
      <c r="H1" s="5"/>
      <c r="I1" s="5"/>
      <c r="J1" s="164" t="s">
        <v>100</v>
      </c>
      <c r="K1" s="165"/>
    </row>
    <row r="2" spans="1:17" s="1" customFormat="1" ht="16.5" customHeight="1" thickTop="1" thickBot="1" x14ac:dyDescent="0.4">
      <c r="A2" s="6" t="s">
        <v>1</v>
      </c>
      <c r="B2" s="4"/>
      <c r="C2" s="4" t="s">
        <v>103</v>
      </c>
      <c r="D2" s="4"/>
      <c r="E2" s="6"/>
      <c r="F2" s="7"/>
      <c r="G2" s="7"/>
      <c r="H2" s="7"/>
      <c r="I2" s="7"/>
      <c r="J2" s="164"/>
      <c r="K2" s="165"/>
      <c r="L2" s="3" t="s">
        <v>50</v>
      </c>
      <c r="M2" s="3" t="s">
        <v>48</v>
      </c>
      <c r="N2" s="163" t="s">
        <v>93</v>
      </c>
      <c r="O2" s="163"/>
      <c r="P2" s="3"/>
      <c r="Q2" s="3"/>
    </row>
    <row r="3" spans="1:17" ht="15.5" thickTop="1" thickBot="1" x14ac:dyDescent="0.4">
      <c r="A3" s="8" t="s">
        <v>2</v>
      </c>
      <c r="B3" s="6" t="s">
        <v>3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59</v>
      </c>
      <c r="J3" s="96" t="s">
        <v>4</v>
      </c>
      <c r="K3" s="97" t="s">
        <v>101</v>
      </c>
      <c r="L3" s="3" t="s">
        <v>51</v>
      </c>
      <c r="M3" s="3" t="s">
        <v>49</v>
      </c>
      <c r="N3" s="163"/>
      <c r="O3" s="163"/>
    </row>
    <row r="4" spans="1:17" ht="15" thickTop="1" x14ac:dyDescent="0.35">
      <c r="A4" s="83" t="s">
        <v>62</v>
      </c>
      <c r="B4" s="53">
        <v>40</v>
      </c>
      <c r="C4" s="53"/>
      <c r="D4" s="53"/>
      <c r="E4" s="53"/>
      <c r="F4" s="11"/>
      <c r="G4" s="11"/>
      <c r="H4" s="11"/>
      <c r="I4" s="11"/>
      <c r="J4" s="95">
        <v>1</v>
      </c>
      <c r="K4" s="95">
        <v>1</v>
      </c>
      <c r="L4" s="54">
        <f t="shared" ref="L4:L29" si="0">SUM(C4:I4)</f>
        <v>0</v>
      </c>
      <c r="M4" s="93">
        <f t="shared" ref="M4:M29" si="1">L4/B4</f>
        <v>0</v>
      </c>
      <c r="N4" s="162" t="e">
        <f>(#REF!+#REF!)/(#REF!+#REF!)</f>
        <v>#REF!</v>
      </c>
      <c r="O4" s="162"/>
    </row>
    <row r="5" spans="1:17" x14ac:dyDescent="0.35">
      <c r="A5" s="83" t="s">
        <v>63</v>
      </c>
      <c r="B5" s="53">
        <v>10</v>
      </c>
      <c r="C5" s="53"/>
      <c r="D5" s="53"/>
      <c r="E5" s="53"/>
      <c r="F5" s="11"/>
      <c r="G5" s="11"/>
      <c r="H5" s="11"/>
      <c r="I5" s="11"/>
      <c r="J5" s="95">
        <v>0.5</v>
      </c>
      <c r="K5" s="95">
        <v>0.5</v>
      </c>
      <c r="L5" s="54">
        <f t="shared" si="0"/>
        <v>0</v>
      </c>
      <c r="M5" s="92">
        <f t="shared" si="1"/>
        <v>0</v>
      </c>
      <c r="N5"/>
    </row>
    <row r="6" spans="1:17" x14ac:dyDescent="0.35">
      <c r="A6" s="83" t="s">
        <v>64</v>
      </c>
      <c r="B6" s="53">
        <v>1</v>
      </c>
      <c r="C6" s="53"/>
      <c r="D6" s="53"/>
      <c r="E6" s="53"/>
      <c r="F6" s="11"/>
      <c r="G6" s="11"/>
      <c r="H6" s="11"/>
      <c r="I6" s="11"/>
      <c r="J6" s="95">
        <v>0.25</v>
      </c>
      <c r="K6" s="95">
        <v>0.25</v>
      </c>
      <c r="L6" s="54">
        <f t="shared" si="0"/>
        <v>0</v>
      </c>
      <c r="M6" s="92">
        <f t="shared" si="1"/>
        <v>0</v>
      </c>
      <c r="N6"/>
    </row>
    <row r="7" spans="1:17" x14ac:dyDescent="0.35">
      <c r="A7" s="84" t="s">
        <v>65</v>
      </c>
      <c r="B7" s="53">
        <v>1</v>
      </c>
      <c r="C7" s="53"/>
      <c r="D7" s="53"/>
      <c r="E7" s="53"/>
      <c r="F7" s="11"/>
      <c r="G7" s="11"/>
      <c r="H7" s="11"/>
      <c r="I7" s="11"/>
      <c r="J7" s="95">
        <v>0.25</v>
      </c>
      <c r="K7" s="95">
        <v>0.25</v>
      </c>
      <c r="L7" s="54">
        <f t="shared" si="0"/>
        <v>0</v>
      </c>
      <c r="M7" s="92">
        <f t="shared" si="1"/>
        <v>0</v>
      </c>
      <c r="N7"/>
    </row>
    <row r="8" spans="1:17" x14ac:dyDescent="0.35">
      <c r="A8" s="84" t="s">
        <v>66</v>
      </c>
      <c r="B8" s="53">
        <v>1</v>
      </c>
      <c r="C8" s="53"/>
      <c r="D8" s="53"/>
      <c r="E8" s="53"/>
      <c r="F8" s="11"/>
      <c r="G8" s="11"/>
      <c r="H8" s="11"/>
      <c r="I8" s="11"/>
      <c r="J8" s="95"/>
      <c r="K8" s="95"/>
      <c r="L8" s="54">
        <f t="shared" si="0"/>
        <v>0</v>
      </c>
      <c r="M8" s="92">
        <f t="shared" si="1"/>
        <v>0</v>
      </c>
      <c r="N8"/>
    </row>
    <row r="9" spans="1:17" x14ac:dyDescent="0.35">
      <c r="A9" s="84" t="s">
        <v>67</v>
      </c>
      <c r="B9" s="53">
        <v>1</v>
      </c>
      <c r="C9" s="53"/>
      <c r="D9" s="53"/>
      <c r="E9" s="53"/>
      <c r="F9" s="11"/>
      <c r="G9" s="11"/>
      <c r="H9" s="11"/>
      <c r="I9" s="11"/>
      <c r="J9" s="95"/>
      <c r="K9" s="95"/>
      <c r="L9" s="54">
        <f t="shared" si="0"/>
        <v>0</v>
      </c>
      <c r="M9" s="92">
        <f t="shared" si="1"/>
        <v>0</v>
      </c>
      <c r="N9"/>
    </row>
    <row r="10" spans="1:17" x14ac:dyDescent="0.35">
      <c r="A10" s="83" t="s">
        <v>68</v>
      </c>
      <c r="B10" s="53">
        <v>1</v>
      </c>
      <c r="C10" s="53"/>
      <c r="D10" s="53"/>
      <c r="E10" s="53"/>
      <c r="F10" s="11"/>
      <c r="G10" s="11"/>
      <c r="H10" s="11"/>
      <c r="I10" s="11"/>
      <c r="J10" s="95"/>
      <c r="K10" s="95"/>
      <c r="L10" s="54">
        <f t="shared" si="0"/>
        <v>0</v>
      </c>
      <c r="M10" s="92">
        <f t="shared" si="1"/>
        <v>0</v>
      </c>
      <c r="N10"/>
    </row>
    <row r="11" spans="1:17" x14ac:dyDescent="0.35">
      <c r="A11" s="83" t="s">
        <v>69</v>
      </c>
      <c r="B11" s="53">
        <v>1</v>
      </c>
      <c r="C11" s="53"/>
      <c r="D11" s="53"/>
      <c r="E11" s="53"/>
      <c r="F11" s="11"/>
      <c r="G11" s="11"/>
      <c r="H11" s="11"/>
      <c r="I11" s="11"/>
      <c r="J11" s="95"/>
      <c r="K11" s="95"/>
      <c r="L11" s="54">
        <f t="shared" si="0"/>
        <v>0</v>
      </c>
      <c r="M11" s="92">
        <f t="shared" si="1"/>
        <v>0</v>
      </c>
      <c r="N11"/>
    </row>
    <row r="12" spans="1:17" x14ac:dyDescent="0.35">
      <c r="A12" s="83" t="s">
        <v>70</v>
      </c>
      <c r="B12" s="53">
        <v>1</v>
      </c>
      <c r="C12" s="53"/>
      <c r="D12" s="53"/>
      <c r="E12" s="53"/>
      <c r="F12" s="11"/>
      <c r="G12" s="11"/>
      <c r="H12" s="53"/>
      <c r="I12" s="53"/>
      <c r="J12" s="95"/>
      <c r="K12" s="95"/>
      <c r="L12" s="54">
        <f t="shared" si="0"/>
        <v>0</v>
      </c>
      <c r="M12" s="92">
        <f t="shared" si="1"/>
        <v>0</v>
      </c>
      <c r="N12"/>
    </row>
    <row r="13" spans="1:17" x14ac:dyDescent="0.35">
      <c r="A13" s="83" t="s">
        <v>71</v>
      </c>
      <c r="B13" s="53">
        <v>1</v>
      </c>
      <c r="C13" s="53"/>
      <c r="D13" s="53"/>
      <c r="E13" s="53"/>
      <c r="F13" s="11"/>
      <c r="G13" s="11"/>
      <c r="H13" s="53"/>
      <c r="I13" s="53"/>
      <c r="J13" s="95"/>
      <c r="K13" s="95"/>
      <c r="L13" s="54">
        <f t="shared" si="0"/>
        <v>0</v>
      </c>
      <c r="M13" s="92">
        <f t="shared" si="1"/>
        <v>0</v>
      </c>
      <c r="N13"/>
    </row>
    <row r="14" spans="1:17" ht="29" x14ac:dyDescent="0.35">
      <c r="A14" s="84" t="s">
        <v>72</v>
      </c>
      <c r="B14" s="53">
        <v>1</v>
      </c>
      <c r="C14" s="53"/>
      <c r="D14" s="53"/>
      <c r="E14" s="53"/>
      <c r="F14" s="11"/>
      <c r="G14" s="11"/>
      <c r="H14" s="53"/>
      <c r="I14" s="53"/>
      <c r="J14" s="95"/>
      <c r="K14" s="95"/>
      <c r="L14" s="54">
        <f t="shared" si="0"/>
        <v>0</v>
      </c>
      <c r="M14" s="92">
        <f t="shared" si="1"/>
        <v>0</v>
      </c>
      <c r="N14"/>
    </row>
    <row r="15" spans="1:17" ht="29" x14ac:dyDescent="0.35">
      <c r="A15" s="84" t="s">
        <v>73</v>
      </c>
      <c r="B15" s="53">
        <v>1</v>
      </c>
      <c r="C15" s="53"/>
      <c r="D15" s="53"/>
      <c r="E15" s="53"/>
      <c r="F15" s="11"/>
      <c r="G15" s="11"/>
      <c r="H15" s="53"/>
      <c r="I15" s="53"/>
      <c r="J15" s="95"/>
      <c r="K15" s="95"/>
      <c r="L15" s="54">
        <f t="shared" si="0"/>
        <v>0</v>
      </c>
      <c r="M15" s="92">
        <f t="shared" si="1"/>
        <v>0</v>
      </c>
      <c r="N15"/>
    </row>
    <row r="16" spans="1:17" ht="29" x14ac:dyDescent="0.35">
      <c r="A16" s="84" t="s">
        <v>74</v>
      </c>
      <c r="B16" s="53">
        <v>1</v>
      </c>
      <c r="C16" s="53"/>
      <c r="D16" s="53"/>
      <c r="E16" s="53"/>
      <c r="F16" s="11"/>
      <c r="G16" s="11"/>
      <c r="H16" s="53"/>
      <c r="I16" s="53"/>
      <c r="J16" s="95"/>
      <c r="K16" s="95"/>
      <c r="L16" s="54">
        <f t="shared" si="0"/>
        <v>0</v>
      </c>
      <c r="M16" s="92">
        <f t="shared" si="1"/>
        <v>0</v>
      </c>
      <c r="N16"/>
    </row>
    <row r="17" spans="1:20" ht="29" x14ac:dyDescent="0.35">
      <c r="A17" s="84" t="s">
        <v>75</v>
      </c>
      <c r="B17" s="53">
        <v>1</v>
      </c>
      <c r="C17" s="53"/>
      <c r="D17" s="53"/>
      <c r="E17" s="53"/>
      <c r="F17" s="11"/>
      <c r="G17" s="11"/>
      <c r="H17" s="53"/>
      <c r="I17" s="53"/>
      <c r="J17" s="95"/>
      <c r="K17" s="95"/>
      <c r="L17" s="54">
        <f t="shared" si="0"/>
        <v>0</v>
      </c>
      <c r="M17" s="92">
        <f t="shared" si="1"/>
        <v>0</v>
      </c>
      <c r="N17"/>
    </row>
    <row r="18" spans="1:20" ht="25" x14ac:dyDescent="0.35">
      <c r="A18" s="87" t="s">
        <v>76</v>
      </c>
      <c r="B18" s="53">
        <v>1</v>
      </c>
      <c r="C18" s="53"/>
      <c r="D18" s="53"/>
      <c r="E18" s="53"/>
      <c r="F18" s="11"/>
      <c r="G18" s="11"/>
      <c r="H18" s="53"/>
      <c r="I18" s="53"/>
      <c r="J18" s="95"/>
      <c r="K18" s="95"/>
      <c r="L18" s="54">
        <f t="shared" si="0"/>
        <v>0</v>
      </c>
      <c r="M18" s="92">
        <f t="shared" si="1"/>
        <v>0</v>
      </c>
      <c r="N18"/>
    </row>
    <row r="19" spans="1:20" ht="29" x14ac:dyDescent="0.35">
      <c r="A19" s="84" t="s">
        <v>83</v>
      </c>
      <c r="B19" s="53">
        <v>1</v>
      </c>
      <c r="C19" s="53"/>
      <c r="D19" s="53"/>
      <c r="E19" s="53"/>
      <c r="F19" s="11"/>
      <c r="G19" s="11"/>
      <c r="H19" s="53"/>
      <c r="I19" s="53"/>
      <c r="J19" s="95"/>
      <c r="K19" s="95"/>
      <c r="L19" s="54">
        <f t="shared" si="0"/>
        <v>0</v>
      </c>
      <c r="M19" s="92">
        <f t="shared" si="1"/>
        <v>0</v>
      </c>
      <c r="N19"/>
    </row>
    <row r="20" spans="1:20" ht="58" x14ac:dyDescent="0.35">
      <c r="A20" s="84" t="s">
        <v>84</v>
      </c>
      <c r="B20" s="53">
        <v>1</v>
      </c>
      <c r="C20" s="53"/>
      <c r="D20" s="53"/>
      <c r="E20" s="53"/>
      <c r="F20" s="11"/>
      <c r="G20" s="11"/>
      <c r="H20" s="11"/>
      <c r="I20" s="11"/>
      <c r="J20" s="95"/>
      <c r="K20" s="95"/>
      <c r="L20" s="54">
        <f t="shared" si="0"/>
        <v>0</v>
      </c>
      <c r="M20" s="92">
        <f t="shared" si="1"/>
        <v>0</v>
      </c>
      <c r="N20"/>
    </row>
    <row r="21" spans="1:20" ht="43.5" x14ac:dyDescent="0.35">
      <c r="A21" s="84" t="s">
        <v>85</v>
      </c>
      <c r="B21" s="53">
        <v>1</v>
      </c>
      <c r="C21" s="53"/>
      <c r="D21" s="53"/>
      <c r="E21" s="53"/>
      <c r="F21" s="11"/>
      <c r="G21" s="11"/>
      <c r="H21" s="11"/>
      <c r="I21" s="11"/>
      <c r="J21" s="95"/>
      <c r="K21" s="95"/>
      <c r="L21" s="54">
        <f t="shared" si="0"/>
        <v>0</v>
      </c>
      <c r="M21" s="92">
        <f t="shared" si="1"/>
        <v>0</v>
      </c>
      <c r="N21"/>
    </row>
    <row r="22" spans="1:20" ht="58" x14ac:dyDescent="0.35">
      <c r="A22" s="84" t="s">
        <v>86</v>
      </c>
      <c r="B22" s="53">
        <v>1</v>
      </c>
      <c r="C22" s="53"/>
      <c r="D22" s="53"/>
      <c r="E22" s="53"/>
      <c r="F22" s="11"/>
      <c r="G22" s="11"/>
      <c r="H22" s="11"/>
      <c r="I22" s="11"/>
      <c r="J22" s="95"/>
      <c r="K22" s="95"/>
      <c r="L22" s="54">
        <f t="shared" si="0"/>
        <v>0</v>
      </c>
      <c r="M22" s="92">
        <f t="shared" si="1"/>
        <v>0</v>
      </c>
      <c r="N22"/>
    </row>
    <row r="23" spans="1:20" ht="43.5" x14ac:dyDescent="0.35">
      <c r="A23" s="84" t="s">
        <v>87</v>
      </c>
      <c r="B23" s="53">
        <v>1</v>
      </c>
      <c r="C23" s="53"/>
      <c r="D23" s="53"/>
      <c r="E23" s="53"/>
      <c r="F23" s="11"/>
      <c r="G23" s="11"/>
      <c r="H23" s="11"/>
      <c r="I23" s="11"/>
      <c r="J23" s="95"/>
      <c r="K23" s="95"/>
      <c r="L23" s="54">
        <f t="shared" si="0"/>
        <v>0</v>
      </c>
      <c r="M23" s="92">
        <f t="shared" si="1"/>
        <v>0</v>
      </c>
      <c r="N23"/>
    </row>
    <row r="24" spans="1:20" ht="50" x14ac:dyDescent="0.35">
      <c r="A24" s="87" t="s">
        <v>77</v>
      </c>
      <c r="B24" s="53">
        <v>1</v>
      </c>
      <c r="C24" s="53"/>
      <c r="D24" s="53"/>
      <c r="E24" s="53"/>
      <c r="F24" s="11"/>
      <c r="G24" s="11"/>
      <c r="H24" s="11"/>
      <c r="I24" s="11"/>
      <c r="J24" s="95"/>
      <c r="K24" s="95"/>
      <c r="L24" s="54">
        <f t="shared" si="0"/>
        <v>0</v>
      </c>
      <c r="M24" s="92">
        <f t="shared" si="1"/>
        <v>0</v>
      </c>
      <c r="N24"/>
    </row>
    <row r="25" spans="1:20" ht="50" x14ac:dyDescent="0.35">
      <c r="A25" s="87" t="s">
        <v>78</v>
      </c>
      <c r="B25" s="53">
        <v>1</v>
      </c>
      <c r="C25" s="53"/>
      <c r="D25" s="53"/>
      <c r="E25" s="53"/>
      <c r="F25" s="11"/>
      <c r="G25" s="11"/>
      <c r="H25" s="11"/>
      <c r="I25" s="11"/>
      <c r="J25" s="95"/>
      <c r="K25" s="95"/>
      <c r="L25" s="54">
        <f t="shared" si="0"/>
        <v>0</v>
      </c>
      <c r="M25" s="92">
        <f t="shared" si="1"/>
        <v>0</v>
      </c>
      <c r="N25"/>
    </row>
    <row r="26" spans="1:20" ht="72.5" x14ac:dyDescent="0.35">
      <c r="A26" s="84" t="s">
        <v>79</v>
      </c>
      <c r="B26" s="53">
        <v>1</v>
      </c>
      <c r="C26" s="53"/>
      <c r="D26" s="53"/>
      <c r="E26" s="53"/>
      <c r="F26" s="11"/>
      <c r="G26" s="11"/>
      <c r="H26" s="11"/>
      <c r="I26" s="11"/>
      <c r="J26" s="95"/>
      <c r="K26" s="95"/>
      <c r="L26" s="54">
        <f t="shared" si="0"/>
        <v>0</v>
      </c>
      <c r="M26" s="92">
        <f t="shared" si="1"/>
        <v>0</v>
      </c>
      <c r="N26"/>
    </row>
    <row r="27" spans="1:20" ht="72.5" x14ac:dyDescent="0.35">
      <c r="A27" s="84" t="s">
        <v>80</v>
      </c>
      <c r="B27" s="53">
        <v>1</v>
      </c>
      <c r="C27" s="53"/>
      <c r="D27" s="53"/>
      <c r="E27" s="53"/>
      <c r="F27" s="11"/>
      <c r="G27" s="11"/>
      <c r="H27" s="11"/>
      <c r="I27" s="11"/>
      <c r="J27" s="95"/>
      <c r="K27" s="95"/>
      <c r="L27" s="54">
        <f t="shared" si="0"/>
        <v>0</v>
      </c>
      <c r="M27" s="92">
        <f t="shared" si="1"/>
        <v>0</v>
      </c>
      <c r="N27"/>
    </row>
    <row r="28" spans="1:20" x14ac:dyDescent="0.35">
      <c r="A28" s="87" t="s">
        <v>81</v>
      </c>
      <c r="B28" s="53">
        <v>1</v>
      </c>
      <c r="C28" s="53"/>
      <c r="D28" s="53"/>
      <c r="E28" s="53"/>
      <c r="F28" s="11"/>
      <c r="G28" s="11"/>
      <c r="H28" s="11"/>
      <c r="I28" s="11"/>
      <c r="J28" s="95"/>
      <c r="K28" s="95">
        <v>0.1</v>
      </c>
      <c r="L28" s="54">
        <f t="shared" si="0"/>
        <v>0</v>
      </c>
      <c r="M28" s="92">
        <f t="shared" si="1"/>
        <v>0</v>
      </c>
      <c r="N28"/>
      <c r="O28" s="3"/>
      <c r="P28" s="3"/>
      <c r="Q28" s="3"/>
      <c r="R28" s="3"/>
      <c r="S28" s="3"/>
      <c r="T28" s="3"/>
    </row>
    <row r="29" spans="1:20" ht="25" x14ac:dyDescent="0.35">
      <c r="A29" s="87" t="s">
        <v>82</v>
      </c>
      <c r="B29" s="53">
        <v>1</v>
      </c>
      <c r="C29" s="53"/>
      <c r="D29" s="53"/>
      <c r="E29" s="53"/>
      <c r="F29" s="11"/>
      <c r="G29" s="11"/>
      <c r="H29" s="11"/>
      <c r="I29" s="11"/>
      <c r="J29" s="95"/>
      <c r="K29" s="95">
        <v>0.1</v>
      </c>
      <c r="L29" s="54">
        <f t="shared" si="0"/>
        <v>0</v>
      </c>
      <c r="M29" s="92">
        <f t="shared" si="1"/>
        <v>0</v>
      </c>
      <c r="N29"/>
    </row>
    <row r="30" spans="1:20" x14ac:dyDescent="0.35">
      <c r="H30" s="2"/>
      <c r="I30" s="2"/>
      <c r="N30"/>
    </row>
    <row r="31" spans="1:20" x14ac:dyDescent="0.35">
      <c r="H31" s="2"/>
      <c r="I31" s="2"/>
      <c r="N31"/>
    </row>
    <row r="32" spans="1:20" x14ac:dyDescent="0.35">
      <c r="H32" s="2"/>
      <c r="I32" s="2"/>
    </row>
    <row r="33" spans="7:9" x14ac:dyDescent="0.35">
      <c r="G33" s="2"/>
      <c r="H33" s="2"/>
      <c r="I33" s="2"/>
    </row>
    <row r="34" spans="7:9" x14ac:dyDescent="0.35">
      <c r="H34" s="2"/>
      <c r="I34" s="2"/>
    </row>
    <row r="35" spans="7:9" x14ac:dyDescent="0.35">
      <c r="H35" s="2"/>
      <c r="I35" s="2"/>
    </row>
    <row r="36" spans="7:9" x14ac:dyDescent="0.35">
      <c r="H36" s="2"/>
      <c r="I36" s="2"/>
    </row>
    <row r="37" spans="7:9" x14ac:dyDescent="0.35">
      <c r="H37" s="2"/>
      <c r="I37" s="2"/>
    </row>
    <row r="38" spans="7:9" x14ac:dyDescent="0.35">
      <c r="H38" s="2"/>
      <c r="I38" s="2"/>
    </row>
    <row r="39" spans="7:9" x14ac:dyDescent="0.35">
      <c r="G39" s="2"/>
      <c r="H39" s="2"/>
      <c r="I39" s="2"/>
    </row>
    <row r="52" spans="1:1" x14ac:dyDescent="0.35">
      <c r="A52" s="86"/>
    </row>
    <row r="53" spans="1:1" x14ac:dyDescent="0.35">
      <c r="A53" s="85"/>
    </row>
    <row r="57" spans="1:1" x14ac:dyDescent="0.35">
      <c r="A57" s="84"/>
    </row>
  </sheetData>
  <mergeCells count="3">
    <mergeCell ref="N4:O4"/>
    <mergeCell ref="N2:O3"/>
    <mergeCell ref="J1:K2"/>
  </mergeCells>
  <conditionalFormatting sqref="M4:N29">
    <cfRule type="cellIs" dxfId="1" priority="1" operator="greaterThanOrEqual">
      <formula>1</formula>
    </cfRule>
    <cfRule type="cellIs" dxfId="0" priority="2" operator="greaterThanOrEqual">
      <formula>0.8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921C-BDAB-4E1F-9E15-DDD086F9BCA2}">
  <dimension ref="B1:C34"/>
  <sheetViews>
    <sheetView workbookViewId="0">
      <selection activeCell="B35" sqref="B35"/>
    </sheetView>
  </sheetViews>
  <sheetFormatPr defaultRowHeight="14.5" x14ac:dyDescent="0.35"/>
  <cols>
    <col min="2" max="2" width="20.81640625" customWidth="1"/>
  </cols>
  <sheetData>
    <row r="1" spans="2:3" ht="15" thickBot="1" x14ac:dyDescent="0.4"/>
    <row r="2" spans="2:3" ht="15" thickBot="1" x14ac:dyDescent="0.4">
      <c r="B2" s="128" t="s">
        <v>189</v>
      </c>
      <c r="C2" s="91" t="s">
        <v>211</v>
      </c>
    </row>
    <row r="3" spans="2:3" x14ac:dyDescent="0.35">
      <c r="B3" s="127" t="s">
        <v>155</v>
      </c>
    </row>
    <row r="4" spans="2:3" x14ac:dyDescent="0.35">
      <c r="B4" s="126" t="s">
        <v>161</v>
      </c>
    </row>
    <row r="5" spans="2:3" x14ac:dyDescent="0.35">
      <c r="B5" s="126" t="s">
        <v>190</v>
      </c>
    </row>
    <row r="6" spans="2:3" x14ac:dyDescent="0.35">
      <c r="B6" s="126" t="s">
        <v>186</v>
      </c>
    </row>
    <row r="7" spans="2:3" x14ac:dyDescent="0.35">
      <c r="B7" s="126" t="s">
        <v>191</v>
      </c>
    </row>
    <row r="8" spans="2:3" x14ac:dyDescent="0.35">
      <c r="B8" s="126" t="s">
        <v>192</v>
      </c>
    </row>
    <row r="9" spans="2:3" x14ac:dyDescent="0.35">
      <c r="B9" s="126" t="s">
        <v>162</v>
      </c>
    </row>
    <row r="10" spans="2:3" x14ac:dyDescent="0.35">
      <c r="B10" s="126" t="s">
        <v>164</v>
      </c>
    </row>
    <row r="11" spans="2:3" x14ac:dyDescent="0.35">
      <c r="B11" s="126" t="s">
        <v>168</v>
      </c>
    </row>
    <row r="12" spans="2:3" x14ac:dyDescent="0.35">
      <c r="B12" s="126" t="s">
        <v>193</v>
      </c>
    </row>
    <row r="13" spans="2:3" x14ac:dyDescent="0.35">
      <c r="B13" s="126" t="s">
        <v>185</v>
      </c>
    </row>
    <row r="14" spans="2:3" x14ac:dyDescent="0.35">
      <c r="B14" s="126" t="s">
        <v>194</v>
      </c>
    </row>
    <row r="15" spans="2:3" x14ac:dyDescent="0.35">
      <c r="B15" s="126" t="s">
        <v>195</v>
      </c>
    </row>
    <row r="16" spans="2:3" x14ac:dyDescent="0.35">
      <c r="B16" s="126" t="s">
        <v>169</v>
      </c>
    </row>
    <row r="17" spans="2:2" x14ac:dyDescent="0.35">
      <c r="B17" s="126" t="s">
        <v>196</v>
      </c>
    </row>
    <row r="18" spans="2:2" x14ac:dyDescent="0.35">
      <c r="B18" s="126" t="s">
        <v>197</v>
      </c>
    </row>
    <row r="19" spans="2:2" x14ac:dyDescent="0.35">
      <c r="B19" s="126" t="s">
        <v>163</v>
      </c>
    </row>
    <row r="20" spans="2:2" x14ac:dyDescent="0.35">
      <c r="B20" s="126" t="s">
        <v>198</v>
      </c>
    </row>
    <row r="21" spans="2:2" x14ac:dyDescent="0.35">
      <c r="B21" s="126" t="s">
        <v>199</v>
      </c>
    </row>
    <row r="22" spans="2:2" x14ac:dyDescent="0.35">
      <c r="B22" s="126" t="s">
        <v>170</v>
      </c>
    </row>
    <row r="23" spans="2:2" x14ac:dyDescent="0.35">
      <c r="B23" s="126" t="s">
        <v>200</v>
      </c>
    </row>
    <row r="24" spans="2:2" x14ac:dyDescent="0.35">
      <c r="B24" s="126" t="s">
        <v>201</v>
      </c>
    </row>
    <row r="25" spans="2:2" x14ac:dyDescent="0.35">
      <c r="B25" s="126" t="s">
        <v>202</v>
      </c>
    </row>
    <row r="26" spans="2:2" x14ac:dyDescent="0.35">
      <c r="B26" s="126" t="s">
        <v>203</v>
      </c>
    </row>
    <row r="27" spans="2:2" x14ac:dyDescent="0.35">
      <c r="B27" s="126" t="s">
        <v>204</v>
      </c>
    </row>
    <row r="28" spans="2:2" x14ac:dyDescent="0.35">
      <c r="B28" s="126" t="s">
        <v>205</v>
      </c>
    </row>
    <row r="29" spans="2:2" x14ac:dyDescent="0.35">
      <c r="B29" s="126" t="s">
        <v>171</v>
      </c>
    </row>
    <row r="30" spans="2:2" x14ac:dyDescent="0.35">
      <c r="B30" s="126" t="s">
        <v>206</v>
      </c>
    </row>
    <row r="31" spans="2:2" x14ac:dyDescent="0.35">
      <c r="B31" s="126" t="s">
        <v>207</v>
      </c>
    </row>
    <row r="32" spans="2:2" x14ac:dyDescent="0.35">
      <c r="B32" s="126" t="s">
        <v>208</v>
      </c>
    </row>
    <row r="33" spans="2:2" x14ac:dyDescent="0.35">
      <c r="B33" s="126" t="s">
        <v>209</v>
      </c>
    </row>
    <row r="34" spans="2:2" x14ac:dyDescent="0.35">
      <c r="B34" s="126" t="s">
        <v>210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workbookViewId="0">
      <selection activeCell="G2" sqref="G2"/>
    </sheetView>
  </sheetViews>
  <sheetFormatPr defaultRowHeight="12.5" x14ac:dyDescent="0.25"/>
  <cols>
    <col min="1" max="1" width="10.26953125" style="14" customWidth="1"/>
    <col min="2" max="2" width="8.7265625" style="14" customWidth="1"/>
    <col min="3" max="3" width="3.7265625" style="14" customWidth="1"/>
    <col min="4" max="4" width="11" style="14" customWidth="1"/>
    <col min="5" max="5" width="9.81640625" style="14" customWidth="1"/>
    <col min="6" max="11" width="9.1796875" style="14"/>
    <col min="12" max="12" width="10.453125" style="14" customWidth="1"/>
    <col min="13" max="13" width="10.7265625" style="14" customWidth="1"/>
    <col min="14" max="21" width="9.1796875" style="14"/>
    <col min="22" max="22" width="41.54296875" style="56" customWidth="1"/>
    <col min="23" max="23" width="9.1796875" style="58"/>
    <col min="24" max="257" width="9.1796875" style="14"/>
    <col min="258" max="258" width="10.26953125" style="14" customWidth="1"/>
    <col min="259" max="259" width="8.7265625" style="14" customWidth="1"/>
    <col min="260" max="260" width="3.7265625" style="14" customWidth="1"/>
    <col min="261" max="261" width="8.26953125" style="14" customWidth="1"/>
    <col min="262" max="262" width="9.81640625" style="14" customWidth="1"/>
    <col min="263" max="268" width="9.1796875" style="14"/>
    <col min="269" max="269" width="10.453125" style="14" customWidth="1"/>
    <col min="270" max="270" width="10.7265625" style="14" customWidth="1"/>
    <col min="271" max="513" width="9.1796875" style="14"/>
    <col min="514" max="514" width="10.26953125" style="14" customWidth="1"/>
    <col min="515" max="515" width="8.7265625" style="14" customWidth="1"/>
    <col min="516" max="516" width="3.7265625" style="14" customWidth="1"/>
    <col min="517" max="517" width="8.26953125" style="14" customWidth="1"/>
    <col min="518" max="518" width="9.81640625" style="14" customWidth="1"/>
    <col min="519" max="524" width="9.1796875" style="14"/>
    <col min="525" max="525" width="10.453125" style="14" customWidth="1"/>
    <col min="526" max="526" width="10.7265625" style="14" customWidth="1"/>
    <col min="527" max="769" width="9.1796875" style="14"/>
    <col min="770" max="770" width="10.26953125" style="14" customWidth="1"/>
    <col min="771" max="771" width="8.7265625" style="14" customWidth="1"/>
    <col min="772" max="772" width="3.7265625" style="14" customWidth="1"/>
    <col min="773" max="773" width="8.26953125" style="14" customWidth="1"/>
    <col min="774" max="774" width="9.81640625" style="14" customWidth="1"/>
    <col min="775" max="780" width="9.1796875" style="14"/>
    <col min="781" max="781" width="10.453125" style="14" customWidth="1"/>
    <col min="782" max="782" width="10.7265625" style="14" customWidth="1"/>
    <col min="783" max="1025" width="9.1796875" style="14"/>
    <col min="1026" max="1026" width="10.26953125" style="14" customWidth="1"/>
    <col min="1027" max="1027" width="8.7265625" style="14" customWidth="1"/>
    <col min="1028" max="1028" width="3.7265625" style="14" customWidth="1"/>
    <col min="1029" max="1029" width="8.26953125" style="14" customWidth="1"/>
    <col min="1030" max="1030" width="9.81640625" style="14" customWidth="1"/>
    <col min="1031" max="1036" width="9.1796875" style="14"/>
    <col min="1037" max="1037" width="10.453125" style="14" customWidth="1"/>
    <col min="1038" max="1038" width="10.7265625" style="14" customWidth="1"/>
    <col min="1039" max="1281" width="9.1796875" style="14"/>
    <col min="1282" max="1282" width="10.26953125" style="14" customWidth="1"/>
    <col min="1283" max="1283" width="8.7265625" style="14" customWidth="1"/>
    <col min="1284" max="1284" width="3.7265625" style="14" customWidth="1"/>
    <col min="1285" max="1285" width="8.26953125" style="14" customWidth="1"/>
    <col min="1286" max="1286" width="9.81640625" style="14" customWidth="1"/>
    <col min="1287" max="1292" width="9.1796875" style="14"/>
    <col min="1293" max="1293" width="10.453125" style="14" customWidth="1"/>
    <col min="1294" max="1294" width="10.7265625" style="14" customWidth="1"/>
    <col min="1295" max="1537" width="9.1796875" style="14"/>
    <col min="1538" max="1538" width="10.26953125" style="14" customWidth="1"/>
    <col min="1539" max="1539" width="8.7265625" style="14" customWidth="1"/>
    <col min="1540" max="1540" width="3.7265625" style="14" customWidth="1"/>
    <col min="1541" max="1541" width="8.26953125" style="14" customWidth="1"/>
    <col min="1542" max="1542" width="9.81640625" style="14" customWidth="1"/>
    <col min="1543" max="1548" width="9.1796875" style="14"/>
    <col min="1549" max="1549" width="10.453125" style="14" customWidth="1"/>
    <col min="1550" max="1550" width="10.7265625" style="14" customWidth="1"/>
    <col min="1551" max="1793" width="9.1796875" style="14"/>
    <col min="1794" max="1794" width="10.26953125" style="14" customWidth="1"/>
    <col min="1795" max="1795" width="8.7265625" style="14" customWidth="1"/>
    <col min="1796" max="1796" width="3.7265625" style="14" customWidth="1"/>
    <col min="1797" max="1797" width="8.26953125" style="14" customWidth="1"/>
    <col min="1798" max="1798" width="9.81640625" style="14" customWidth="1"/>
    <col min="1799" max="1804" width="9.1796875" style="14"/>
    <col min="1805" max="1805" width="10.453125" style="14" customWidth="1"/>
    <col min="1806" max="1806" width="10.7265625" style="14" customWidth="1"/>
    <col min="1807" max="2049" width="9.1796875" style="14"/>
    <col min="2050" max="2050" width="10.26953125" style="14" customWidth="1"/>
    <col min="2051" max="2051" width="8.7265625" style="14" customWidth="1"/>
    <col min="2052" max="2052" width="3.7265625" style="14" customWidth="1"/>
    <col min="2053" max="2053" width="8.26953125" style="14" customWidth="1"/>
    <col min="2054" max="2054" width="9.81640625" style="14" customWidth="1"/>
    <col min="2055" max="2060" width="9.1796875" style="14"/>
    <col min="2061" max="2061" width="10.453125" style="14" customWidth="1"/>
    <col min="2062" max="2062" width="10.7265625" style="14" customWidth="1"/>
    <col min="2063" max="2305" width="9.1796875" style="14"/>
    <col min="2306" max="2306" width="10.26953125" style="14" customWidth="1"/>
    <col min="2307" max="2307" width="8.7265625" style="14" customWidth="1"/>
    <col min="2308" max="2308" width="3.7265625" style="14" customWidth="1"/>
    <col min="2309" max="2309" width="8.26953125" style="14" customWidth="1"/>
    <col min="2310" max="2310" width="9.81640625" style="14" customWidth="1"/>
    <col min="2311" max="2316" width="9.1796875" style="14"/>
    <col min="2317" max="2317" width="10.453125" style="14" customWidth="1"/>
    <col min="2318" max="2318" width="10.7265625" style="14" customWidth="1"/>
    <col min="2319" max="2561" width="9.1796875" style="14"/>
    <col min="2562" max="2562" width="10.26953125" style="14" customWidth="1"/>
    <col min="2563" max="2563" width="8.7265625" style="14" customWidth="1"/>
    <col min="2564" max="2564" width="3.7265625" style="14" customWidth="1"/>
    <col min="2565" max="2565" width="8.26953125" style="14" customWidth="1"/>
    <col min="2566" max="2566" width="9.81640625" style="14" customWidth="1"/>
    <col min="2567" max="2572" width="9.1796875" style="14"/>
    <col min="2573" max="2573" width="10.453125" style="14" customWidth="1"/>
    <col min="2574" max="2574" width="10.7265625" style="14" customWidth="1"/>
    <col min="2575" max="2817" width="9.1796875" style="14"/>
    <col min="2818" max="2818" width="10.26953125" style="14" customWidth="1"/>
    <col min="2819" max="2819" width="8.7265625" style="14" customWidth="1"/>
    <col min="2820" max="2820" width="3.7265625" style="14" customWidth="1"/>
    <col min="2821" max="2821" width="8.26953125" style="14" customWidth="1"/>
    <col min="2822" max="2822" width="9.81640625" style="14" customWidth="1"/>
    <col min="2823" max="2828" width="9.1796875" style="14"/>
    <col min="2829" max="2829" width="10.453125" style="14" customWidth="1"/>
    <col min="2830" max="2830" width="10.7265625" style="14" customWidth="1"/>
    <col min="2831" max="3073" width="9.1796875" style="14"/>
    <col min="3074" max="3074" width="10.26953125" style="14" customWidth="1"/>
    <col min="3075" max="3075" width="8.7265625" style="14" customWidth="1"/>
    <col min="3076" max="3076" width="3.7265625" style="14" customWidth="1"/>
    <col min="3077" max="3077" width="8.26953125" style="14" customWidth="1"/>
    <col min="3078" max="3078" width="9.81640625" style="14" customWidth="1"/>
    <col min="3079" max="3084" width="9.1796875" style="14"/>
    <col min="3085" max="3085" width="10.453125" style="14" customWidth="1"/>
    <col min="3086" max="3086" width="10.7265625" style="14" customWidth="1"/>
    <col min="3087" max="3329" width="9.1796875" style="14"/>
    <col min="3330" max="3330" width="10.26953125" style="14" customWidth="1"/>
    <col min="3331" max="3331" width="8.7265625" style="14" customWidth="1"/>
    <col min="3332" max="3332" width="3.7265625" style="14" customWidth="1"/>
    <col min="3333" max="3333" width="8.26953125" style="14" customWidth="1"/>
    <col min="3334" max="3334" width="9.81640625" style="14" customWidth="1"/>
    <col min="3335" max="3340" width="9.1796875" style="14"/>
    <col min="3341" max="3341" width="10.453125" style="14" customWidth="1"/>
    <col min="3342" max="3342" width="10.7265625" style="14" customWidth="1"/>
    <col min="3343" max="3585" width="9.1796875" style="14"/>
    <col min="3586" max="3586" width="10.26953125" style="14" customWidth="1"/>
    <col min="3587" max="3587" width="8.7265625" style="14" customWidth="1"/>
    <col min="3588" max="3588" width="3.7265625" style="14" customWidth="1"/>
    <col min="3589" max="3589" width="8.26953125" style="14" customWidth="1"/>
    <col min="3590" max="3590" width="9.81640625" style="14" customWidth="1"/>
    <col min="3591" max="3596" width="9.1796875" style="14"/>
    <col min="3597" max="3597" width="10.453125" style="14" customWidth="1"/>
    <col min="3598" max="3598" width="10.7265625" style="14" customWidth="1"/>
    <col min="3599" max="3841" width="9.1796875" style="14"/>
    <col min="3842" max="3842" width="10.26953125" style="14" customWidth="1"/>
    <col min="3843" max="3843" width="8.7265625" style="14" customWidth="1"/>
    <col min="3844" max="3844" width="3.7265625" style="14" customWidth="1"/>
    <col min="3845" max="3845" width="8.26953125" style="14" customWidth="1"/>
    <col min="3846" max="3846" width="9.81640625" style="14" customWidth="1"/>
    <col min="3847" max="3852" width="9.1796875" style="14"/>
    <col min="3853" max="3853" width="10.453125" style="14" customWidth="1"/>
    <col min="3854" max="3854" width="10.7265625" style="14" customWidth="1"/>
    <col min="3855" max="4097" width="9.1796875" style="14"/>
    <col min="4098" max="4098" width="10.26953125" style="14" customWidth="1"/>
    <col min="4099" max="4099" width="8.7265625" style="14" customWidth="1"/>
    <col min="4100" max="4100" width="3.7265625" style="14" customWidth="1"/>
    <col min="4101" max="4101" width="8.26953125" style="14" customWidth="1"/>
    <col min="4102" max="4102" width="9.81640625" style="14" customWidth="1"/>
    <col min="4103" max="4108" width="9.1796875" style="14"/>
    <col min="4109" max="4109" width="10.453125" style="14" customWidth="1"/>
    <col min="4110" max="4110" width="10.7265625" style="14" customWidth="1"/>
    <col min="4111" max="4353" width="9.1796875" style="14"/>
    <col min="4354" max="4354" width="10.26953125" style="14" customWidth="1"/>
    <col min="4355" max="4355" width="8.7265625" style="14" customWidth="1"/>
    <col min="4356" max="4356" width="3.7265625" style="14" customWidth="1"/>
    <col min="4357" max="4357" width="8.26953125" style="14" customWidth="1"/>
    <col min="4358" max="4358" width="9.81640625" style="14" customWidth="1"/>
    <col min="4359" max="4364" width="9.1796875" style="14"/>
    <col min="4365" max="4365" width="10.453125" style="14" customWidth="1"/>
    <col min="4366" max="4366" width="10.7265625" style="14" customWidth="1"/>
    <col min="4367" max="4609" width="9.1796875" style="14"/>
    <col min="4610" max="4610" width="10.26953125" style="14" customWidth="1"/>
    <col min="4611" max="4611" width="8.7265625" style="14" customWidth="1"/>
    <col min="4612" max="4612" width="3.7265625" style="14" customWidth="1"/>
    <col min="4613" max="4613" width="8.26953125" style="14" customWidth="1"/>
    <col min="4614" max="4614" width="9.81640625" style="14" customWidth="1"/>
    <col min="4615" max="4620" width="9.1796875" style="14"/>
    <col min="4621" max="4621" width="10.453125" style="14" customWidth="1"/>
    <col min="4622" max="4622" width="10.7265625" style="14" customWidth="1"/>
    <col min="4623" max="4865" width="9.1796875" style="14"/>
    <col min="4866" max="4866" width="10.26953125" style="14" customWidth="1"/>
    <col min="4867" max="4867" width="8.7265625" style="14" customWidth="1"/>
    <col min="4868" max="4868" width="3.7265625" style="14" customWidth="1"/>
    <col min="4869" max="4869" width="8.26953125" style="14" customWidth="1"/>
    <col min="4870" max="4870" width="9.81640625" style="14" customWidth="1"/>
    <col min="4871" max="4876" width="9.1796875" style="14"/>
    <col min="4877" max="4877" width="10.453125" style="14" customWidth="1"/>
    <col min="4878" max="4878" width="10.7265625" style="14" customWidth="1"/>
    <col min="4879" max="5121" width="9.1796875" style="14"/>
    <col min="5122" max="5122" width="10.26953125" style="14" customWidth="1"/>
    <col min="5123" max="5123" width="8.7265625" style="14" customWidth="1"/>
    <col min="5124" max="5124" width="3.7265625" style="14" customWidth="1"/>
    <col min="5125" max="5125" width="8.26953125" style="14" customWidth="1"/>
    <col min="5126" max="5126" width="9.81640625" style="14" customWidth="1"/>
    <col min="5127" max="5132" width="9.1796875" style="14"/>
    <col min="5133" max="5133" width="10.453125" style="14" customWidth="1"/>
    <col min="5134" max="5134" width="10.7265625" style="14" customWidth="1"/>
    <col min="5135" max="5377" width="9.1796875" style="14"/>
    <col min="5378" max="5378" width="10.26953125" style="14" customWidth="1"/>
    <col min="5379" max="5379" width="8.7265625" style="14" customWidth="1"/>
    <col min="5380" max="5380" width="3.7265625" style="14" customWidth="1"/>
    <col min="5381" max="5381" width="8.26953125" style="14" customWidth="1"/>
    <col min="5382" max="5382" width="9.81640625" style="14" customWidth="1"/>
    <col min="5383" max="5388" width="9.1796875" style="14"/>
    <col min="5389" max="5389" width="10.453125" style="14" customWidth="1"/>
    <col min="5390" max="5390" width="10.7265625" style="14" customWidth="1"/>
    <col min="5391" max="5633" width="9.1796875" style="14"/>
    <col min="5634" max="5634" width="10.26953125" style="14" customWidth="1"/>
    <col min="5635" max="5635" width="8.7265625" style="14" customWidth="1"/>
    <col min="5636" max="5636" width="3.7265625" style="14" customWidth="1"/>
    <col min="5637" max="5637" width="8.26953125" style="14" customWidth="1"/>
    <col min="5638" max="5638" width="9.81640625" style="14" customWidth="1"/>
    <col min="5639" max="5644" width="9.1796875" style="14"/>
    <col min="5645" max="5645" width="10.453125" style="14" customWidth="1"/>
    <col min="5646" max="5646" width="10.7265625" style="14" customWidth="1"/>
    <col min="5647" max="5889" width="9.1796875" style="14"/>
    <col min="5890" max="5890" width="10.26953125" style="14" customWidth="1"/>
    <col min="5891" max="5891" width="8.7265625" style="14" customWidth="1"/>
    <col min="5892" max="5892" width="3.7265625" style="14" customWidth="1"/>
    <col min="5893" max="5893" width="8.26953125" style="14" customWidth="1"/>
    <col min="5894" max="5894" width="9.81640625" style="14" customWidth="1"/>
    <col min="5895" max="5900" width="9.1796875" style="14"/>
    <col min="5901" max="5901" width="10.453125" style="14" customWidth="1"/>
    <col min="5902" max="5902" width="10.7265625" style="14" customWidth="1"/>
    <col min="5903" max="6145" width="9.1796875" style="14"/>
    <col min="6146" max="6146" width="10.26953125" style="14" customWidth="1"/>
    <col min="6147" max="6147" width="8.7265625" style="14" customWidth="1"/>
    <col min="6148" max="6148" width="3.7265625" style="14" customWidth="1"/>
    <col min="6149" max="6149" width="8.26953125" style="14" customWidth="1"/>
    <col min="6150" max="6150" width="9.81640625" style="14" customWidth="1"/>
    <col min="6151" max="6156" width="9.1796875" style="14"/>
    <col min="6157" max="6157" width="10.453125" style="14" customWidth="1"/>
    <col min="6158" max="6158" width="10.7265625" style="14" customWidth="1"/>
    <col min="6159" max="6401" width="9.1796875" style="14"/>
    <col min="6402" max="6402" width="10.26953125" style="14" customWidth="1"/>
    <col min="6403" max="6403" width="8.7265625" style="14" customWidth="1"/>
    <col min="6404" max="6404" width="3.7265625" style="14" customWidth="1"/>
    <col min="6405" max="6405" width="8.26953125" style="14" customWidth="1"/>
    <col min="6406" max="6406" width="9.81640625" style="14" customWidth="1"/>
    <col min="6407" max="6412" width="9.1796875" style="14"/>
    <col min="6413" max="6413" width="10.453125" style="14" customWidth="1"/>
    <col min="6414" max="6414" width="10.7265625" style="14" customWidth="1"/>
    <col min="6415" max="6657" width="9.1796875" style="14"/>
    <col min="6658" max="6658" width="10.26953125" style="14" customWidth="1"/>
    <col min="6659" max="6659" width="8.7265625" style="14" customWidth="1"/>
    <col min="6660" max="6660" width="3.7265625" style="14" customWidth="1"/>
    <col min="6661" max="6661" width="8.26953125" style="14" customWidth="1"/>
    <col min="6662" max="6662" width="9.81640625" style="14" customWidth="1"/>
    <col min="6663" max="6668" width="9.1796875" style="14"/>
    <col min="6669" max="6669" width="10.453125" style="14" customWidth="1"/>
    <col min="6670" max="6670" width="10.7265625" style="14" customWidth="1"/>
    <col min="6671" max="6913" width="9.1796875" style="14"/>
    <col min="6914" max="6914" width="10.26953125" style="14" customWidth="1"/>
    <col min="6915" max="6915" width="8.7265625" style="14" customWidth="1"/>
    <col min="6916" max="6916" width="3.7265625" style="14" customWidth="1"/>
    <col min="6917" max="6917" width="8.26953125" style="14" customWidth="1"/>
    <col min="6918" max="6918" width="9.81640625" style="14" customWidth="1"/>
    <col min="6919" max="6924" width="9.1796875" style="14"/>
    <col min="6925" max="6925" width="10.453125" style="14" customWidth="1"/>
    <col min="6926" max="6926" width="10.7265625" style="14" customWidth="1"/>
    <col min="6927" max="7169" width="9.1796875" style="14"/>
    <col min="7170" max="7170" width="10.26953125" style="14" customWidth="1"/>
    <col min="7171" max="7171" width="8.7265625" style="14" customWidth="1"/>
    <col min="7172" max="7172" width="3.7265625" style="14" customWidth="1"/>
    <col min="7173" max="7173" width="8.26953125" style="14" customWidth="1"/>
    <col min="7174" max="7174" width="9.81640625" style="14" customWidth="1"/>
    <col min="7175" max="7180" width="9.1796875" style="14"/>
    <col min="7181" max="7181" width="10.453125" style="14" customWidth="1"/>
    <col min="7182" max="7182" width="10.7265625" style="14" customWidth="1"/>
    <col min="7183" max="7425" width="9.1796875" style="14"/>
    <col min="7426" max="7426" width="10.26953125" style="14" customWidth="1"/>
    <col min="7427" max="7427" width="8.7265625" style="14" customWidth="1"/>
    <col min="7428" max="7428" width="3.7265625" style="14" customWidth="1"/>
    <col min="7429" max="7429" width="8.26953125" style="14" customWidth="1"/>
    <col min="7430" max="7430" width="9.81640625" style="14" customWidth="1"/>
    <col min="7431" max="7436" width="9.1796875" style="14"/>
    <col min="7437" max="7437" width="10.453125" style="14" customWidth="1"/>
    <col min="7438" max="7438" width="10.7265625" style="14" customWidth="1"/>
    <col min="7439" max="7681" width="9.1796875" style="14"/>
    <col min="7682" max="7682" width="10.26953125" style="14" customWidth="1"/>
    <col min="7683" max="7683" width="8.7265625" style="14" customWidth="1"/>
    <col min="7684" max="7684" width="3.7265625" style="14" customWidth="1"/>
    <col min="7685" max="7685" width="8.26953125" style="14" customWidth="1"/>
    <col min="7686" max="7686" width="9.81640625" style="14" customWidth="1"/>
    <col min="7687" max="7692" width="9.1796875" style="14"/>
    <col min="7693" max="7693" width="10.453125" style="14" customWidth="1"/>
    <col min="7694" max="7694" width="10.7265625" style="14" customWidth="1"/>
    <col min="7695" max="7937" width="9.1796875" style="14"/>
    <col min="7938" max="7938" width="10.26953125" style="14" customWidth="1"/>
    <col min="7939" max="7939" width="8.7265625" style="14" customWidth="1"/>
    <col min="7940" max="7940" width="3.7265625" style="14" customWidth="1"/>
    <col min="7941" max="7941" width="8.26953125" style="14" customWidth="1"/>
    <col min="7942" max="7942" width="9.81640625" style="14" customWidth="1"/>
    <col min="7943" max="7948" width="9.1796875" style="14"/>
    <col min="7949" max="7949" width="10.453125" style="14" customWidth="1"/>
    <col min="7950" max="7950" width="10.7265625" style="14" customWidth="1"/>
    <col min="7951" max="8193" width="9.1796875" style="14"/>
    <col min="8194" max="8194" width="10.26953125" style="14" customWidth="1"/>
    <col min="8195" max="8195" width="8.7265625" style="14" customWidth="1"/>
    <col min="8196" max="8196" width="3.7265625" style="14" customWidth="1"/>
    <col min="8197" max="8197" width="8.26953125" style="14" customWidth="1"/>
    <col min="8198" max="8198" width="9.81640625" style="14" customWidth="1"/>
    <col min="8199" max="8204" width="9.1796875" style="14"/>
    <col min="8205" max="8205" width="10.453125" style="14" customWidth="1"/>
    <col min="8206" max="8206" width="10.7265625" style="14" customWidth="1"/>
    <col min="8207" max="8449" width="9.1796875" style="14"/>
    <col min="8450" max="8450" width="10.26953125" style="14" customWidth="1"/>
    <col min="8451" max="8451" width="8.7265625" style="14" customWidth="1"/>
    <col min="8452" max="8452" width="3.7265625" style="14" customWidth="1"/>
    <col min="8453" max="8453" width="8.26953125" style="14" customWidth="1"/>
    <col min="8454" max="8454" width="9.81640625" style="14" customWidth="1"/>
    <col min="8455" max="8460" width="9.1796875" style="14"/>
    <col min="8461" max="8461" width="10.453125" style="14" customWidth="1"/>
    <col min="8462" max="8462" width="10.7265625" style="14" customWidth="1"/>
    <col min="8463" max="8705" width="9.1796875" style="14"/>
    <col min="8706" max="8706" width="10.26953125" style="14" customWidth="1"/>
    <col min="8707" max="8707" width="8.7265625" style="14" customWidth="1"/>
    <col min="8708" max="8708" width="3.7265625" style="14" customWidth="1"/>
    <col min="8709" max="8709" width="8.26953125" style="14" customWidth="1"/>
    <col min="8710" max="8710" width="9.81640625" style="14" customWidth="1"/>
    <col min="8711" max="8716" width="9.1796875" style="14"/>
    <col min="8717" max="8717" width="10.453125" style="14" customWidth="1"/>
    <col min="8718" max="8718" width="10.7265625" style="14" customWidth="1"/>
    <col min="8719" max="8961" width="9.1796875" style="14"/>
    <col min="8962" max="8962" width="10.26953125" style="14" customWidth="1"/>
    <col min="8963" max="8963" width="8.7265625" style="14" customWidth="1"/>
    <col min="8964" max="8964" width="3.7265625" style="14" customWidth="1"/>
    <col min="8965" max="8965" width="8.26953125" style="14" customWidth="1"/>
    <col min="8966" max="8966" width="9.81640625" style="14" customWidth="1"/>
    <col min="8967" max="8972" width="9.1796875" style="14"/>
    <col min="8973" max="8973" width="10.453125" style="14" customWidth="1"/>
    <col min="8974" max="8974" width="10.7265625" style="14" customWidth="1"/>
    <col min="8975" max="9217" width="9.1796875" style="14"/>
    <col min="9218" max="9218" width="10.26953125" style="14" customWidth="1"/>
    <col min="9219" max="9219" width="8.7265625" style="14" customWidth="1"/>
    <col min="9220" max="9220" width="3.7265625" style="14" customWidth="1"/>
    <col min="9221" max="9221" width="8.26953125" style="14" customWidth="1"/>
    <col min="9222" max="9222" width="9.81640625" style="14" customWidth="1"/>
    <col min="9223" max="9228" width="9.1796875" style="14"/>
    <col min="9229" max="9229" width="10.453125" style="14" customWidth="1"/>
    <col min="9230" max="9230" width="10.7265625" style="14" customWidth="1"/>
    <col min="9231" max="9473" width="9.1796875" style="14"/>
    <col min="9474" max="9474" width="10.26953125" style="14" customWidth="1"/>
    <col min="9475" max="9475" width="8.7265625" style="14" customWidth="1"/>
    <col min="9476" max="9476" width="3.7265625" style="14" customWidth="1"/>
    <col min="9477" max="9477" width="8.26953125" style="14" customWidth="1"/>
    <col min="9478" max="9478" width="9.81640625" style="14" customWidth="1"/>
    <col min="9479" max="9484" width="9.1796875" style="14"/>
    <col min="9485" max="9485" width="10.453125" style="14" customWidth="1"/>
    <col min="9486" max="9486" width="10.7265625" style="14" customWidth="1"/>
    <col min="9487" max="9729" width="9.1796875" style="14"/>
    <col min="9730" max="9730" width="10.26953125" style="14" customWidth="1"/>
    <col min="9731" max="9731" width="8.7265625" style="14" customWidth="1"/>
    <col min="9732" max="9732" width="3.7265625" style="14" customWidth="1"/>
    <col min="9733" max="9733" width="8.26953125" style="14" customWidth="1"/>
    <col min="9734" max="9734" width="9.81640625" style="14" customWidth="1"/>
    <col min="9735" max="9740" width="9.1796875" style="14"/>
    <col min="9741" max="9741" width="10.453125" style="14" customWidth="1"/>
    <col min="9742" max="9742" width="10.7265625" style="14" customWidth="1"/>
    <col min="9743" max="9985" width="9.1796875" style="14"/>
    <col min="9986" max="9986" width="10.26953125" style="14" customWidth="1"/>
    <col min="9987" max="9987" width="8.7265625" style="14" customWidth="1"/>
    <col min="9988" max="9988" width="3.7265625" style="14" customWidth="1"/>
    <col min="9989" max="9989" width="8.26953125" style="14" customWidth="1"/>
    <col min="9990" max="9990" width="9.81640625" style="14" customWidth="1"/>
    <col min="9991" max="9996" width="9.1796875" style="14"/>
    <col min="9997" max="9997" width="10.453125" style="14" customWidth="1"/>
    <col min="9998" max="9998" width="10.7265625" style="14" customWidth="1"/>
    <col min="9999" max="10241" width="9.1796875" style="14"/>
    <col min="10242" max="10242" width="10.26953125" style="14" customWidth="1"/>
    <col min="10243" max="10243" width="8.7265625" style="14" customWidth="1"/>
    <col min="10244" max="10244" width="3.7265625" style="14" customWidth="1"/>
    <col min="10245" max="10245" width="8.26953125" style="14" customWidth="1"/>
    <col min="10246" max="10246" width="9.81640625" style="14" customWidth="1"/>
    <col min="10247" max="10252" width="9.1796875" style="14"/>
    <col min="10253" max="10253" width="10.453125" style="14" customWidth="1"/>
    <col min="10254" max="10254" width="10.7265625" style="14" customWidth="1"/>
    <col min="10255" max="10497" width="9.1796875" style="14"/>
    <col min="10498" max="10498" width="10.26953125" style="14" customWidth="1"/>
    <col min="10499" max="10499" width="8.7265625" style="14" customWidth="1"/>
    <col min="10500" max="10500" width="3.7265625" style="14" customWidth="1"/>
    <col min="10501" max="10501" width="8.26953125" style="14" customWidth="1"/>
    <col min="10502" max="10502" width="9.81640625" style="14" customWidth="1"/>
    <col min="10503" max="10508" width="9.1796875" style="14"/>
    <col min="10509" max="10509" width="10.453125" style="14" customWidth="1"/>
    <col min="10510" max="10510" width="10.7265625" style="14" customWidth="1"/>
    <col min="10511" max="10753" width="9.1796875" style="14"/>
    <col min="10754" max="10754" width="10.26953125" style="14" customWidth="1"/>
    <col min="10755" max="10755" width="8.7265625" style="14" customWidth="1"/>
    <col min="10756" max="10756" width="3.7265625" style="14" customWidth="1"/>
    <col min="10757" max="10757" width="8.26953125" style="14" customWidth="1"/>
    <col min="10758" max="10758" width="9.81640625" style="14" customWidth="1"/>
    <col min="10759" max="10764" width="9.1796875" style="14"/>
    <col min="10765" max="10765" width="10.453125" style="14" customWidth="1"/>
    <col min="10766" max="10766" width="10.7265625" style="14" customWidth="1"/>
    <col min="10767" max="11009" width="9.1796875" style="14"/>
    <col min="11010" max="11010" width="10.26953125" style="14" customWidth="1"/>
    <col min="11011" max="11011" width="8.7265625" style="14" customWidth="1"/>
    <col min="11012" max="11012" width="3.7265625" style="14" customWidth="1"/>
    <col min="11013" max="11013" width="8.26953125" style="14" customWidth="1"/>
    <col min="11014" max="11014" width="9.81640625" style="14" customWidth="1"/>
    <col min="11015" max="11020" width="9.1796875" style="14"/>
    <col min="11021" max="11021" width="10.453125" style="14" customWidth="1"/>
    <col min="11022" max="11022" width="10.7265625" style="14" customWidth="1"/>
    <col min="11023" max="11265" width="9.1796875" style="14"/>
    <col min="11266" max="11266" width="10.26953125" style="14" customWidth="1"/>
    <col min="11267" max="11267" width="8.7265625" style="14" customWidth="1"/>
    <col min="11268" max="11268" width="3.7265625" style="14" customWidth="1"/>
    <col min="11269" max="11269" width="8.26953125" style="14" customWidth="1"/>
    <col min="11270" max="11270" width="9.81640625" style="14" customWidth="1"/>
    <col min="11271" max="11276" width="9.1796875" style="14"/>
    <col min="11277" max="11277" width="10.453125" style="14" customWidth="1"/>
    <col min="11278" max="11278" width="10.7265625" style="14" customWidth="1"/>
    <col min="11279" max="11521" width="9.1796875" style="14"/>
    <col min="11522" max="11522" width="10.26953125" style="14" customWidth="1"/>
    <col min="11523" max="11523" width="8.7265625" style="14" customWidth="1"/>
    <col min="11524" max="11524" width="3.7265625" style="14" customWidth="1"/>
    <col min="11525" max="11525" width="8.26953125" style="14" customWidth="1"/>
    <col min="11526" max="11526" width="9.81640625" style="14" customWidth="1"/>
    <col min="11527" max="11532" width="9.1796875" style="14"/>
    <col min="11533" max="11533" width="10.453125" style="14" customWidth="1"/>
    <col min="11534" max="11534" width="10.7265625" style="14" customWidth="1"/>
    <col min="11535" max="11777" width="9.1796875" style="14"/>
    <col min="11778" max="11778" width="10.26953125" style="14" customWidth="1"/>
    <col min="11779" max="11779" width="8.7265625" style="14" customWidth="1"/>
    <col min="11780" max="11780" width="3.7265625" style="14" customWidth="1"/>
    <col min="11781" max="11781" width="8.26953125" style="14" customWidth="1"/>
    <col min="11782" max="11782" width="9.81640625" style="14" customWidth="1"/>
    <col min="11783" max="11788" width="9.1796875" style="14"/>
    <col min="11789" max="11789" width="10.453125" style="14" customWidth="1"/>
    <col min="11790" max="11790" width="10.7265625" style="14" customWidth="1"/>
    <col min="11791" max="12033" width="9.1796875" style="14"/>
    <col min="12034" max="12034" width="10.26953125" style="14" customWidth="1"/>
    <col min="12035" max="12035" width="8.7265625" style="14" customWidth="1"/>
    <col min="12036" max="12036" width="3.7265625" style="14" customWidth="1"/>
    <col min="12037" max="12037" width="8.26953125" style="14" customWidth="1"/>
    <col min="12038" max="12038" width="9.81640625" style="14" customWidth="1"/>
    <col min="12039" max="12044" width="9.1796875" style="14"/>
    <col min="12045" max="12045" width="10.453125" style="14" customWidth="1"/>
    <col min="12046" max="12046" width="10.7265625" style="14" customWidth="1"/>
    <col min="12047" max="12289" width="9.1796875" style="14"/>
    <col min="12290" max="12290" width="10.26953125" style="14" customWidth="1"/>
    <col min="12291" max="12291" width="8.7265625" style="14" customWidth="1"/>
    <col min="12292" max="12292" width="3.7265625" style="14" customWidth="1"/>
    <col min="12293" max="12293" width="8.26953125" style="14" customWidth="1"/>
    <col min="12294" max="12294" width="9.81640625" style="14" customWidth="1"/>
    <col min="12295" max="12300" width="9.1796875" style="14"/>
    <col min="12301" max="12301" width="10.453125" style="14" customWidth="1"/>
    <col min="12302" max="12302" width="10.7265625" style="14" customWidth="1"/>
    <col min="12303" max="12545" width="9.1796875" style="14"/>
    <col min="12546" max="12546" width="10.26953125" style="14" customWidth="1"/>
    <col min="12547" max="12547" width="8.7265625" style="14" customWidth="1"/>
    <col min="12548" max="12548" width="3.7265625" style="14" customWidth="1"/>
    <col min="12549" max="12549" width="8.26953125" style="14" customWidth="1"/>
    <col min="12550" max="12550" width="9.81640625" style="14" customWidth="1"/>
    <col min="12551" max="12556" width="9.1796875" style="14"/>
    <col min="12557" max="12557" width="10.453125" style="14" customWidth="1"/>
    <col min="12558" max="12558" width="10.7265625" style="14" customWidth="1"/>
    <col min="12559" max="12801" width="9.1796875" style="14"/>
    <col min="12802" max="12802" width="10.26953125" style="14" customWidth="1"/>
    <col min="12803" max="12803" width="8.7265625" style="14" customWidth="1"/>
    <col min="12804" max="12804" width="3.7265625" style="14" customWidth="1"/>
    <col min="12805" max="12805" width="8.26953125" style="14" customWidth="1"/>
    <col min="12806" max="12806" width="9.81640625" style="14" customWidth="1"/>
    <col min="12807" max="12812" width="9.1796875" style="14"/>
    <col min="12813" max="12813" width="10.453125" style="14" customWidth="1"/>
    <col min="12814" max="12814" width="10.7265625" style="14" customWidth="1"/>
    <col min="12815" max="13057" width="9.1796875" style="14"/>
    <col min="13058" max="13058" width="10.26953125" style="14" customWidth="1"/>
    <col min="13059" max="13059" width="8.7265625" style="14" customWidth="1"/>
    <col min="13060" max="13060" width="3.7265625" style="14" customWidth="1"/>
    <col min="13061" max="13061" width="8.26953125" style="14" customWidth="1"/>
    <col min="13062" max="13062" width="9.81640625" style="14" customWidth="1"/>
    <col min="13063" max="13068" width="9.1796875" style="14"/>
    <col min="13069" max="13069" width="10.453125" style="14" customWidth="1"/>
    <col min="13070" max="13070" width="10.7265625" style="14" customWidth="1"/>
    <col min="13071" max="13313" width="9.1796875" style="14"/>
    <col min="13314" max="13314" width="10.26953125" style="14" customWidth="1"/>
    <col min="13315" max="13315" width="8.7265625" style="14" customWidth="1"/>
    <col min="13316" max="13316" width="3.7265625" style="14" customWidth="1"/>
    <col min="13317" max="13317" width="8.26953125" style="14" customWidth="1"/>
    <col min="13318" max="13318" width="9.81640625" style="14" customWidth="1"/>
    <col min="13319" max="13324" width="9.1796875" style="14"/>
    <col min="13325" max="13325" width="10.453125" style="14" customWidth="1"/>
    <col min="13326" max="13326" width="10.7265625" style="14" customWidth="1"/>
    <col min="13327" max="13569" width="9.1796875" style="14"/>
    <col min="13570" max="13570" width="10.26953125" style="14" customWidth="1"/>
    <col min="13571" max="13571" width="8.7265625" style="14" customWidth="1"/>
    <col min="13572" max="13572" width="3.7265625" style="14" customWidth="1"/>
    <col min="13573" max="13573" width="8.26953125" style="14" customWidth="1"/>
    <col min="13574" max="13574" width="9.81640625" style="14" customWidth="1"/>
    <col min="13575" max="13580" width="9.1796875" style="14"/>
    <col min="13581" max="13581" width="10.453125" style="14" customWidth="1"/>
    <col min="13582" max="13582" width="10.7265625" style="14" customWidth="1"/>
    <col min="13583" max="13825" width="9.1796875" style="14"/>
    <col min="13826" max="13826" width="10.26953125" style="14" customWidth="1"/>
    <col min="13827" max="13827" width="8.7265625" style="14" customWidth="1"/>
    <col min="13828" max="13828" width="3.7265625" style="14" customWidth="1"/>
    <col min="13829" max="13829" width="8.26953125" style="14" customWidth="1"/>
    <col min="13830" max="13830" width="9.81640625" style="14" customWidth="1"/>
    <col min="13831" max="13836" width="9.1796875" style="14"/>
    <col min="13837" max="13837" width="10.453125" style="14" customWidth="1"/>
    <col min="13838" max="13838" width="10.7265625" style="14" customWidth="1"/>
    <col min="13839" max="14081" width="9.1796875" style="14"/>
    <col min="14082" max="14082" width="10.26953125" style="14" customWidth="1"/>
    <col min="14083" max="14083" width="8.7265625" style="14" customWidth="1"/>
    <col min="14084" max="14084" width="3.7265625" style="14" customWidth="1"/>
    <col min="14085" max="14085" width="8.26953125" style="14" customWidth="1"/>
    <col min="14086" max="14086" width="9.81640625" style="14" customWidth="1"/>
    <col min="14087" max="14092" width="9.1796875" style="14"/>
    <col min="14093" max="14093" width="10.453125" style="14" customWidth="1"/>
    <col min="14094" max="14094" width="10.7265625" style="14" customWidth="1"/>
    <col min="14095" max="14337" width="9.1796875" style="14"/>
    <col min="14338" max="14338" width="10.26953125" style="14" customWidth="1"/>
    <col min="14339" max="14339" width="8.7265625" style="14" customWidth="1"/>
    <col min="14340" max="14340" width="3.7265625" style="14" customWidth="1"/>
    <col min="14341" max="14341" width="8.26953125" style="14" customWidth="1"/>
    <col min="14342" max="14342" width="9.81640625" style="14" customWidth="1"/>
    <col min="14343" max="14348" width="9.1796875" style="14"/>
    <col min="14349" max="14349" width="10.453125" style="14" customWidth="1"/>
    <col min="14350" max="14350" width="10.7265625" style="14" customWidth="1"/>
    <col min="14351" max="14593" width="9.1796875" style="14"/>
    <col min="14594" max="14594" width="10.26953125" style="14" customWidth="1"/>
    <col min="14595" max="14595" width="8.7265625" style="14" customWidth="1"/>
    <col min="14596" max="14596" width="3.7265625" style="14" customWidth="1"/>
    <col min="14597" max="14597" width="8.26953125" style="14" customWidth="1"/>
    <col min="14598" max="14598" width="9.81640625" style="14" customWidth="1"/>
    <col min="14599" max="14604" width="9.1796875" style="14"/>
    <col min="14605" max="14605" width="10.453125" style="14" customWidth="1"/>
    <col min="14606" max="14606" width="10.7265625" style="14" customWidth="1"/>
    <col min="14607" max="14849" width="9.1796875" style="14"/>
    <col min="14850" max="14850" width="10.26953125" style="14" customWidth="1"/>
    <col min="14851" max="14851" width="8.7265625" style="14" customWidth="1"/>
    <col min="14852" max="14852" width="3.7265625" style="14" customWidth="1"/>
    <col min="14853" max="14853" width="8.26953125" style="14" customWidth="1"/>
    <col min="14854" max="14854" width="9.81640625" style="14" customWidth="1"/>
    <col min="14855" max="14860" width="9.1796875" style="14"/>
    <col min="14861" max="14861" width="10.453125" style="14" customWidth="1"/>
    <col min="14862" max="14862" width="10.7265625" style="14" customWidth="1"/>
    <col min="14863" max="15105" width="9.1796875" style="14"/>
    <col min="15106" max="15106" width="10.26953125" style="14" customWidth="1"/>
    <col min="15107" max="15107" width="8.7265625" style="14" customWidth="1"/>
    <col min="15108" max="15108" width="3.7265625" style="14" customWidth="1"/>
    <col min="15109" max="15109" width="8.26953125" style="14" customWidth="1"/>
    <col min="15110" max="15110" width="9.81640625" style="14" customWidth="1"/>
    <col min="15111" max="15116" width="9.1796875" style="14"/>
    <col min="15117" max="15117" width="10.453125" style="14" customWidth="1"/>
    <col min="15118" max="15118" width="10.7265625" style="14" customWidth="1"/>
    <col min="15119" max="15361" width="9.1796875" style="14"/>
    <col min="15362" max="15362" width="10.26953125" style="14" customWidth="1"/>
    <col min="15363" max="15363" width="8.7265625" style="14" customWidth="1"/>
    <col min="15364" max="15364" width="3.7265625" style="14" customWidth="1"/>
    <col min="15365" max="15365" width="8.26953125" style="14" customWidth="1"/>
    <col min="15366" max="15366" width="9.81640625" style="14" customWidth="1"/>
    <col min="15367" max="15372" width="9.1796875" style="14"/>
    <col min="15373" max="15373" width="10.453125" style="14" customWidth="1"/>
    <col min="15374" max="15374" width="10.7265625" style="14" customWidth="1"/>
    <col min="15375" max="15617" width="9.1796875" style="14"/>
    <col min="15618" max="15618" width="10.26953125" style="14" customWidth="1"/>
    <col min="15619" max="15619" width="8.7265625" style="14" customWidth="1"/>
    <col min="15620" max="15620" width="3.7265625" style="14" customWidth="1"/>
    <col min="15621" max="15621" width="8.26953125" style="14" customWidth="1"/>
    <col min="15622" max="15622" width="9.81640625" style="14" customWidth="1"/>
    <col min="15623" max="15628" width="9.1796875" style="14"/>
    <col min="15629" max="15629" width="10.453125" style="14" customWidth="1"/>
    <col min="15630" max="15630" width="10.7265625" style="14" customWidth="1"/>
    <col min="15631" max="15873" width="9.1796875" style="14"/>
    <col min="15874" max="15874" width="10.26953125" style="14" customWidth="1"/>
    <col min="15875" max="15875" width="8.7265625" style="14" customWidth="1"/>
    <col min="15876" max="15876" width="3.7265625" style="14" customWidth="1"/>
    <col min="15877" max="15877" width="8.26953125" style="14" customWidth="1"/>
    <col min="15878" max="15878" width="9.81640625" style="14" customWidth="1"/>
    <col min="15879" max="15884" width="9.1796875" style="14"/>
    <col min="15885" max="15885" width="10.453125" style="14" customWidth="1"/>
    <col min="15886" max="15886" width="10.7265625" style="14" customWidth="1"/>
    <col min="15887" max="16129" width="9.1796875" style="14"/>
    <col min="16130" max="16130" width="10.26953125" style="14" customWidth="1"/>
    <col min="16131" max="16131" width="8.7265625" style="14" customWidth="1"/>
    <col min="16132" max="16132" width="3.7265625" style="14" customWidth="1"/>
    <col min="16133" max="16133" width="8.26953125" style="14" customWidth="1"/>
    <col min="16134" max="16134" width="9.81640625" style="14" customWidth="1"/>
    <col min="16135" max="16140" width="9.1796875" style="14"/>
    <col min="16141" max="16141" width="10.453125" style="14" customWidth="1"/>
    <col min="16142" max="16142" width="10.7265625" style="14" customWidth="1"/>
    <col min="16143" max="16384" width="9.1796875" style="14"/>
  </cols>
  <sheetData>
    <row r="1" spans="1:24" s="10" customFormat="1" ht="26" x14ac:dyDescent="0.3">
      <c r="A1" s="9" t="s">
        <v>6</v>
      </c>
      <c r="B1" s="44" t="s">
        <v>61</v>
      </c>
      <c r="D1" s="9" t="s">
        <v>8</v>
      </c>
      <c r="E1" s="9" t="s">
        <v>9</v>
      </c>
      <c r="F1" s="9" t="s">
        <v>10</v>
      </c>
      <c r="G1" s="9" t="s">
        <v>11</v>
      </c>
      <c r="L1" s="21" t="s">
        <v>54</v>
      </c>
      <c r="M1" s="21" t="s">
        <v>6</v>
      </c>
      <c r="N1" s="21" t="s">
        <v>38</v>
      </c>
      <c r="O1" s="21" t="s">
        <v>12</v>
      </c>
      <c r="P1" s="21" t="s">
        <v>13</v>
      </c>
      <c r="Q1" s="21" t="s">
        <v>14</v>
      </c>
      <c r="V1" s="55" t="s">
        <v>30</v>
      </c>
      <c r="W1" s="23" t="s">
        <v>0</v>
      </c>
      <c r="X1" s="14"/>
    </row>
    <row r="2" spans="1:24" ht="15" thickBot="1" x14ac:dyDescent="0.4">
      <c r="A2" s="59" t="e">
        <f>M2</f>
        <v>#REF!</v>
      </c>
      <c r="B2" s="60" t="e">
        <f>N2</f>
        <v>#REF!</v>
      </c>
      <c r="C2" s="12"/>
      <c r="D2" s="12">
        <v>1</v>
      </c>
      <c r="E2" s="12">
        <v>1</v>
      </c>
      <c r="F2" s="13" t="e">
        <f>($B2/D2)</f>
        <v>#REF!</v>
      </c>
      <c r="G2" s="13" t="e">
        <f>($B2/E2)</f>
        <v>#REF!</v>
      </c>
      <c r="L2" s="15" t="s">
        <v>0</v>
      </c>
      <c r="M2" s="78" t="e">
        <f>#REF!</f>
        <v>#REF!</v>
      </c>
      <c r="N2" s="81" t="e">
        <f>#REF!</f>
        <v>#REF!</v>
      </c>
      <c r="O2" s="81" t="e">
        <f>#REF!</f>
        <v>#REF!</v>
      </c>
      <c r="P2" s="81" t="e">
        <f>#REF!</f>
        <v>#REF!</v>
      </c>
      <c r="Q2" s="81" t="e">
        <f>#REF!</f>
        <v>#REF!</v>
      </c>
      <c r="V2" s="83" t="s">
        <v>62</v>
      </c>
      <c r="W2" s="77">
        <f>'Lab Schedules'!L4</f>
        <v>0</v>
      </c>
    </row>
    <row r="3" spans="1:24" ht="15" thickTop="1" x14ac:dyDescent="0.35">
      <c r="B3" s="19"/>
      <c r="C3" s="19"/>
      <c r="E3" s="18" t="s">
        <v>0</v>
      </c>
      <c r="F3" s="20" t="e">
        <f>F2</f>
        <v>#REF!</v>
      </c>
      <c r="G3" s="20" t="e">
        <f>G2</f>
        <v>#REF!</v>
      </c>
      <c r="V3" s="83" t="s">
        <v>63</v>
      </c>
      <c r="W3" s="77">
        <f>'Lab Schedules'!L5</f>
        <v>0</v>
      </c>
    </row>
    <row r="4" spans="1:24" ht="14.5" x14ac:dyDescent="0.35">
      <c r="A4" s="61"/>
      <c r="D4" s="61"/>
      <c r="G4" s="22"/>
      <c r="H4" s="22"/>
      <c r="V4" s="83" t="s">
        <v>64</v>
      </c>
      <c r="W4" s="77">
        <f>'Lab Schedules'!L6</f>
        <v>0</v>
      </c>
    </row>
    <row r="5" spans="1:24" ht="14.5" x14ac:dyDescent="0.35">
      <c r="D5" s="61"/>
      <c r="G5" s="22"/>
      <c r="H5" s="22"/>
      <c r="V5" s="84" t="s">
        <v>65</v>
      </c>
      <c r="W5" s="77">
        <f>'Lab Schedules'!L7</f>
        <v>0</v>
      </c>
    </row>
    <row r="6" spans="1:24" ht="25.5" customHeight="1" x14ac:dyDescent="0.35">
      <c r="H6" s="22"/>
      <c r="P6" s="10"/>
      <c r="Q6" s="10"/>
      <c r="R6" s="10"/>
      <c r="V6" s="84" t="s">
        <v>66</v>
      </c>
      <c r="W6" s="77">
        <f>'Lab Schedules'!L8</f>
        <v>0</v>
      </c>
    </row>
    <row r="7" spans="1:24" ht="28.5" customHeight="1" x14ac:dyDescent="0.35">
      <c r="A7" s="9" t="s">
        <v>6</v>
      </c>
      <c r="B7" s="44" t="s">
        <v>61</v>
      </c>
      <c r="C7" s="10"/>
      <c r="D7" s="9" t="s">
        <v>88</v>
      </c>
      <c r="E7" s="9" t="s">
        <v>89</v>
      </c>
      <c r="F7" s="9" t="s">
        <v>17</v>
      </c>
      <c r="G7" s="9" t="s">
        <v>18</v>
      </c>
      <c r="H7" s="22"/>
      <c r="L7" s="10"/>
      <c r="M7" s="21" t="s">
        <v>19</v>
      </c>
      <c r="N7" s="21" t="s">
        <v>38</v>
      </c>
      <c r="O7" s="21" t="s">
        <v>60</v>
      </c>
      <c r="P7" s="21" t="s">
        <v>12</v>
      </c>
      <c r="Q7" s="21" t="s">
        <v>13</v>
      </c>
      <c r="R7" s="21" t="s">
        <v>14</v>
      </c>
      <c r="V7" s="84" t="s">
        <v>67</v>
      </c>
      <c r="W7" s="77">
        <f>'Lab Schedules'!L9</f>
        <v>0</v>
      </c>
    </row>
    <row r="8" spans="1:24" ht="15" thickBot="1" x14ac:dyDescent="0.4">
      <c r="A8" s="59" t="e">
        <f>#REF!</f>
        <v>#REF!</v>
      </c>
      <c r="B8" s="80" t="e">
        <f>#REF!</f>
        <v>#REF!</v>
      </c>
      <c r="C8" s="12"/>
      <c r="D8" s="62"/>
      <c r="E8" s="62"/>
      <c r="F8" s="90"/>
      <c r="G8" s="90"/>
      <c r="L8" s="63"/>
      <c r="M8" s="78" t="e">
        <f>#REF!</f>
        <v>#REF!</v>
      </c>
      <c r="N8" s="81" t="e">
        <f>#REF!</f>
        <v>#REF!</v>
      </c>
      <c r="O8" s="81" t="e">
        <f>#REF!</f>
        <v>#REF!</v>
      </c>
      <c r="P8" s="81" t="e">
        <f>#REF!</f>
        <v>#REF!</v>
      </c>
      <c r="Q8" s="81" t="e">
        <f>#REF!</f>
        <v>#REF!</v>
      </c>
      <c r="R8" s="81" t="e">
        <f>#REF!</f>
        <v>#REF!</v>
      </c>
      <c r="V8" s="83" t="s">
        <v>68</v>
      </c>
      <c r="W8" s="77">
        <f>'Lab Schedules'!L10</f>
        <v>0</v>
      </c>
    </row>
    <row r="9" spans="1:24" ht="15" thickTop="1" x14ac:dyDescent="0.35">
      <c r="E9" s="18" t="s">
        <v>0</v>
      </c>
      <c r="F9" s="20">
        <f>F8</f>
        <v>0</v>
      </c>
      <c r="G9" s="57">
        <f>G8</f>
        <v>0</v>
      </c>
      <c r="V9" s="83" t="s">
        <v>69</v>
      </c>
      <c r="W9" s="77">
        <f>'Lab Schedules'!L11</f>
        <v>0</v>
      </c>
    </row>
    <row r="10" spans="1:24" ht="14.5" x14ac:dyDescent="0.35">
      <c r="V10" s="83" t="s">
        <v>70</v>
      </c>
      <c r="W10" s="77">
        <f>'Lab Schedules'!L12</f>
        <v>0</v>
      </c>
    </row>
    <row r="11" spans="1:24" ht="14.5" x14ac:dyDescent="0.35">
      <c r="R11" s="10"/>
      <c r="S11" s="10"/>
      <c r="V11" s="83" t="s">
        <v>71</v>
      </c>
      <c r="W11" s="77">
        <f>'Lab Schedules'!L13</f>
        <v>0</v>
      </c>
    </row>
    <row r="12" spans="1:24" ht="52.5" x14ac:dyDescent="0.35">
      <c r="A12" s="21" t="s">
        <v>20</v>
      </c>
      <c r="B12" s="23" t="s">
        <v>61</v>
      </c>
      <c r="C12" s="21"/>
      <c r="D12" s="21" t="s">
        <v>21</v>
      </c>
      <c r="E12" s="21" t="s">
        <v>22</v>
      </c>
      <c r="F12" s="21" t="s">
        <v>23</v>
      </c>
      <c r="G12" s="21" t="s">
        <v>24</v>
      </c>
      <c r="H12" s="21" t="s">
        <v>25</v>
      </c>
      <c r="I12" s="21" t="s">
        <v>26</v>
      </c>
      <c r="L12" s="10"/>
      <c r="M12" s="21" t="s">
        <v>27</v>
      </c>
      <c r="N12" s="21" t="s">
        <v>38</v>
      </c>
      <c r="O12" s="21" t="s">
        <v>28</v>
      </c>
      <c r="P12" s="21" t="s">
        <v>29</v>
      </c>
      <c r="V12" s="84" t="s">
        <v>72</v>
      </c>
      <c r="W12" s="77">
        <f>'Lab Schedules'!L14</f>
        <v>0</v>
      </c>
    </row>
    <row r="13" spans="1:24" ht="29" x14ac:dyDescent="0.35">
      <c r="A13" s="78" t="e">
        <f>#REF!</f>
        <v>#REF!</v>
      </c>
      <c r="B13" s="89" t="e">
        <f>#REF!</f>
        <v>#REF!</v>
      </c>
      <c r="C13" s="16"/>
      <c r="D13" s="11">
        <v>1</v>
      </c>
      <c r="E13" s="11">
        <v>1</v>
      </c>
      <c r="F13" s="11">
        <v>10</v>
      </c>
      <c r="G13" s="57" t="e">
        <f>(B13/D13)</f>
        <v>#REF!</v>
      </c>
      <c r="H13" s="57" t="e">
        <f>(B13/E13)</f>
        <v>#REF!</v>
      </c>
      <c r="I13" s="57" t="e">
        <f>(B13/F13)</f>
        <v>#REF!</v>
      </c>
      <c r="J13" s="18" t="s">
        <v>0</v>
      </c>
      <c r="L13" s="63"/>
      <c r="M13" s="79" t="e">
        <f>#REF!</f>
        <v>#REF!</v>
      </c>
      <c r="N13" s="82" t="e">
        <f>#REF!</f>
        <v>#REF!</v>
      </c>
      <c r="O13" s="82" t="e">
        <f>#REF!</f>
        <v>#REF!</v>
      </c>
      <c r="P13" s="82" t="e">
        <f>#REF!</f>
        <v>#REF!</v>
      </c>
      <c r="V13" s="84" t="s">
        <v>73</v>
      </c>
      <c r="W13" s="77">
        <f>'Lab Schedules'!L15</f>
        <v>0</v>
      </c>
    </row>
    <row r="14" spans="1:24" ht="29" x14ac:dyDescent="0.35">
      <c r="B14" s="19"/>
      <c r="C14" s="19"/>
      <c r="L14" s="63"/>
      <c r="M14" s="61"/>
      <c r="N14" s="61"/>
      <c r="O14" s="61"/>
      <c r="P14" s="10"/>
      <c r="Q14" s="10"/>
      <c r="V14" s="84" t="s">
        <v>74</v>
      </c>
      <c r="W14" s="77">
        <f>'Lab Schedules'!L16</f>
        <v>0</v>
      </c>
    </row>
    <row r="15" spans="1:24" ht="29" x14ac:dyDescent="0.35">
      <c r="L15" s="63"/>
      <c r="V15" s="84" t="s">
        <v>75</v>
      </c>
      <c r="W15" s="77">
        <f>'Lab Schedules'!L17</f>
        <v>0</v>
      </c>
    </row>
    <row r="16" spans="1:24" ht="25" x14ac:dyDescent="0.35">
      <c r="D16" s="61"/>
      <c r="G16" s="22"/>
      <c r="H16" s="22"/>
      <c r="V16" s="87" t="s">
        <v>76</v>
      </c>
      <c r="W16" s="77">
        <f>'Lab Schedules'!L18</f>
        <v>0</v>
      </c>
    </row>
    <row r="17" spans="1:24" ht="29" x14ac:dyDescent="0.35">
      <c r="A17" s="61"/>
      <c r="D17" s="61"/>
      <c r="G17" s="22"/>
      <c r="H17" s="22"/>
      <c r="V17" s="84" t="s">
        <v>83</v>
      </c>
      <c r="W17" s="77">
        <f>'Lab Schedules'!L19</f>
        <v>0</v>
      </c>
    </row>
    <row r="18" spans="1:24" ht="43.5" x14ac:dyDescent="0.35">
      <c r="V18" s="84" t="s">
        <v>84</v>
      </c>
      <c r="W18" s="77">
        <f>'Lab Schedules'!L20</f>
        <v>0</v>
      </c>
    </row>
    <row r="19" spans="1:24" ht="43.5" x14ac:dyDescent="0.35">
      <c r="A19" s="64"/>
      <c r="B19" s="64"/>
      <c r="C19" s="64"/>
      <c r="D19" s="64"/>
      <c r="E19" s="64"/>
      <c r="F19" s="64"/>
      <c r="G19" s="64"/>
      <c r="H19" s="64"/>
      <c r="I19" s="64"/>
      <c r="J19" s="64"/>
      <c r="V19" s="84" t="s">
        <v>85</v>
      </c>
      <c r="W19" s="77">
        <f>'Lab Schedules'!L21</f>
        <v>0</v>
      </c>
    </row>
    <row r="20" spans="1:24" ht="43.5" x14ac:dyDescent="0.35">
      <c r="A20" s="65" t="s">
        <v>32</v>
      </c>
      <c r="B20" s="66">
        <v>56</v>
      </c>
      <c r="C20" s="64"/>
      <c r="D20" s="64"/>
      <c r="E20" s="64"/>
      <c r="F20" s="64"/>
      <c r="G20" s="64"/>
      <c r="H20" s="64"/>
      <c r="I20" s="64"/>
      <c r="J20" s="64"/>
      <c r="L20" s="10"/>
      <c r="M20" s="21" t="s">
        <v>31</v>
      </c>
      <c r="N20" s="21" t="s">
        <v>38</v>
      </c>
      <c r="O20" s="21" t="s">
        <v>12</v>
      </c>
      <c r="P20" s="21" t="s">
        <v>13</v>
      </c>
      <c r="Q20" s="21" t="s">
        <v>14</v>
      </c>
      <c r="R20" s="21" t="s">
        <v>15</v>
      </c>
      <c r="V20" s="84" t="s">
        <v>86</v>
      </c>
      <c r="W20" s="77">
        <f>'Lab Schedules'!L22</f>
        <v>0</v>
      </c>
    </row>
    <row r="21" spans="1:24" ht="43.5" x14ac:dyDescent="0.35">
      <c r="A21" s="64"/>
      <c r="B21" s="64"/>
      <c r="C21" s="64"/>
      <c r="D21" s="64"/>
      <c r="E21" s="64"/>
      <c r="F21" s="64"/>
      <c r="G21" s="64"/>
      <c r="H21" s="64"/>
      <c r="I21" s="64"/>
      <c r="J21" s="64"/>
      <c r="L21" s="63"/>
      <c r="M21" s="79" t="e">
        <f>#REF!</f>
        <v>#REF!</v>
      </c>
      <c r="N21" s="79" t="e">
        <f>#REF!</f>
        <v>#REF!</v>
      </c>
      <c r="O21" s="79" t="e">
        <f>#REF!</f>
        <v>#REF!</v>
      </c>
      <c r="P21" s="79" t="e">
        <f>#REF!</f>
        <v>#REF!</v>
      </c>
      <c r="Q21" s="79" t="e">
        <f>#REF!</f>
        <v>#REF!</v>
      </c>
      <c r="R21" s="79"/>
      <c r="V21" s="84" t="s">
        <v>87</v>
      </c>
      <c r="W21" s="77">
        <f>'Lab Schedules'!L23</f>
        <v>0</v>
      </c>
    </row>
    <row r="22" spans="1:24" ht="37.5" x14ac:dyDescent="0.35">
      <c r="A22" s="64"/>
      <c r="B22" s="64"/>
      <c r="C22" s="64"/>
      <c r="D22" s="64"/>
      <c r="E22" s="64"/>
      <c r="F22" s="64"/>
      <c r="G22" s="64"/>
      <c r="H22" s="64"/>
      <c r="I22" s="64"/>
      <c r="J22" s="64"/>
      <c r="L22" s="63"/>
      <c r="M22" s="61"/>
      <c r="N22" s="61"/>
      <c r="O22" s="61"/>
      <c r="V22" s="87" t="s">
        <v>77</v>
      </c>
      <c r="W22" s="77">
        <f>'Lab Schedules'!L24</f>
        <v>0</v>
      </c>
    </row>
    <row r="23" spans="1:24" s="10" customFormat="1" ht="50" x14ac:dyDescent="0.35">
      <c r="A23" s="64"/>
      <c r="B23" s="64"/>
      <c r="C23" s="64"/>
      <c r="D23" s="64"/>
      <c r="E23" s="64"/>
      <c r="F23" s="64"/>
      <c r="G23" s="64"/>
      <c r="H23" s="64"/>
      <c r="I23" s="64"/>
      <c r="J23" s="64"/>
      <c r="L23" s="63"/>
      <c r="M23" s="19"/>
      <c r="N23" s="14"/>
      <c r="O23" s="14"/>
      <c r="P23" s="14"/>
      <c r="Q23" s="14"/>
      <c r="R23" s="14"/>
      <c r="S23" s="14"/>
      <c r="V23" s="87" t="s">
        <v>78</v>
      </c>
      <c r="W23" s="77">
        <f>'Lab Schedules'!L25</f>
        <v>0</v>
      </c>
      <c r="X23" s="14"/>
    </row>
    <row r="24" spans="1:24" ht="58" x14ac:dyDescent="0.35">
      <c r="A24" s="67" t="s">
        <v>33</v>
      </c>
      <c r="B24" s="166" t="s">
        <v>7</v>
      </c>
      <c r="C24" s="166"/>
      <c r="D24" s="166"/>
      <c r="E24" s="67" t="s">
        <v>34</v>
      </c>
      <c r="F24" s="67" t="s">
        <v>35</v>
      </c>
      <c r="G24" s="67" t="s">
        <v>36</v>
      </c>
      <c r="H24" s="67" t="s">
        <v>37</v>
      </c>
      <c r="I24" s="67" t="s">
        <v>38</v>
      </c>
      <c r="J24" s="64"/>
      <c r="K24" s="22"/>
      <c r="V24" s="84" t="s">
        <v>79</v>
      </c>
      <c r="W24" s="77">
        <f>'Lab Schedules'!L26</f>
        <v>0</v>
      </c>
    </row>
    <row r="25" spans="1:24" ht="58.5" thickBot="1" x14ac:dyDescent="0.4">
      <c r="A25" s="66">
        <v>17</v>
      </c>
      <c r="B25" s="68">
        <v>0</v>
      </c>
      <c r="C25" s="68" t="s">
        <v>16</v>
      </c>
      <c r="D25" s="66">
        <v>1.2</v>
      </c>
      <c r="E25" s="66">
        <v>1</v>
      </c>
      <c r="F25" s="66">
        <v>0.6</v>
      </c>
      <c r="G25" s="69">
        <f>A25*E25</f>
        <v>17</v>
      </c>
      <c r="H25" s="69">
        <f>A25*F25</f>
        <v>10.199999999999999</v>
      </c>
      <c r="I25" s="70">
        <f>A25*D25</f>
        <v>20.399999999999999</v>
      </c>
      <c r="J25" s="64"/>
      <c r="K25" s="20"/>
      <c r="V25" s="84" t="s">
        <v>80</v>
      </c>
      <c r="W25" s="77">
        <f>'Lab Schedules'!L27</f>
        <v>0</v>
      </c>
    </row>
    <row r="26" spans="1:24" ht="14.5" x14ac:dyDescent="0.35">
      <c r="A26" s="71" t="s">
        <v>0</v>
      </c>
      <c r="B26" s="72">
        <f>A25</f>
        <v>17</v>
      </c>
      <c r="C26" s="72" t="s">
        <v>39</v>
      </c>
      <c r="D26" s="72"/>
      <c r="E26" s="64"/>
      <c r="F26" s="64"/>
      <c r="G26" s="73"/>
      <c r="H26" s="74" t="s">
        <v>40</v>
      </c>
      <c r="I26" s="75">
        <f>A25*(D25*E25*F25)</f>
        <v>12.24</v>
      </c>
      <c r="J26" s="76" t="s">
        <v>41</v>
      </c>
      <c r="V26" s="87" t="s">
        <v>81</v>
      </c>
      <c r="W26" s="77">
        <f>'Lab Schedules'!L28</f>
        <v>0</v>
      </c>
    </row>
    <row r="27" spans="1:24" ht="25" x14ac:dyDescent="0.35">
      <c r="A27" s="64"/>
      <c r="B27" s="64"/>
      <c r="C27" s="64"/>
      <c r="D27" s="64"/>
      <c r="E27" s="64"/>
      <c r="F27" s="64"/>
      <c r="G27" s="64"/>
      <c r="H27" s="64"/>
      <c r="I27" s="64"/>
      <c r="J27" s="64"/>
      <c r="V27" s="87" t="s">
        <v>82</v>
      </c>
      <c r="W27" s="77">
        <f>'Lab Schedules'!L29</f>
        <v>0</v>
      </c>
    </row>
    <row r="28" spans="1:24" ht="14.5" x14ac:dyDescent="0.35">
      <c r="A28" s="64"/>
      <c r="B28" s="64"/>
      <c r="C28" s="64"/>
      <c r="D28" s="64"/>
      <c r="E28" s="64"/>
      <c r="F28" s="64"/>
      <c r="G28" s="64"/>
      <c r="H28" s="64"/>
      <c r="I28" s="64"/>
      <c r="J28" s="64"/>
      <c r="W28"/>
    </row>
  </sheetData>
  <mergeCells count="1">
    <mergeCell ref="B24:D24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Boreholes</vt:lpstr>
      <vt:lpstr>Trial Pits</vt:lpstr>
      <vt:lpstr>Trenches</vt:lpstr>
      <vt:lpstr>Inspection pit</vt:lpstr>
      <vt:lpstr>Dynamic Sampling</vt:lpstr>
      <vt:lpstr>Soakaway (BRE)</vt:lpstr>
      <vt:lpstr>DPH</vt:lpstr>
      <vt:lpstr>CPT</vt:lpstr>
      <vt:lpstr>Lab Schedules</vt:lpstr>
      <vt:lpstr>TESTS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Toomey, Sean</dc:creator>
  <cp:lastModifiedBy>Odega, Kenechukwu</cp:lastModifiedBy>
  <dcterms:created xsi:type="dcterms:W3CDTF">2018-09-12T08:18:20Z</dcterms:created>
  <dcterms:modified xsi:type="dcterms:W3CDTF">2025-01-09T18:06:18Z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RiskLevel">
    <vt:lpwstr/>
  </property>
  <property fmtid="{D5CDD505-2E9C-101B-9397-08002B2CF9AE}" pid="3" name="DocRiskLevelWizardText">
    <vt:lpwstr>Atkins Baseline</vt:lpwstr>
  </property>
  <property fmtid="{D5CDD505-2E9C-101B-9397-08002B2CF9AE}" pid="4" name="DocRiskLevelWizardMarker">
    <vt:lpwstr/>
  </property>
</Properties>
</file>