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U:\5199586\7 Calcs\71 Spreadsheets\5199586CALC0001 - Geotech Design Folder\Geotech\Current GI\Contract Documents\BOQ\GI Estimate\BOQ\BOQ Estimate Rev 2\"/>
    </mc:Choice>
  </mc:AlternateContent>
  <xr:revisionPtr revIDLastSave="0" documentId="13_ncr:1_{A8D9710D-A3F9-430B-A87F-6B37C8B13247}" xr6:coauthVersionLast="44" xr6:coauthVersionMax="44" xr10:uidLastSave="{00000000-0000-0000-0000-000000000000}"/>
  <bookViews>
    <workbookView xWindow="-110" yWindow="-110" windowWidth="19420" windowHeight="10420" tabRatio="790" firstSheet="6" activeTab="15" xr2:uid="{B373F0AB-44C3-4F3D-88E5-EC3575D090BE}"/>
  </bookViews>
  <sheets>
    <sheet name="Section A" sheetId="1" r:id="rId1"/>
    <sheet name="Section B" sheetId="2" r:id="rId2"/>
    <sheet name="Section B.1" sheetId="18" r:id="rId3"/>
    <sheet name="Section C" sheetId="3" r:id="rId4"/>
    <sheet name="Section C.1" sheetId="19" r:id="rId5"/>
    <sheet name="Section D" sheetId="4" r:id="rId6"/>
    <sheet name="Section E" sheetId="5" r:id="rId7"/>
    <sheet name="Section F" sheetId="6" r:id="rId8"/>
    <sheet name="Section G" sheetId="7" r:id="rId9"/>
    <sheet name="Section H" sheetId="8" r:id="rId10"/>
    <sheet name="Section I" sheetId="9" r:id="rId11"/>
    <sheet name="Section J" sheetId="10" r:id="rId12"/>
    <sheet name="Section K" sheetId="11" r:id="rId13"/>
    <sheet name="Section L" sheetId="12" r:id="rId14"/>
    <sheet name="Section M - Structure Survey" sheetId="16" r:id="rId15"/>
    <sheet name="Summary" sheetId="13" r:id="rId16"/>
    <sheet name="Appendices" sheetId="15" r:id="rId17"/>
  </sheets>
  <definedNames>
    <definedName name="_xlnm.Print_Area" localSheetId="0">'Section A'!$A$1:$F$83</definedName>
    <definedName name="_xlnm.Print_Area" localSheetId="1">'Section B'!$A$1:$F$45</definedName>
    <definedName name="_xlnm.Print_Area" localSheetId="2">'Section B.1'!$A$1:$F$44</definedName>
    <definedName name="_xlnm.Print_Area" localSheetId="3">'Section C'!$A$1:$F$119</definedName>
    <definedName name="_xlnm.Print_Area" localSheetId="4">'Section C.1'!$A$1:$F$119</definedName>
    <definedName name="_xlnm.Print_Area" localSheetId="5">'Section D'!$A$1:$F$112</definedName>
    <definedName name="_xlnm.Print_Area" localSheetId="6">'Section E'!$A$1:$F$28</definedName>
    <definedName name="_xlnm.Print_Area" localSheetId="9">'Section H'!$A$1:$F$64</definedName>
    <definedName name="_xlnm.Print_Area" localSheetId="10">'Section I'!$A$1:$F$44</definedName>
    <definedName name="_xlnm.Print_Area" localSheetId="11">'Section J'!$A$1:$F$32</definedName>
    <definedName name="_xlnm.Print_Area" localSheetId="12">'Section K'!$A$1:$F$127</definedName>
    <definedName name="_xlnm.Print_Area" localSheetId="13">'Section L'!$A$1:$F$12</definedName>
    <definedName name="_xlnm.Print_Area" localSheetId="14">'Section M - Structure Survey'!$A$1:$F$22</definedName>
    <definedName name="_xlnm.Print_Area" localSheetId="15">Summary!$A$1:$E$22</definedName>
    <definedName name="_xlnm.Print_Titles" localSheetId="0">'Section A'!$2:$3</definedName>
    <definedName name="_xlnm.Print_Titles" localSheetId="1">'Section B'!$2:$3</definedName>
    <definedName name="_xlnm.Print_Titles" localSheetId="2">'Section B.1'!$2:$3</definedName>
    <definedName name="_xlnm.Print_Titles" localSheetId="3">'Section C'!$2:$3</definedName>
    <definedName name="_xlnm.Print_Titles" localSheetId="4">'Section C.1'!$2:$3</definedName>
    <definedName name="_xlnm.Print_Titles" localSheetId="5">'Section D'!$2:$3</definedName>
    <definedName name="_xlnm.Print_Titles" localSheetId="6">'Section E'!$2:$3</definedName>
    <definedName name="_xlnm.Print_Titles" localSheetId="7">'Section F'!$2:$3</definedName>
    <definedName name="_xlnm.Print_Titles" localSheetId="8">'Section G'!$2:$3</definedName>
    <definedName name="_xlnm.Print_Titles" localSheetId="9">'Section H'!$2:$3</definedName>
    <definedName name="_xlnm.Print_Titles" localSheetId="10">'Section I'!$2:$3</definedName>
    <definedName name="_xlnm.Print_Titles" localSheetId="11">'Section J'!$2:$3</definedName>
    <definedName name="_xlnm.Print_Titles" localSheetId="12">'Section K'!$2:$3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3" i="1" l="1"/>
  <c r="F14" i="1"/>
  <c r="E7" i="12"/>
  <c r="E126" i="11"/>
  <c r="E125" i="11"/>
  <c r="E124" i="11"/>
  <c r="E122" i="11"/>
  <c r="E121" i="11"/>
  <c r="E118" i="11"/>
  <c r="E117" i="11"/>
  <c r="E116" i="11"/>
  <c r="E115" i="11"/>
  <c r="E114" i="11"/>
  <c r="E113" i="11"/>
  <c r="E112" i="11"/>
  <c r="E111" i="11"/>
  <c r="E110" i="11"/>
  <c r="E109" i="11"/>
  <c r="E108" i="11"/>
  <c r="E107" i="11"/>
  <c r="E106" i="11"/>
  <c r="E105" i="11"/>
  <c r="E104" i="11"/>
  <c r="E103" i="11"/>
  <c r="E102" i="11"/>
  <c r="E99" i="11"/>
  <c r="E89" i="11"/>
  <c r="E88" i="11"/>
  <c r="E87" i="11"/>
  <c r="E86" i="11"/>
  <c r="E85" i="11"/>
  <c r="E84" i="11"/>
  <c r="E83" i="11"/>
  <c r="E82" i="11"/>
  <c r="E81" i="11"/>
  <c r="E80" i="11"/>
  <c r="E79" i="11"/>
  <c r="E78" i="11"/>
  <c r="E76" i="11"/>
  <c r="E73" i="11"/>
  <c r="E72" i="11"/>
  <c r="E71" i="11"/>
  <c r="E70" i="11"/>
  <c r="E69" i="11"/>
  <c r="E68" i="11"/>
  <c r="E67" i="11"/>
  <c r="E66" i="11"/>
  <c r="E65" i="11"/>
  <c r="E64" i="11"/>
  <c r="E63" i="11"/>
  <c r="E62" i="11"/>
  <c r="E61" i="11"/>
  <c r="E60" i="11"/>
  <c r="E59" i="11"/>
  <c r="E58" i="11"/>
  <c r="E57" i="11"/>
  <c r="E56" i="11"/>
  <c r="E55" i="11"/>
  <c r="E54" i="11"/>
  <c r="E53" i="11"/>
  <c r="E52" i="11"/>
  <c r="E51" i="11"/>
  <c r="E50" i="11"/>
  <c r="E44" i="11"/>
  <c r="E42" i="11"/>
  <c r="E39" i="11"/>
  <c r="E38" i="11"/>
  <c r="E37" i="11"/>
  <c r="E33" i="11"/>
  <c r="E30" i="11"/>
  <c r="E28" i="11"/>
  <c r="E27" i="11"/>
  <c r="E26" i="11"/>
  <c r="E25" i="11"/>
  <c r="E22" i="11"/>
  <c r="E16" i="11"/>
  <c r="E13" i="11"/>
  <c r="E12" i="11"/>
  <c r="E11" i="11"/>
  <c r="E10" i="11"/>
  <c r="E9" i="11"/>
  <c r="E8" i="11"/>
  <c r="E31" i="10"/>
  <c r="E30" i="10"/>
  <c r="E29" i="10"/>
  <c r="E28" i="10"/>
  <c r="E26" i="10"/>
  <c r="E25" i="10"/>
  <c r="E24" i="10"/>
  <c r="E23" i="10"/>
  <c r="E22" i="10"/>
  <c r="E21" i="10"/>
  <c r="E20" i="10"/>
  <c r="E19" i="10"/>
  <c r="E18" i="10"/>
  <c r="E17" i="10"/>
  <c r="E8" i="10"/>
  <c r="E7" i="10"/>
  <c r="E43" i="9"/>
  <c r="E42" i="9"/>
  <c r="E41" i="9"/>
  <c r="E40" i="9"/>
  <c r="E38" i="9"/>
  <c r="E37" i="9"/>
  <c r="E36" i="9"/>
  <c r="E35" i="9"/>
  <c r="E34" i="9"/>
  <c r="E32" i="9"/>
  <c r="E31" i="9"/>
  <c r="E29" i="9"/>
  <c r="E25" i="9"/>
  <c r="E24" i="9"/>
  <c r="E20" i="9"/>
  <c r="E18" i="9"/>
  <c r="E17" i="9"/>
  <c r="E16" i="9"/>
  <c r="E15" i="9"/>
  <c r="E10" i="9"/>
  <c r="E9" i="9"/>
  <c r="E8" i="9"/>
  <c r="E7" i="9"/>
  <c r="E62" i="8"/>
  <c r="E61" i="8"/>
  <c r="E60" i="8"/>
  <c r="E55" i="8"/>
  <c r="E54" i="8"/>
  <c r="E53" i="8"/>
  <c r="E52" i="8"/>
  <c r="E51" i="8"/>
  <c r="E49" i="8"/>
  <c r="E48" i="8"/>
  <c r="E47" i="8"/>
  <c r="E45" i="8"/>
  <c r="E44" i="8"/>
  <c r="E43" i="8"/>
  <c r="E42" i="8"/>
  <c r="E41" i="8"/>
  <c r="E40" i="8"/>
  <c r="E39" i="8"/>
  <c r="E38" i="8"/>
  <c r="E35" i="8"/>
  <c r="E34" i="8"/>
  <c r="E33" i="8"/>
  <c r="E32" i="8"/>
  <c r="E31" i="8"/>
  <c r="E30" i="8"/>
  <c r="E29" i="8"/>
  <c r="E28" i="8"/>
  <c r="E23" i="8"/>
  <c r="E22" i="8"/>
  <c r="E20" i="8"/>
  <c r="E19" i="8"/>
  <c r="E18" i="8"/>
  <c r="E17" i="8"/>
  <c r="E16" i="8"/>
  <c r="E15" i="8"/>
  <c r="E14" i="8"/>
  <c r="E8" i="8"/>
  <c r="E28" i="6"/>
  <c r="E27" i="6"/>
  <c r="E26" i="6"/>
  <c r="E25" i="6"/>
  <c r="E24" i="6"/>
  <c r="E23" i="6"/>
  <c r="E22" i="6"/>
  <c r="E21" i="6"/>
  <c r="E20" i="6"/>
  <c r="E19" i="6"/>
  <c r="E18" i="6"/>
  <c r="E17" i="6"/>
  <c r="E16" i="6"/>
  <c r="E15" i="6"/>
  <c r="E14" i="6"/>
  <c r="E12" i="6"/>
  <c r="E10" i="6"/>
  <c r="E7" i="6"/>
  <c r="E21" i="5"/>
  <c r="E17" i="5"/>
  <c r="E6" i="5"/>
  <c r="E74" i="4"/>
  <c r="E73" i="4"/>
  <c r="E72" i="4"/>
  <c r="E71" i="4"/>
  <c r="E70" i="4"/>
  <c r="E69" i="4"/>
  <c r="E68" i="4"/>
  <c r="E67" i="4"/>
  <c r="E64" i="4"/>
  <c r="E63" i="4"/>
  <c r="E62" i="4"/>
  <c r="E61" i="4"/>
  <c r="E60" i="4"/>
  <c r="E57" i="4"/>
  <c r="E56" i="4"/>
  <c r="E55" i="4"/>
  <c r="E54" i="4"/>
  <c r="E53" i="4"/>
  <c r="E52" i="4"/>
  <c r="E51" i="4"/>
  <c r="E50" i="4"/>
  <c r="E47" i="4"/>
  <c r="E46" i="4"/>
  <c r="E45" i="4"/>
  <c r="E44" i="4"/>
  <c r="E43" i="4"/>
  <c r="E42" i="4"/>
  <c r="E41" i="4"/>
  <c r="E40" i="4"/>
  <c r="E39" i="4"/>
  <c r="E38" i="4"/>
  <c r="E37" i="4"/>
  <c r="E36" i="4"/>
  <c r="E35" i="4"/>
  <c r="E34" i="4"/>
  <c r="E33" i="4"/>
  <c r="E30" i="4"/>
  <c r="E29" i="4"/>
  <c r="E28" i="4"/>
  <c r="E27" i="4"/>
  <c r="E26" i="4"/>
  <c r="E25" i="4"/>
  <c r="E24" i="4"/>
  <c r="E23" i="4"/>
  <c r="E22" i="4"/>
  <c r="E19" i="4"/>
  <c r="E18" i="4"/>
  <c r="E17" i="4"/>
  <c r="E16" i="4"/>
  <c r="E15" i="4"/>
  <c r="E14" i="4"/>
  <c r="E13" i="4"/>
  <c r="E12" i="4"/>
  <c r="E11" i="4"/>
  <c r="E10" i="4"/>
  <c r="E7" i="4"/>
  <c r="E6" i="4"/>
  <c r="E41" i="18"/>
  <c r="E40" i="18"/>
  <c r="E39" i="18"/>
  <c r="E38" i="18"/>
  <c r="E37" i="18"/>
  <c r="E33" i="18"/>
  <c r="E24" i="18"/>
  <c r="E23" i="18"/>
  <c r="E21" i="18"/>
  <c r="E20" i="18"/>
  <c r="E19" i="18"/>
  <c r="E15" i="18"/>
  <c r="E14" i="18"/>
  <c r="E13" i="18"/>
  <c r="E12" i="18"/>
  <c r="E11" i="18"/>
  <c r="E10" i="18"/>
  <c r="E7" i="18"/>
  <c r="E6" i="18"/>
  <c r="E5" i="18"/>
  <c r="E43" i="2"/>
  <c r="E42" i="2"/>
  <c r="E41" i="2"/>
  <c r="E40" i="2"/>
  <c r="E39" i="2"/>
  <c r="E35" i="2"/>
  <c r="E30" i="2"/>
  <c r="E26" i="2"/>
  <c r="E25" i="2"/>
  <c r="E23" i="2"/>
  <c r="E22" i="2"/>
  <c r="E15" i="2"/>
  <c r="E14" i="2"/>
  <c r="E13" i="2"/>
  <c r="E11" i="2"/>
  <c r="E8" i="2"/>
  <c r="E7" i="2"/>
  <c r="E6" i="2"/>
  <c r="E5" i="2"/>
  <c r="E71" i="1"/>
  <c r="E65" i="1"/>
  <c r="E64" i="1"/>
  <c r="E63" i="1"/>
  <c r="E61" i="1"/>
  <c r="E58" i="1"/>
  <c r="E56" i="1"/>
  <c r="E55" i="1"/>
  <c r="E54" i="1"/>
  <c r="E50" i="1"/>
  <c r="E49" i="1"/>
  <c r="E48" i="1"/>
  <c r="E47" i="1"/>
  <c r="E45" i="1"/>
  <c r="E44" i="1"/>
  <c r="E37" i="1"/>
  <c r="E36" i="1"/>
  <c r="E35" i="1"/>
  <c r="E34" i="1"/>
  <c r="E30" i="1"/>
  <c r="E29" i="1"/>
  <c r="E27" i="1"/>
  <c r="E25" i="1"/>
  <c r="E18" i="1"/>
  <c r="E6" i="1"/>
  <c r="F108" i="3" l="1"/>
  <c r="E109" i="3"/>
  <c r="F110" i="3"/>
  <c r="E117" i="3"/>
  <c r="F35" i="19" l="1"/>
  <c r="F34" i="19"/>
  <c r="E33" i="19"/>
  <c r="F33" i="19" s="1"/>
  <c r="E80" i="19"/>
  <c r="F80" i="19"/>
  <c r="F88" i="19"/>
  <c r="F83" i="19"/>
  <c r="F85" i="19"/>
  <c r="E102" i="19"/>
  <c r="E108" i="19"/>
  <c r="E101" i="19"/>
  <c r="E100" i="19"/>
  <c r="E95" i="19"/>
  <c r="E90" i="19"/>
  <c r="E86" i="19"/>
  <c r="E84" i="19"/>
  <c r="E6" i="19"/>
  <c r="E7" i="19"/>
  <c r="E8" i="19"/>
  <c r="E9" i="19"/>
  <c r="E10" i="19"/>
  <c r="E11" i="19"/>
  <c r="E14" i="19"/>
  <c r="E15" i="19"/>
  <c r="E16" i="19"/>
  <c r="E17" i="19"/>
  <c r="E18" i="19"/>
  <c r="E19" i="19"/>
  <c r="E20" i="19"/>
  <c r="E21" i="19"/>
  <c r="E22" i="19"/>
  <c r="E25" i="19"/>
  <c r="E27" i="19"/>
  <c r="E28" i="19"/>
  <c r="E29" i="19"/>
  <c r="E30" i="19"/>
  <c r="E31" i="19"/>
  <c r="E32" i="19"/>
  <c r="E36" i="19"/>
  <c r="E39" i="19"/>
  <c r="E40" i="19"/>
  <c r="E41" i="19"/>
  <c r="E42" i="19"/>
  <c r="E43" i="19"/>
  <c r="E44" i="19"/>
  <c r="E45" i="19"/>
  <c r="E46" i="19"/>
  <c r="E47" i="19"/>
  <c r="E48" i="19"/>
  <c r="E49" i="19"/>
  <c r="E50" i="19"/>
  <c r="E51" i="19"/>
  <c r="E54" i="19"/>
  <c r="E55" i="19"/>
  <c r="E56" i="19"/>
  <c r="E57" i="19"/>
  <c r="E58" i="19"/>
  <c r="E59" i="19"/>
  <c r="E60" i="19"/>
  <c r="E64" i="19"/>
  <c r="E65" i="19"/>
  <c r="E66" i="19"/>
  <c r="E67" i="19"/>
  <c r="E68" i="19"/>
  <c r="E69" i="19"/>
  <c r="E72" i="19"/>
  <c r="E73" i="19"/>
  <c r="E74" i="19"/>
  <c r="E75" i="19"/>
  <c r="E76" i="19"/>
  <c r="E77" i="19"/>
  <c r="E78" i="19"/>
  <c r="E79" i="19"/>
  <c r="E112" i="19"/>
  <c r="E113" i="19"/>
  <c r="E114" i="19"/>
  <c r="E115" i="19"/>
  <c r="E116" i="19"/>
  <c r="F86" i="3"/>
  <c r="F93" i="3"/>
  <c r="F94" i="3"/>
  <c r="F95" i="3"/>
  <c r="F96" i="3"/>
  <c r="F97" i="3"/>
  <c r="F98" i="3"/>
  <c r="F99" i="3"/>
  <c r="F100" i="3"/>
  <c r="F101" i="3"/>
  <c r="F102" i="3"/>
  <c r="F103" i="3"/>
  <c r="F104" i="3"/>
  <c r="F105" i="3"/>
  <c r="F106" i="3"/>
  <c r="F107" i="3"/>
  <c r="F109" i="3"/>
  <c r="F111" i="3"/>
  <c r="F112" i="3"/>
  <c r="F113" i="3"/>
  <c r="F114" i="3"/>
  <c r="F115" i="3"/>
  <c r="F116" i="3"/>
  <c r="F117" i="3"/>
  <c r="F118" i="3"/>
  <c r="F92" i="3"/>
  <c r="F90" i="3"/>
  <c r="F91" i="3"/>
  <c r="F85" i="3"/>
  <c r="F88" i="3"/>
  <c r="F89" i="3"/>
  <c r="F84" i="3"/>
  <c r="E85" i="3"/>
  <c r="E37" i="3"/>
  <c r="F37" i="3"/>
  <c r="E56" i="3" l="1"/>
  <c r="F55" i="3"/>
  <c r="F5" i="1" l="1"/>
  <c r="D8" i="5"/>
  <c r="E61" i="3" l="1"/>
  <c r="F56" i="3"/>
  <c r="F57" i="3"/>
  <c r="F58" i="3"/>
  <c r="F59" i="3"/>
  <c r="F60" i="3"/>
  <c r="F61" i="3"/>
  <c r="F62" i="3"/>
  <c r="F63" i="3"/>
  <c r="F64" i="3"/>
  <c r="F29" i="3"/>
  <c r="F26" i="3"/>
  <c r="F64" i="19"/>
  <c r="F65" i="19"/>
  <c r="F66" i="19"/>
  <c r="F67" i="19"/>
  <c r="F68" i="19"/>
  <c r="F69" i="19"/>
  <c r="F70" i="19"/>
  <c r="F71" i="19"/>
  <c r="F72" i="19"/>
  <c r="F73" i="19"/>
  <c r="F74" i="19"/>
  <c r="F75" i="19"/>
  <c r="F76" i="19"/>
  <c r="F77" i="19"/>
  <c r="F78" i="19"/>
  <c r="F79" i="19"/>
  <c r="F81" i="19"/>
  <c r="F82" i="19"/>
  <c r="F84" i="19"/>
  <c r="F86" i="19"/>
  <c r="F87" i="19"/>
  <c r="F89" i="19"/>
  <c r="F90" i="19"/>
  <c r="F91" i="19"/>
  <c r="F92" i="19"/>
  <c r="F93" i="19"/>
  <c r="F94" i="19"/>
  <c r="F95" i="19"/>
  <c r="F96" i="19"/>
  <c r="F97" i="19"/>
  <c r="F98" i="19"/>
  <c r="F99" i="19"/>
  <c r="F100" i="19"/>
  <c r="F101" i="19"/>
  <c r="F102" i="19"/>
  <c r="F103" i="19"/>
  <c r="F104" i="19"/>
  <c r="F105" i="19"/>
  <c r="F106" i="19"/>
  <c r="F107" i="19"/>
  <c r="F27" i="19"/>
  <c r="F28" i="19"/>
  <c r="F29" i="19"/>
  <c r="F30" i="19"/>
  <c r="F31" i="19"/>
  <c r="F32"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26" i="19"/>
  <c r="F6" i="3"/>
  <c r="F7" i="3"/>
  <c r="F8" i="3"/>
  <c r="F9" i="3"/>
  <c r="F10" i="3"/>
  <c r="F11" i="3"/>
  <c r="F12" i="3"/>
  <c r="F13" i="3"/>
  <c r="F14" i="3"/>
  <c r="F15" i="3"/>
  <c r="F16" i="3"/>
  <c r="F17" i="3"/>
  <c r="F18" i="3"/>
  <c r="F19" i="3"/>
  <c r="F20" i="3"/>
  <c r="F21" i="3"/>
  <c r="F22" i="3"/>
  <c r="F23" i="3"/>
  <c r="F24" i="3"/>
  <c r="F25" i="3"/>
  <c r="F27" i="3"/>
  <c r="F28" i="3"/>
  <c r="F30" i="3"/>
  <c r="F31" i="3"/>
  <c r="F32" i="3"/>
  <c r="F33" i="3"/>
  <c r="F34" i="3"/>
  <c r="F35" i="3"/>
  <c r="F36" i="3"/>
  <c r="F40" i="3"/>
  <c r="F41" i="3"/>
  <c r="F42" i="3"/>
  <c r="F43" i="3"/>
  <c r="F44" i="3"/>
  <c r="F45" i="3"/>
  <c r="F46" i="3"/>
  <c r="F47" i="3"/>
  <c r="F48" i="3"/>
  <c r="F49" i="3"/>
  <c r="F50" i="3"/>
  <c r="F51" i="3"/>
  <c r="F52" i="3"/>
  <c r="F65" i="3"/>
  <c r="F66" i="3"/>
  <c r="F67" i="3"/>
  <c r="F68" i="3"/>
  <c r="F69" i="3"/>
  <c r="F70" i="3"/>
  <c r="F71" i="3"/>
  <c r="F72" i="3"/>
  <c r="F73" i="3"/>
  <c r="F74" i="3"/>
  <c r="F75" i="3"/>
  <c r="F76" i="3"/>
  <c r="F77" i="3"/>
  <c r="F78" i="3"/>
  <c r="F79" i="3"/>
  <c r="F80" i="3"/>
  <c r="F81" i="3"/>
  <c r="F82" i="3"/>
  <c r="F83" i="3"/>
  <c r="F7" i="19"/>
  <c r="F8" i="19"/>
  <c r="F9" i="19"/>
  <c r="F10" i="19"/>
  <c r="F11" i="19"/>
  <c r="F12" i="19"/>
  <c r="F13" i="19"/>
  <c r="F14" i="19"/>
  <c r="F15" i="19"/>
  <c r="F16" i="19"/>
  <c r="F17" i="19"/>
  <c r="F18" i="19"/>
  <c r="F19" i="19"/>
  <c r="F20" i="19"/>
  <c r="F21" i="19"/>
  <c r="F22" i="19"/>
  <c r="F23" i="19"/>
  <c r="F24" i="19"/>
  <c r="F25" i="19"/>
  <c r="F108" i="19"/>
  <c r="F109" i="19"/>
  <c r="F110" i="19"/>
  <c r="F111" i="19"/>
  <c r="F112" i="19"/>
  <c r="F113" i="19"/>
  <c r="F114" i="19"/>
  <c r="F115" i="19"/>
  <c r="F116" i="19"/>
  <c r="F117" i="19"/>
  <c r="F118" i="19"/>
  <c r="F6" i="19"/>
  <c r="F82" i="1"/>
  <c r="F9" i="8" l="1"/>
  <c r="E65" i="3" l="1"/>
  <c r="F8" i="2" l="1"/>
  <c r="I21" i="16" l="1"/>
  <c r="I22" i="16" s="1"/>
  <c r="F12" i="5"/>
  <c r="F9" i="5"/>
  <c r="E116" i="3" l="1"/>
  <c r="E115" i="3"/>
  <c r="E114" i="3"/>
  <c r="E113" i="3"/>
  <c r="E103" i="3"/>
  <c r="E102" i="3"/>
  <c r="E97" i="3"/>
  <c r="E91" i="3"/>
  <c r="E81" i="3"/>
  <c r="E80" i="3"/>
  <c r="E79" i="3"/>
  <c r="E78" i="3"/>
  <c r="E77" i="3"/>
  <c r="E76" i="3"/>
  <c r="E75" i="3"/>
  <c r="E74" i="3"/>
  <c r="E73" i="3"/>
  <c r="E70" i="3"/>
  <c r="E69" i="3"/>
  <c r="E68" i="3"/>
  <c r="E67" i="3"/>
  <c r="E66" i="3"/>
  <c r="E60" i="3"/>
  <c r="E59" i="3"/>
  <c r="E58" i="3"/>
  <c r="E57" i="3"/>
  <c r="E52" i="3"/>
  <c r="E51" i="3"/>
  <c r="E50" i="3"/>
  <c r="E49" i="3"/>
  <c r="E48" i="3"/>
  <c r="E47" i="3"/>
  <c r="E46" i="3"/>
  <c r="E45" i="3"/>
  <c r="E44" i="3"/>
  <c r="E43" i="3"/>
  <c r="E42" i="3"/>
  <c r="E41" i="3"/>
  <c r="E40" i="3"/>
  <c r="E34" i="3"/>
  <c r="E32" i="3"/>
  <c r="E25" i="3"/>
  <c r="E22" i="3"/>
  <c r="E21" i="3"/>
  <c r="E20" i="3"/>
  <c r="E19" i="3"/>
  <c r="E18" i="3"/>
  <c r="E17" i="3"/>
  <c r="E16" i="3"/>
  <c r="E15" i="3"/>
  <c r="E14" i="3"/>
  <c r="E11" i="3"/>
  <c r="E10" i="3"/>
  <c r="E9" i="3"/>
  <c r="E8" i="3"/>
  <c r="E7" i="3"/>
  <c r="E6" i="3"/>
  <c r="F9" i="12" l="1"/>
  <c r="F8" i="12"/>
  <c r="F98" i="11"/>
  <c r="F77" i="11"/>
  <c r="F49" i="11"/>
  <c r="F45" i="11"/>
  <c r="F16" i="10"/>
  <c r="F12" i="10"/>
  <c r="F11" i="10"/>
  <c r="F10" i="10"/>
  <c r="F28" i="9"/>
  <c r="F27" i="9"/>
  <c r="F23" i="9"/>
  <c r="F22" i="9"/>
  <c r="F59" i="8"/>
  <c r="F57" i="8"/>
  <c r="F11" i="6"/>
  <c r="F9" i="6"/>
  <c r="F18" i="5"/>
  <c r="F21" i="5"/>
  <c r="F22" i="5"/>
  <c r="F23" i="5"/>
  <c r="F77" i="4"/>
  <c r="F80" i="4"/>
  <c r="F82" i="4"/>
  <c r="F83" i="4"/>
  <c r="F43" i="18"/>
  <c r="F42" i="18"/>
  <c r="F27" i="18"/>
  <c r="F22" i="18"/>
  <c r="F16" i="18"/>
  <c r="F9" i="18"/>
  <c r="F8" i="18"/>
  <c r="F9" i="2"/>
  <c r="F10" i="2"/>
  <c r="F12" i="2"/>
  <c r="F29" i="2"/>
  <c r="F44" i="2"/>
  <c r="F81" i="1"/>
  <c r="F77" i="1"/>
  <c r="F78" i="1"/>
  <c r="F79" i="1"/>
  <c r="F80" i="1"/>
  <c r="F73" i="1"/>
  <c r="F74" i="1"/>
  <c r="F75" i="1"/>
  <c r="F76" i="1"/>
  <c r="F72" i="1"/>
  <c r="F70" i="1"/>
  <c r="F69" i="1"/>
  <c r="F67" i="1"/>
  <c r="F66" i="1"/>
  <c r="F62" i="1"/>
  <c r="F60" i="1"/>
  <c r="F59" i="1"/>
  <c r="F57" i="1"/>
  <c r="F52" i="1"/>
  <c r="F53" i="1" s="1"/>
  <c r="F51" i="1"/>
  <c r="F42" i="1"/>
  <c r="F43" i="1"/>
  <c r="F39" i="1"/>
  <c r="F40" i="1"/>
  <c r="F41" i="1"/>
  <c r="F38" i="1"/>
  <c r="F32" i="1"/>
  <c r="F28" i="1"/>
  <c r="F26" i="1"/>
  <c r="F20" i="1"/>
  <c r="F21" i="1"/>
  <c r="F22" i="1"/>
  <c r="F23" i="1"/>
  <c r="F24" i="1"/>
  <c r="F19" i="1"/>
  <c r="F16" i="1"/>
  <c r="F17" i="1"/>
  <c r="F15" i="1"/>
  <c r="F7" i="1"/>
  <c r="F8" i="1"/>
  <c r="F9" i="1"/>
  <c r="F10" i="1"/>
  <c r="F11" i="1"/>
  <c r="F12" i="1"/>
  <c r="F112" i="4" l="1"/>
  <c r="F83" i="1"/>
  <c r="F18" i="2" l="1"/>
  <c r="F14" i="16" l="1"/>
  <c r="C18" i="13" s="1"/>
  <c r="F41" i="18" l="1"/>
  <c r="F40" i="18"/>
  <c r="F38" i="18"/>
  <c r="F37" i="18"/>
  <c r="F34" i="18"/>
  <c r="F33" i="18"/>
  <c r="F30" i="18"/>
  <c r="F29" i="18"/>
  <c r="F28" i="18"/>
  <c r="F25" i="18"/>
  <c r="F21" i="18"/>
  <c r="F19" i="18"/>
  <c r="F17" i="18"/>
  <c r="F15" i="18"/>
  <c r="F14" i="18"/>
  <c r="F12" i="18"/>
  <c r="F10" i="18"/>
  <c r="F7" i="18"/>
  <c r="F5" i="18"/>
  <c r="F119" i="19" l="1"/>
  <c r="C8" i="13" s="1"/>
  <c r="F11" i="18"/>
  <c r="F24" i="18"/>
  <c r="F23" i="18"/>
  <c r="F31" i="18"/>
  <c r="F35" i="18"/>
  <c r="F6" i="18"/>
  <c r="F20" i="18"/>
  <c r="F39" i="18"/>
  <c r="F13" i="18"/>
  <c r="F18" i="18"/>
  <c r="F32" i="18"/>
  <c r="F44" i="18" l="1"/>
  <c r="C6" i="13" s="1"/>
  <c r="F10" i="6"/>
  <c r="F7" i="12" l="1"/>
  <c r="F11" i="12"/>
  <c r="F8" i="11"/>
  <c r="F9" i="11"/>
  <c r="F10" i="11"/>
  <c r="F11" i="11"/>
  <c r="F12" i="11"/>
  <c r="F13" i="11"/>
  <c r="F25" i="11"/>
  <c r="F26" i="11"/>
  <c r="F28" i="11"/>
  <c r="F30" i="11"/>
  <c r="F32" i="11"/>
  <c r="F33" i="11"/>
  <c r="F37" i="11"/>
  <c r="F39" i="11"/>
  <c r="F42" i="11"/>
  <c r="F50" i="11"/>
  <c r="F51" i="11"/>
  <c r="F52" i="11"/>
  <c r="F53" i="11"/>
  <c r="F54" i="11"/>
  <c r="F55" i="11"/>
  <c r="F56" i="11"/>
  <c r="F57" i="11"/>
  <c r="F58" i="11"/>
  <c r="F59" i="11"/>
  <c r="F60" i="11"/>
  <c r="F61" i="11"/>
  <c r="F62" i="11"/>
  <c r="F63" i="11"/>
  <c r="F64" i="11"/>
  <c r="F65" i="11"/>
  <c r="F66" i="11"/>
  <c r="F67" i="11"/>
  <c r="F68" i="11"/>
  <c r="F69" i="11"/>
  <c r="F70" i="11"/>
  <c r="F71" i="11"/>
  <c r="F72" i="11"/>
  <c r="F73" i="11"/>
  <c r="F87" i="11"/>
  <c r="F88" i="11"/>
  <c r="F89" i="11"/>
  <c r="F99" i="11"/>
  <c r="F102" i="11"/>
  <c r="F103" i="11"/>
  <c r="F104" i="11"/>
  <c r="F105" i="11"/>
  <c r="F106" i="11"/>
  <c r="F107" i="11"/>
  <c r="F108" i="11"/>
  <c r="F109" i="11"/>
  <c r="F110" i="11"/>
  <c r="F111" i="11"/>
  <c r="F112" i="11"/>
  <c r="F113" i="11"/>
  <c r="F114" i="11"/>
  <c r="F116" i="11"/>
  <c r="F117" i="11"/>
  <c r="F118" i="11"/>
  <c r="F121" i="11"/>
  <c r="F122" i="11"/>
  <c r="F124" i="11"/>
  <c r="F125" i="11"/>
  <c r="F126" i="11"/>
  <c r="F15" i="11"/>
  <c r="F16" i="11"/>
  <c r="F20" i="11"/>
  <c r="F21" i="11"/>
  <c r="F22" i="11"/>
  <c r="F23" i="11"/>
  <c r="F24" i="11"/>
  <c r="F27" i="11"/>
  <c r="F29" i="11"/>
  <c r="F31" i="11"/>
  <c r="F36" i="11"/>
  <c r="F38" i="11"/>
  <c r="F40" i="11"/>
  <c r="F41" i="11"/>
  <c r="F43" i="11"/>
  <c r="F44" i="11"/>
  <c r="F48" i="11"/>
  <c r="F76" i="11"/>
  <c r="F78" i="11"/>
  <c r="F79" i="11"/>
  <c r="F80" i="11"/>
  <c r="F81" i="11"/>
  <c r="F82" i="11"/>
  <c r="F83" i="11"/>
  <c r="F84" i="11"/>
  <c r="F85" i="11"/>
  <c r="F86" i="11"/>
  <c r="F90" i="11"/>
  <c r="F91" i="11"/>
  <c r="F92" i="11"/>
  <c r="F94" i="11"/>
  <c r="F95" i="11"/>
  <c r="F96" i="11"/>
  <c r="F97" i="11"/>
  <c r="F115" i="11"/>
  <c r="F119" i="11"/>
  <c r="F120" i="11"/>
  <c r="F7" i="10"/>
  <c r="F8" i="10"/>
  <c r="F17" i="10"/>
  <c r="F18" i="10"/>
  <c r="F20" i="10"/>
  <c r="F21" i="10"/>
  <c r="F22" i="10"/>
  <c r="F23" i="10"/>
  <c r="F24" i="10"/>
  <c r="F25" i="10"/>
  <c r="F26" i="10"/>
  <c r="F28" i="10"/>
  <c r="F29" i="10"/>
  <c r="F30" i="10"/>
  <c r="F31" i="10"/>
  <c r="F6" i="10"/>
  <c r="F9" i="10"/>
  <c r="F14" i="10"/>
  <c r="F15" i="10"/>
  <c r="F19" i="10"/>
  <c r="F5" i="10"/>
  <c r="F15" i="9"/>
  <c r="F16" i="9"/>
  <c r="F17" i="9"/>
  <c r="F18" i="9"/>
  <c r="F20" i="9"/>
  <c r="F29" i="9"/>
  <c r="F31" i="9"/>
  <c r="F32" i="9"/>
  <c r="F34" i="9"/>
  <c r="F35" i="9"/>
  <c r="F36" i="9"/>
  <c r="F37" i="9"/>
  <c r="F38" i="9"/>
  <c r="F40" i="9"/>
  <c r="F41" i="9"/>
  <c r="F42" i="9"/>
  <c r="F43" i="9"/>
  <c r="F30" i="9"/>
  <c r="F13" i="8"/>
  <c r="F14" i="8"/>
  <c r="F15" i="8"/>
  <c r="F16" i="8"/>
  <c r="F17" i="8"/>
  <c r="F18" i="8"/>
  <c r="F19" i="8"/>
  <c r="F20" i="8"/>
  <c r="F22" i="8"/>
  <c r="F23" i="8"/>
  <c r="F26" i="8"/>
  <c r="F28" i="8"/>
  <c r="F29" i="8"/>
  <c r="F30" i="8"/>
  <c r="F31" i="8"/>
  <c r="F32" i="8"/>
  <c r="F33" i="8"/>
  <c r="F34" i="8"/>
  <c r="F35" i="8"/>
  <c r="F39" i="8"/>
  <c r="F40" i="8"/>
  <c r="F41" i="8"/>
  <c r="F43" i="8"/>
  <c r="F44" i="8"/>
  <c r="F45" i="8"/>
  <c r="F47" i="8"/>
  <c r="F48" i="8"/>
  <c r="F49" i="8"/>
  <c r="F52" i="8"/>
  <c r="F53" i="8"/>
  <c r="F54" i="8"/>
  <c r="F58" i="8"/>
  <c r="F60" i="8"/>
  <c r="F61" i="8"/>
  <c r="F62" i="8"/>
  <c r="F8" i="8"/>
  <c r="F7" i="7"/>
  <c r="F10" i="7"/>
  <c r="F11" i="7"/>
  <c r="F12" i="7"/>
  <c r="F13" i="7"/>
  <c r="F14" i="7"/>
  <c r="F16" i="7"/>
  <c r="F17" i="7"/>
  <c r="F19" i="7"/>
  <c r="F6" i="7"/>
  <c r="E7" i="7"/>
  <c r="F8" i="7"/>
  <c r="F9" i="7"/>
  <c r="E10" i="7"/>
  <c r="E11" i="7"/>
  <c r="E12" i="7"/>
  <c r="E13" i="7"/>
  <c r="E14" i="7"/>
  <c r="E16" i="7"/>
  <c r="E17" i="7"/>
  <c r="E19" i="7"/>
  <c r="E6" i="7"/>
  <c r="F12" i="6"/>
  <c r="F20" i="6"/>
  <c r="F21" i="6"/>
  <c r="F22" i="6"/>
  <c r="F23" i="6"/>
  <c r="F25" i="6"/>
  <c r="F26" i="6"/>
  <c r="F27" i="6"/>
  <c r="F28" i="6"/>
  <c r="F17" i="5"/>
  <c r="F6" i="5"/>
  <c r="F13" i="5"/>
  <c r="F14" i="5"/>
  <c r="F15" i="5"/>
  <c r="F16" i="5"/>
  <c r="F25" i="5"/>
  <c r="F13" i="2"/>
  <c r="F25" i="2"/>
  <c r="F37" i="2"/>
  <c r="F39" i="2"/>
  <c r="F40" i="2"/>
  <c r="F41" i="2"/>
  <c r="F42" i="2"/>
  <c r="F26" i="2"/>
  <c r="F43" i="2"/>
  <c r="F5" i="2"/>
  <c r="F20" i="7" l="1"/>
  <c r="C12" i="13" s="1"/>
  <c r="F32" i="10"/>
  <c r="C15" i="13" s="1"/>
  <c r="F15" i="6" l="1"/>
  <c r="F21" i="8"/>
  <c r="F51" i="8"/>
  <c r="F20" i="5"/>
  <c r="F7" i="6" l="1"/>
  <c r="F55" i="8"/>
  <c r="F38" i="8"/>
  <c r="F24" i="5" l="1"/>
  <c r="F6" i="12" l="1"/>
  <c r="F10" i="12"/>
  <c r="F12" i="12" l="1"/>
  <c r="C17" i="13" s="1"/>
  <c r="F25" i="9"/>
  <c r="F24" i="9"/>
  <c r="F42" i="8" l="1"/>
  <c r="F21" i="9" l="1"/>
  <c r="F17" i="6" l="1"/>
  <c r="F18" i="6" l="1"/>
  <c r="F16" i="6"/>
  <c r="F19" i="6"/>
  <c r="F6" i="6"/>
  <c r="F8" i="6"/>
  <c r="F24" i="6" l="1"/>
  <c r="F14" i="6"/>
  <c r="F29" i="6" l="1"/>
  <c r="C11" i="13" s="1"/>
  <c r="C4" i="13" l="1"/>
  <c r="F24" i="8" l="1"/>
  <c r="F6" i="9" l="1"/>
  <c r="F11" i="5"/>
  <c r="F19" i="9"/>
  <c r="F14" i="9"/>
  <c r="F13" i="9"/>
  <c r="F11" i="9"/>
  <c r="F10" i="9"/>
  <c r="F9" i="9"/>
  <c r="F7" i="9"/>
  <c r="F12" i="8"/>
  <c r="F11" i="8"/>
  <c r="F10" i="8"/>
  <c r="F7" i="8"/>
  <c r="F6" i="8"/>
  <c r="F5" i="8"/>
  <c r="F10" i="5"/>
  <c r="F7" i="5"/>
  <c r="F64" i="8" l="1"/>
  <c r="C13" i="13" s="1"/>
  <c r="F23" i="2"/>
  <c r="F17" i="2"/>
  <c r="F33" i="2" l="1"/>
  <c r="F35" i="2"/>
  <c r="F30" i="2"/>
  <c r="F34" i="2"/>
  <c r="F22" i="2" l="1"/>
  <c r="F20" i="2" l="1"/>
  <c r="F21" i="2"/>
  <c r="F19" i="2"/>
  <c r="F11" i="2" l="1"/>
  <c r="C9" i="13" l="1"/>
  <c r="F7" i="2"/>
  <c r="F15" i="2"/>
  <c r="F14" i="2"/>
  <c r="F6" i="2"/>
  <c r="F27" i="2" l="1"/>
  <c r="F8" i="9" l="1"/>
  <c r="F119" i="3" l="1"/>
  <c r="C7" i="13" s="1"/>
  <c r="F16" i="2"/>
  <c r="F24" i="2" l="1"/>
  <c r="F8" i="5" l="1"/>
  <c r="F6" i="11"/>
  <c r="F28" i="5" l="1"/>
  <c r="C10" i="13" s="1"/>
  <c r="F14" i="11"/>
  <c r="F17" i="11"/>
  <c r="F7" i="11"/>
  <c r="F127" i="11" l="1"/>
  <c r="C16" i="13" s="1"/>
  <c r="F12" i="9"/>
  <c r="F44" i="9" s="1"/>
  <c r="C14" i="13" s="1"/>
  <c r="F32" i="2" l="1"/>
  <c r="F31" i="2"/>
  <c r="F45" i="2" s="1"/>
  <c r="F36" i="2"/>
  <c r="C5" i="13" l="1"/>
  <c r="C19" i="13" s="1"/>
</calcChain>
</file>

<file path=xl/sharedStrings.xml><?xml version="1.0" encoding="utf-8"?>
<sst xmlns="http://schemas.openxmlformats.org/spreadsheetml/2006/main" count="3013" uniqueCount="1384">
  <si>
    <t>Number</t>
  </si>
  <si>
    <t>Item description</t>
  </si>
  <si>
    <t>Unit</t>
  </si>
  <si>
    <t>Quantity</t>
  </si>
  <si>
    <t>Rate</t>
  </si>
  <si>
    <t>Amount</t>
  </si>
  <si>
    <t>€</t>
  </si>
  <si>
    <t>A</t>
  </si>
  <si>
    <t>General items, provisional services and additional items</t>
  </si>
  <si>
    <t>A1</t>
  </si>
  <si>
    <t>Offices and stores for the Contractor</t>
  </si>
  <si>
    <t>sum</t>
  </si>
  <si>
    <t>A2</t>
  </si>
  <si>
    <t>Establish on site all plant, equipment and services for a Green Category site</t>
  </si>
  <si>
    <t>A2.1</t>
  </si>
  <si>
    <t>A2.2</t>
  </si>
  <si>
    <t>A2.3</t>
  </si>
  <si>
    <t>A2.4</t>
  </si>
  <si>
    <t>A2.5</t>
  </si>
  <si>
    <t>A2.6</t>
  </si>
  <si>
    <t xml:space="preserve">Establish on site cone penetration testing (CPT) plant and equipment for a Green Category site  </t>
  </si>
  <si>
    <t>A2.7</t>
  </si>
  <si>
    <t>A2.8</t>
  </si>
  <si>
    <t>A2.9</t>
  </si>
  <si>
    <t>A3.1</t>
  </si>
  <si>
    <t>provisional sum</t>
  </si>
  <si>
    <t>A3.2</t>
  </si>
  <si>
    <t>As Item A3.1 but for a Red Category site</t>
  </si>
  <si>
    <t>A4.1</t>
  </si>
  <si>
    <t>A4.2</t>
  </si>
  <si>
    <t>Maintain on site all site safety equipment for a Red Category site</t>
  </si>
  <si>
    <t>A5.1</t>
  </si>
  <si>
    <t>A5.2</t>
  </si>
  <si>
    <t>Decontamination of equipment during and at end of intrusive investigation for a Red Category site</t>
  </si>
  <si>
    <t>A6</t>
  </si>
  <si>
    <t>A6.1</t>
  </si>
  <si>
    <t>Contractor's uplift on Item A6</t>
  </si>
  <si>
    <t>%</t>
  </si>
  <si>
    <t>A7</t>
  </si>
  <si>
    <t xml:space="preserve">Provide professional attendance to meet the contract requirements </t>
  </si>
  <si>
    <t>A7.1</t>
  </si>
  <si>
    <t>Provide Technician</t>
  </si>
  <si>
    <t>per day</t>
  </si>
  <si>
    <t>A7.2</t>
  </si>
  <si>
    <t>Provide Engineer / Geologist (as per item 2.3 of Specification)</t>
  </si>
  <si>
    <t>A7.3</t>
  </si>
  <si>
    <t>Provide Chartered Engineer / Professional Geologist (as item 2.3 of Specification)</t>
  </si>
  <si>
    <t>A7.4</t>
  </si>
  <si>
    <t>Provide Chartered Engineer / Professional Geologist (+10 years experience post charter)</t>
  </si>
  <si>
    <t>A7.5</t>
  </si>
  <si>
    <t>Provide Chartered Engineer / Professional Geologist (+20 years experience post charter)</t>
  </si>
  <si>
    <t>A8</t>
  </si>
  <si>
    <t>Set out the location at each exploratory hole or point</t>
  </si>
  <si>
    <t>A8.1</t>
  </si>
  <si>
    <t>nr</t>
  </si>
  <si>
    <t>A9</t>
  </si>
  <si>
    <t>A10</t>
  </si>
  <si>
    <t>per week</t>
  </si>
  <si>
    <t>A11</t>
  </si>
  <si>
    <t>Vehicle(s) for the Investigation Supervisor</t>
  </si>
  <si>
    <t>vehicle wk</t>
  </si>
  <si>
    <t>A11.1</t>
  </si>
  <si>
    <t>Provision of fuel and tolls for A11 (to be reimbursed under the contract)</t>
  </si>
  <si>
    <t>A11.2</t>
  </si>
  <si>
    <t>Contractors uplift on item A11 and A11.1</t>
  </si>
  <si>
    <t>% uplift</t>
  </si>
  <si>
    <t>A12</t>
  </si>
  <si>
    <t>Provision of phone and internet for the Investigation Supervisor (to be reimbursed under the contract)</t>
  </si>
  <si>
    <t>A12.1</t>
  </si>
  <si>
    <t>Contractors Uplift on item A12</t>
  </si>
  <si>
    <t>A13</t>
  </si>
  <si>
    <t>Deliver selected cores and samples specified Client address (address to be advised)</t>
  </si>
  <si>
    <t>A14</t>
  </si>
  <si>
    <t>Special additional testing and sampling required by Investigation Supervisor</t>
  </si>
  <si>
    <t>A15</t>
  </si>
  <si>
    <t xml:space="preserve">Traffic safety and management to include preparation of traffic management drawings for investigations on roads or pavement areas   </t>
  </si>
  <si>
    <t>A16</t>
  </si>
  <si>
    <t>Provision of road opening licences and road damage bonds</t>
  </si>
  <si>
    <t>A17</t>
  </si>
  <si>
    <t>Contractors uplift on items A15 and A16</t>
  </si>
  <si>
    <t>A18</t>
  </si>
  <si>
    <t xml:space="preserve">One master copy of Desk Study Report </t>
  </si>
  <si>
    <t>A18.1</t>
  </si>
  <si>
    <t xml:space="preserve">Additional hard copy of Desk Study Report </t>
  </si>
  <si>
    <t>A18.2</t>
  </si>
  <si>
    <t>Electronic copy of Desk Study Report (PDF)</t>
  </si>
  <si>
    <t>A19</t>
  </si>
  <si>
    <t>One master copy of the Ground Investigation Report (Factual)</t>
  </si>
  <si>
    <t>A19.1</t>
  </si>
  <si>
    <t>Additional copy of the Ground Investigation Report (Factual)</t>
  </si>
  <si>
    <t>A19.2</t>
  </si>
  <si>
    <t xml:space="preserve">Electronic copy of Ground Investigation Report </t>
  </si>
  <si>
    <t>A20</t>
  </si>
  <si>
    <t>One master copy of Geophysical Report</t>
  </si>
  <si>
    <t>A20.1</t>
  </si>
  <si>
    <t xml:space="preserve">Additional hard copy of Geophysical Report </t>
  </si>
  <si>
    <t>A20.2</t>
  </si>
  <si>
    <t>Electronic copy of Geophysical Report (PDF)</t>
  </si>
  <si>
    <t>A21</t>
  </si>
  <si>
    <t xml:space="preserve">One master copy of Geotechnical Interpretive Report </t>
  </si>
  <si>
    <t>A21.1</t>
  </si>
  <si>
    <t>Additional copy of Geotechnical Interpretive Report</t>
  </si>
  <si>
    <t>A21.2</t>
  </si>
  <si>
    <t xml:space="preserve">Electronic copy of Geotechnical Interpretive Report </t>
  </si>
  <si>
    <t>A22</t>
  </si>
  <si>
    <t>Digital field/engineering logs in AGS  transfer format</t>
  </si>
  <si>
    <t>A23</t>
  </si>
  <si>
    <t>Digital laboratory test data in AGS  transfer files</t>
  </si>
  <si>
    <t>A24</t>
  </si>
  <si>
    <t>Digital copy of trial pit, slit trench or core photographs as per Specification</t>
  </si>
  <si>
    <t>A25</t>
  </si>
  <si>
    <t>wk</t>
  </si>
  <si>
    <t>A26</t>
  </si>
  <si>
    <t>A27</t>
  </si>
  <si>
    <t>Provision of water supply for the fieldworks</t>
  </si>
  <si>
    <t>A28</t>
  </si>
  <si>
    <t>A29</t>
  </si>
  <si>
    <t>Provision of Performance Bond</t>
  </si>
  <si>
    <t>A30</t>
  </si>
  <si>
    <t>Perform the role of PSCS</t>
  </si>
  <si>
    <t xml:space="preserve">A31 </t>
  </si>
  <si>
    <t>Total Section A carried to summary:</t>
  </si>
  <si>
    <t>B</t>
  </si>
  <si>
    <t>Cable Percussion Boring (cable tool or percussive boring using minimum of 200mm diameter casing)</t>
  </si>
  <si>
    <t>B1</t>
  </si>
  <si>
    <t>Move boring plant and equipment to the site of each exploratory hole and set up (cable percussive only)</t>
  </si>
  <si>
    <t xml:space="preserve">Refer to items  B1.1 and B1.2 </t>
  </si>
  <si>
    <t>B1.1.1</t>
  </si>
  <si>
    <t>Move boring plant and equipment to the site of each exploratory hole, set up, dismantle on completion and reinstate (cable percussive only)</t>
  </si>
  <si>
    <t>B1.1.2</t>
  </si>
  <si>
    <t>Move boring plant and equipment to the site of each exploratory hole over safety barrier or other fence or wall, set up, dismantle on completion and reinstate (cable percussive only)</t>
  </si>
  <si>
    <t>B1.2.1</t>
  </si>
  <si>
    <t>Move boring plant and equipment to the site of each exploratory hole, set up, dismantle on completion and reinstate (where borehole is to be followed on with rotary drilling)</t>
  </si>
  <si>
    <t>B1.2.2</t>
  </si>
  <si>
    <t>Move boring plant and equipment to the site of each exploratory hole over safety barrier or other fence or wall, set up, dismantle on completion and reinstate (where borehole is to be followed on with rotary drilling)</t>
  </si>
  <si>
    <t>B2</t>
  </si>
  <si>
    <t>Extra over Item B1 for setting up on a slope of gradient greater than 20%</t>
  </si>
  <si>
    <t>Refer to items B2.1 and B2.2</t>
  </si>
  <si>
    <t>B2.1</t>
  </si>
  <si>
    <t>Extra over Item B1.1 for setting up on a slope of gradient greater than 20%</t>
  </si>
  <si>
    <t>B2.2</t>
  </si>
  <si>
    <t>Extra over Item B1.2 for setting up on a slope of gradient greater than 20%</t>
  </si>
  <si>
    <t>B3</t>
  </si>
  <si>
    <t>Hand digging and CAT scan at borehole location to confirm absence of utility ducts (maximum depth of 1.2m or lesser if ground is assessed as potentially unstable)</t>
  </si>
  <si>
    <t>B3.1</t>
  </si>
  <si>
    <t>Break out obstructions where present when hand digging at exploratory hole location for Item B3.</t>
  </si>
  <si>
    <t>m3</t>
  </si>
  <si>
    <t>B4</t>
  </si>
  <si>
    <t>Advance borehole between existing ground level and 10 m depth</t>
  </si>
  <si>
    <t>m</t>
  </si>
  <si>
    <t>B5</t>
  </si>
  <si>
    <t>As Item B4 but between 10 m and 20 m depth</t>
  </si>
  <si>
    <t>B6</t>
  </si>
  <si>
    <t>As Item B4 but between 20 m and 30 m depth</t>
  </si>
  <si>
    <t>B7</t>
  </si>
  <si>
    <t>As Item B4 but between 30 m and 40 m depth</t>
  </si>
  <si>
    <t>B8</t>
  </si>
  <si>
    <t>As Item B4 but between 40 m and 50 m depth</t>
  </si>
  <si>
    <t>B9</t>
  </si>
  <si>
    <t>Advance borehole through hard stratum or obstruction</t>
  </si>
  <si>
    <t>h</t>
  </si>
  <si>
    <t>B10</t>
  </si>
  <si>
    <t>Provide aquifer protection measures at a single aquiclude/aquifer boundary or cross-contamination control measures at a single soil boundary in a borehole</t>
  </si>
  <si>
    <t>B11</t>
  </si>
  <si>
    <t>Backfill borehole with cement/bentonite grout or bentonite pellets (where standpipe piezometer is not installed)</t>
  </si>
  <si>
    <t>m³</t>
  </si>
  <si>
    <t>B12</t>
  </si>
  <si>
    <t>B13</t>
  </si>
  <si>
    <t>Move dynamic sampling equipment to the site of each exploratory hole and set up</t>
  </si>
  <si>
    <t>B14</t>
  </si>
  <si>
    <t>Extra over Item B13 for setting up on a slope of gradient greater than 20%</t>
  </si>
  <si>
    <t>B15</t>
  </si>
  <si>
    <t>Hand digging and CAT scan at dynamic sampling location to confirm absence of utility ducts (maximum depth of 1.2m or lesser if ground is assessed as potentially unstable)</t>
  </si>
  <si>
    <t>B16</t>
  </si>
  <si>
    <t>Break out surface obstruction where present</t>
  </si>
  <si>
    <t>B17</t>
  </si>
  <si>
    <t>Advance dynamic sample hole between existing ground level and 5 m depth</t>
  </si>
  <si>
    <t>B18</t>
  </si>
  <si>
    <t>As Item B15 but between 5 and 10 m depth</t>
  </si>
  <si>
    <t>B19</t>
  </si>
  <si>
    <t>B20</t>
  </si>
  <si>
    <t>hr</t>
  </si>
  <si>
    <t>B21</t>
  </si>
  <si>
    <t>Backfill dynamic sample borehole with cement/bentonite grout or bentonite pellets (where standpipe or piezometer is not installed)</t>
  </si>
  <si>
    <t>Reinstatement of Cable Percussive Borehole and Dynamic Sample Borehole</t>
  </si>
  <si>
    <t>B22</t>
  </si>
  <si>
    <t>Reinstatement of gravel hardstanding</t>
  </si>
  <si>
    <t>m²</t>
  </si>
  <si>
    <t>B23</t>
  </si>
  <si>
    <t>Reinstatement of asphalt / bituminous pavement</t>
  </si>
  <si>
    <t>B24</t>
  </si>
  <si>
    <t>Reinstatement of grass areas</t>
  </si>
  <si>
    <t>B25</t>
  </si>
  <si>
    <t>Provision of stock proof fencing to borehole or dynamic sample work area</t>
  </si>
  <si>
    <t>B26</t>
  </si>
  <si>
    <t>Disposal of excess or surplus inert arisings from cable percussion boring or dynamic sampling (where standpipe or piezometer is not installed)</t>
  </si>
  <si>
    <t>Total Section B carried to summary:</t>
  </si>
  <si>
    <t xml:space="preserve">C </t>
  </si>
  <si>
    <t>Rotary drilling</t>
  </si>
  <si>
    <t>Hand augering</t>
  </si>
  <si>
    <t>C1</t>
  </si>
  <si>
    <t>Bring hand auger equipment to the position of each exploratory hole</t>
  </si>
  <si>
    <t>C2</t>
  </si>
  <si>
    <t>Bore with hand auger from existing ground level to 2m depth</t>
  </si>
  <si>
    <t>C3</t>
  </si>
  <si>
    <t>As Item C2 but between 2 and 4m depth</t>
  </si>
  <si>
    <t>C4</t>
  </si>
  <si>
    <t>Standing time for hand auger equipment and crew</t>
  </si>
  <si>
    <t>C5</t>
  </si>
  <si>
    <t>Provision of hand augering equipment and crew for augering as directed by the Investigation Supervisor maximum depth 4m</t>
  </si>
  <si>
    <t>day</t>
  </si>
  <si>
    <t>C6</t>
  </si>
  <si>
    <t>Backfill hand auger hole with cement/bentonite grout or bentonite pellets</t>
  </si>
  <si>
    <t>Continuous flight and hollow-stem flight augering</t>
  </si>
  <si>
    <t>C7</t>
  </si>
  <si>
    <t>Move mechanical augering plant and equipment to the site of each exploratory hole and set up.</t>
  </si>
  <si>
    <t>C7.1</t>
  </si>
  <si>
    <t>Hand digging and CAT scan at rotary drillhole location to confirm absence of utility ducts ( maximum depth of 1.2m or lesser if ground is assessed as potentially unstable).</t>
  </si>
  <si>
    <t>C8</t>
  </si>
  <si>
    <t>Extra over Item C7 for setting up on a slope of gradient greater than 20%</t>
  </si>
  <si>
    <t>C9</t>
  </si>
  <si>
    <t>Break out obstructions where present when hand digging at auger hole location for Item C7.1.</t>
  </si>
  <si>
    <t>C10</t>
  </si>
  <si>
    <t>Standing time for rotary auger equipment and crew.</t>
  </si>
  <si>
    <t>C11</t>
  </si>
  <si>
    <t>Auger in materials other than hard strata at the specified diameter between existing ground level and 10m depth.</t>
  </si>
  <si>
    <t>C12</t>
  </si>
  <si>
    <t>As Item C11 but between 10 and 20m depth.</t>
  </si>
  <si>
    <t>C13</t>
  </si>
  <si>
    <t>As Item C11 but between 20 and 30m depth.</t>
  </si>
  <si>
    <t>C14</t>
  </si>
  <si>
    <t>Rotary drilling with and without core recovery</t>
  </si>
  <si>
    <t>C15</t>
  </si>
  <si>
    <t>Move rotary drilling plant and equipment to the site of each exploratory drillhole and set up.</t>
  </si>
  <si>
    <t>C15.1.1</t>
  </si>
  <si>
    <t>C15.1.2</t>
  </si>
  <si>
    <t>Move rotary drilling plant and equipment to the site of each exploratory drillhole over safety barrier or other fence or wall, set up, dismantle on completion and reinstate (rotary follow-on).</t>
  </si>
  <si>
    <t>C15.2.1</t>
  </si>
  <si>
    <t>Move rotary drilling plant and equipment to the site of each exploratory drillhole, set up, dismantle on completion and reinstate (rotary only).</t>
  </si>
  <si>
    <t>C15.2.2</t>
  </si>
  <si>
    <t>Move rotary drilling plant and equipment to the site of each exploratory drillhole, over safety barrier or other fence or wall, set up, dismantle on completion and reinstate (rotary only).</t>
  </si>
  <si>
    <t>C15.3</t>
  </si>
  <si>
    <t>Hand digging and CAT scan at rotary drillhole location to confirm absence of utility ducts ( maximum depth of 1.2m or lesser if ground is assessed as potentially unstable) for rotary only borehole</t>
  </si>
  <si>
    <t>C16</t>
  </si>
  <si>
    <t>Extra over Item C15 for setting up on a slope of gradient greater than 20%.</t>
  </si>
  <si>
    <t>C17</t>
  </si>
  <si>
    <t>Extra over Item C15 for setting up drilling plant for inclined drillhole</t>
  </si>
  <si>
    <t>C18</t>
  </si>
  <si>
    <t>Break out obstructions where present when hand digging at exploratory hole location for C15.3.</t>
  </si>
  <si>
    <t>C19</t>
  </si>
  <si>
    <t>C20</t>
  </si>
  <si>
    <t>Provide aquifer protection measures at a single aquiclude/aquifer boundary in a drillhole</t>
  </si>
  <si>
    <t>Drilling without cores</t>
  </si>
  <si>
    <t>C21</t>
  </si>
  <si>
    <t>C22</t>
  </si>
  <si>
    <t>As Item C21 but between 10 and 20m depth.</t>
  </si>
  <si>
    <t>C23</t>
  </si>
  <si>
    <t>As Item C21 but between 20 and 30m depth</t>
  </si>
  <si>
    <t>C24</t>
  </si>
  <si>
    <t>As Item C21 but between 30 and 40m depth</t>
  </si>
  <si>
    <t>C25</t>
  </si>
  <si>
    <t>As Item C21 but between 40 and 50m depth</t>
  </si>
  <si>
    <t>C26</t>
  </si>
  <si>
    <t>Extra over Items C21 to C25 for inclined rotary drillhole</t>
  </si>
  <si>
    <t>C27</t>
  </si>
  <si>
    <t>Rotary drill in hard strata at the specified diameter, from which cores are not required, between existing ground level and 10m depth.</t>
  </si>
  <si>
    <t>C28</t>
  </si>
  <si>
    <t>As Item C27 but between 10 and 20m depth</t>
  </si>
  <si>
    <t>C29</t>
  </si>
  <si>
    <t>As Item C27 but between 20 and 30m depth</t>
  </si>
  <si>
    <t>C30</t>
  </si>
  <si>
    <t>As Item C27 but between 30 and 40m depth</t>
  </si>
  <si>
    <t>C31</t>
  </si>
  <si>
    <t>As Item C27 but between 40 and 50m depth</t>
  </si>
  <si>
    <t>C32</t>
  </si>
  <si>
    <t>Extra over Items C27 to C31 for inclined drillhole</t>
  </si>
  <si>
    <t>C33</t>
  </si>
  <si>
    <t>Backfill rotary drillhole with cement/bentonite grout or bentonite pellets (where standpipe or piezometer is not installed).</t>
  </si>
  <si>
    <t>Drilling to obtain cores</t>
  </si>
  <si>
    <t>C34</t>
  </si>
  <si>
    <t>Rotary drill in materials other than hard strata to obtain cores of the specified diameter between existing ground level and 10m depth.</t>
  </si>
  <si>
    <t>C35</t>
  </si>
  <si>
    <t>As Item C34 but between 10 and 20m depth.</t>
  </si>
  <si>
    <t>C36</t>
  </si>
  <si>
    <t>As Item C34 but between 20 and 30m depth</t>
  </si>
  <si>
    <t>C37</t>
  </si>
  <si>
    <t>As Item C34 but between 30 and 40m depth</t>
  </si>
  <si>
    <t>C38</t>
  </si>
  <si>
    <t>As Item C34 but between 40 and 50m depth</t>
  </si>
  <si>
    <t>C39</t>
  </si>
  <si>
    <t>Extra over Items C34 to C38 for use of semi-rigid core liner</t>
  </si>
  <si>
    <t>C40</t>
  </si>
  <si>
    <t>Extra over Items C34 to C38 for coring inclined rotary drillhole</t>
  </si>
  <si>
    <t>C41</t>
  </si>
  <si>
    <t>Rotary drill in hard strata to obtain cores of the specified diameter between existing ground level and 10m depth</t>
  </si>
  <si>
    <t>C42</t>
  </si>
  <si>
    <t>As Item C41 but between 10 and 20m depth</t>
  </si>
  <si>
    <t>C43</t>
  </si>
  <si>
    <t>As Item C41 but between 20 and 30m depth</t>
  </si>
  <si>
    <t>C44</t>
  </si>
  <si>
    <t>As Item C41 but between 30 and 40m depth</t>
  </si>
  <si>
    <t>C45</t>
  </si>
  <si>
    <t>As Item C41 but between 40 and 50m depth</t>
  </si>
  <si>
    <t>C46</t>
  </si>
  <si>
    <t>Extra over Items C41 to C45 for use of semi-rigid liner</t>
  </si>
  <si>
    <t>C47</t>
  </si>
  <si>
    <t>Extra over Items C41 to C45 for coring inclined rotary drillhole</t>
  </si>
  <si>
    <t>C48</t>
  </si>
  <si>
    <t>Backfill rotary drillhole with cement/bentonite grout or bentonite pellets (where standpipe or piezometer is not installed)</t>
  </si>
  <si>
    <t>C49</t>
  </si>
  <si>
    <t>Core box to be retained by the client</t>
  </si>
  <si>
    <t>Rotary percussive drilling (Odex / Symmetrix)</t>
  </si>
  <si>
    <t>C50</t>
  </si>
  <si>
    <t>Move rotary percussive drilling plant and equipment to the site of each drill hole and set up</t>
  </si>
  <si>
    <t>C51</t>
  </si>
  <si>
    <t>Extra over Item C50 for setting up on a slope of gradient greater than 20%</t>
  </si>
  <si>
    <t>C52</t>
  </si>
  <si>
    <t>Rotary percussive drill at the specified diameter in any material between existing ground level and 10m depth</t>
  </si>
  <si>
    <t>C53</t>
  </si>
  <si>
    <t>As Item C52 but between 10 and 20m depth</t>
  </si>
  <si>
    <t>C54</t>
  </si>
  <si>
    <t>As Item C52 but between 20 and 30m depth</t>
  </si>
  <si>
    <t>C55</t>
  </si>
  <si>
    <t>As Item C52 but between 30 and 40m depth</t>
  </si>
  <si>
    <t>C56</t>
  </si>
  <si>
    <t>As Item C52 but between 40 and 50m depth</t>
  </si>
  <si>
    <t>C57</t>
  </si>
  <si>
    <t>C58</t>
  </si>
  <si>
    <t>Backfill rotary percussive drillhole with cement/bentonite grout or bentonite pellets (where standpipe or piezometer is not installed)</t>
  </si>
  <si>
    <t xml:space="preserve">Geobor S Rotary Drilling </t>
  </si>
  <si>
    <t>C59</t>
  </si>
  <si>
    <t xml:space="preserve">Move drilling plant and equipment to the site of each exploratory drillhole and set up equipment (including recirculation tanks), dismantle on completion and reinstate </t>
  </si>
  <si>
    <t>C59.1</t>
  </si>
  <si>
    <t xml:space="preserve">Move drilling plant and equipment to the site of each exploratory drillhole and set up equipment (including recirculation tanks) over safety barrier or other fence or wall, set up, dismantle on completion and reinstate </t>
  </si>
  <si>
    <t>C60</t>
  </si>
  <si>
    <t xml:space="preserve">Hand digging and CAT scan at rotary drillhole location to confirm absence of utility ducts ( maximum depth of 1.2m or lesser if ground is assessed as potentially unstable) </t>
  </si>
  <si>
    <t>C61</t>
  </si>
  <si>
    <t>Provision of biodegradable polymer gel (drilling fluid) for Geobor S coring</t>
  </si>
  <si>
    <t>C62</t>
  </si>
  <si>
    <t xml:space="preserve">Break out surface obstructions where present at exploratory drillhole </t>
  </si>
  <si>
    <t>C63</t>
  </si>
  <si>
    <t>Geobor S Rotary Coring (to produce 102mm diameter cores)</t>
  </si>
  <si>
    <t>C64</t>
  </si>
  <si>
    <t>Rotary openhole drilling without core recover to install casing prior to Geobor coring (nominally 1.5m)</t>
  </si>
  <si>
    <t>C65</t>
  </si>
  <si>
    <t>Rotary drilling with Geobor S equipment to recover cores of overburden material using polymer gel/mud drilling fluid in depth range 0 to 10m</t>
  </si>
  <si>
    <t>C66</t>
  </si>
  <si>
    <t xml:space="preserve">As Item C65 but between 10 and 20m depth </t>
  </si>
  <si>
    <t>C67</t>
  </si>
  <si>
    <t>As Item C65 but between 20 and 30m depth</t>
  </si>
  <si>
    <t>C68</t>
  </si>
  <si>
    <t>As Item C65 but between 30 and 40m depth</t>
  </si>
  <si>
    <t>C69</t>
  </si>
  <si>
    <t>As Item C65 but between 40 and 50m depth</t>
  </si>
  <si>
    <t>C70</t>
  </si>
  <si>
    <t>Rotary drilling using Geobor S equipment to recover cores in bedrock formation(s) using polymer gel/mud drilling fluid in depth range 0 to 10m</t>
  </si>
  <si>
    <t>C71</t>
  </si>
  <si>
    <t>As Item C65 but between 10 and 20m depth</t>
  </si>
  <si>
    <t>C72</t>
  </si>
  <si>
    <t>C73</t>
  </si>
  <si>
    <t>C74</t>
  </si>
  <si>
    <t>C75</t>
  </si>
  <si>
    <t>Extra over items C64 to C74 for inclined Geobor S drillhole (maximum of 20 degrees from the vertical)</t>
  </si>
  <si>
    <t xml:space="preserve">Geobor S Rotary Drilling - Additional Items </t>
  </si>
  <si>
    <t>C76</t>
  </si>
  <si>
    <t>Backfill Geobor S drillhole with cement/bentonite grout or bentonite pellets (where standpipe or piezometer is not installed)</t>
  </si>
  <si>
    <t>C77</t>
  </si>
  <si>
    <t>Provision of semi rigid core liner for items C64 - C75</t>
  </si>
  <si>
    <t>C78</t>
  </si>
  <si>
    <t>Provision of core boxes (2m of Geobor S per core box)</t>
  </si>
  <si>
    <t>C79</t>
  </si>
  <si>
    <t>Disposal of Geobor S drilling supernatant flush returns (contained in the recirculation tanks) where permitted on site. Note disposal areas / locations to be recorded and photographed by contractor</t>
  </si>
  <si>
    <t>C80</t>
  </si>
  <si>
    <t>Disposal of Geobor S drilling supernatant flush returns (contained in the recirculation tanks) to landfill by tanker where on site disposal is not permitted. Note tanker delivery dockets to be retained by the Contractor.</t>
  </si>
  <si>
    <t>Reinstatement of Rotary Boreholes</t>
  </si>
  <si>
    <t>C81</t>
  </si>
  <si>
    <t>C82</t>
  </si>
  <si>
    <t>C83</t>
  </si>
  <si>
    <t>C84</t>
  </si>
  <si>
    <t>Provision of stock proof fencing to rotary drilling works area</t>
  </si>
  <si>
    <t>C85</t>
  </si>
  <si>
    <t>Total section C carried to summary:</t>
  </si>
  <si>
    <t>D</t>
  </si>
  <si>
    <t>Pitting and trenching</t>
  </si>
  <si>
    <t>Inspection pits
Included for each exploratory hole: refer hand digging and CAT scan items at exploratory hole locations</t>
  </si>
  <si>
    <t>D1</t>
  </si>
  <si>
    <t>Excavate inspection pit by hand to 1.2m depth.</t>
  </si>
  <si>
    <t>D2</t>
  </si>
  <si>
    <t>Extra over Item D1 for breaking out surface obstructions.</t>
  </si>
  <si>
    <t>Trial pits and trenches (non paved areas)</t>
  </si>
  <si>
    <t>D3</t>
  </si>
  <si>
    <t>Move equipment to the site of each trial pit or trench dismantle on completion and reinstate.</t>
  </si>
  <si>
    <t>D3.1</t>
  </si>
  <si>
    <t>Extra over item D3 for setting to the site of exploratory hole over safety barrier or other fence or wall, set up, dismantle on completion and reinstate.</t>
  </si>
  <si>
    <t>D4</t>
  </si>
  <si>
    <t>Extra over Item D3 for setting up on a slope of gradient greater than 20%</t>
  </si>
  <si>
    <t>D5</t>
  </si>
  <si>
    <t>Extra over Item D3 for trial pit or trench between 4.5 and 6m depth</t>
  </si>
  <si>
    <t>D6</t>
  </si>
  <si>
    <t>Excavate trial pit between existing ground level and 3m depth</t>
  </si>
  <si>
    <t>m depth</t>
  </si>
  <si>
    <t>D7</t>
  </si>
  <si>
    <t xml:space="preserve">As Item D6 but between 3.0 and 4.5m depth </t>
  </si>
  <si>
    <t>D8</t>
  </si>
  <si>
    <t>As Item D6 but between 4.5 and 6m depth</t>
  </si>
  <si>
    <t>D9</t>
  </si>
  <si>
    <t>Excavate trial trench between existing ground level and 3.0m depth</t>
  </si>
  <si>
    <t>D10</t>
  </si>
  <si>
    <t>As Item D9 between 3.0 and 4.5m in depth</t>
  </si>
  <si>
    <t>D11</t>
  </si>
  <si>
    <t>As Item D9 between 4.5 and 6m depth</t>
  </si>
  <si>
    <t>Trial pits and trenches (paved areas)</t>
  </si>
  <si>
    <t>D12</t>
  </si>
  <si>
    <t>Set up trial pit in road area to include erection of traffic management systems (works supervised by Engineer/ Geologist with valid CSCS Card for signing, lighting and guarding at roadworks)</t>
  </si>
  <si>
    <t>D13</t>
  </si>
  <si>
    <t>Set up slit trench in road area to include erection of traffic management systems (works supervised by Engineer/ Geologist with valid CSCS Card for signing, lighting and guarding at roadworks)</t>
  </si>
  <si>
    <t>D14</t>
  </si>
  <si>
    <t>Saw cut paved areas in advance of the works</t>
  </si>
  <si>
    <t>ln m</t>
  </si>
  <si>
    <t>D15</t>
  </si>
  <si>
    <t>Breaking out hard material or surface obstructions</t>
  </si>
  <si>
    <t>D16</t>
  </si>
  <si>
    <t>Excavate trial pit in paved areas between ground level and 1.20m depth (works by either hand excavation or hand assisted machine excavation)</t>
  </si>
  <si>
    <t>D17</t>
  </si>
  <si>
    <t>As D16 but depth in range 1.2m to 3.0m</t>
  </si>
  <si>
    <t>D18</t>
  </si>
  <si>
    <t>Excavate slit trench in paved areas between ground level and 1.2m depth (works by either hand excavation or hand assisted machine excavation)</t>
  </si>
  <si>
    <t>D19</t>
  </si>
  <si>
    <t>Excavate slit trench in paved areas between 1.2m to 3.0m depth (works by either hand excavation or hand assisted machine excavation)</t>
  </si>
  <si>
    <t>D20</t>
  </si>
  <si>
    <t>Observation pits and trenches</t>
  </si>
  <si>
    <t>D21</t>
  </si>
  <si>
    <t>Move equipment to the site of each observation pit or trench of not greater than 4.5m depth</t>
  </si>
  <si>
    <t>D22</t>
  </si>
  <si>
    <t>Extra over Item D21 for setting up on a slope of gradient greater than 20%</t>
  </si>
  <si>
    <t>D23</t>
  </si>
  <si>
    <t>Extra over Item D21 for trial pit or trench between 4.5 and 6m depth</t>
  </si>
  <si>
    <t>D24</t>
  </si>
  <si>
    <t>Excavate observation pit between existing ground level and 3.0m depth</t>
  </si>
  <si>
    <t>D25</t>
  </si>
  <si>
    <t>As Item D24 but between 3.0 and 4.5m depth</t>
  </si>
  <si>
    <t>D26</t>
  </si>
  <si>
    <t>As Item D24 but between 4.5 and 6m depth</t>
  </si>
  <si>
    <t>D27</t>
  </si>
  <si>
    <t>Extra over Item D24 for hand excavation</t>
  </si>
  <si>
    <t>D28</t>
  </si>
  <si>
    <t>Excavate observation trench between existing ground level and 3.0m depth</t>
  </si>
  <si>
    <t>D29</t>
  </si>
  <si>
    <t>As Item D28 but between 3.0 and 4.5m depth</t>
  </si>
  <si>
    <t>D30</t>
  </si>
  <si>
    <t>As Item D28 but between 4.5 and 6m depth</t>
  </si>
  <si>
    <t>D31</t>
  </si>
  <si>
    <t>Extra over Item D28 for hand excavation</t>
  </si>
  <si>
    <t>D32</t>
  </si>
  <si>
    <t>Extra over Items D24 to D26  for breaking out hard strata or obstructions</t>
  </si>
  <si>
    <t>D33</t>
  </si>
  <si>
    <t>Extra over Items D28 to D30 for breaking out hard strata or obstructions</t>
  </si>
  <si>
    <t>D34</t>
  </si>
  <si>
    <t>Standing time for excavation plant, equipment and crew for machine dug observation pit or trench</t>
  </si>
  <si>
    <t>D35</t>
  </si>
  <si>
    <t>Daily provision of pitting crew and equipment</t>
  </si>
  <si>
    <t>D36</t>
  </si>
  <si>
    <t>Provision of excavation plant equipment and crew for machine dug trial pits or trenches as directed by the Investigation Supervisor, maximum depth 3.0m</t>
  </si>
  <si>
    <t>D37</t>
  </si>
  <si>
    <t>As Item D36 but between 3.0 and 4.5m depth</t>
  </si>
  <si>
    <t>D38</t>
  </si>
  <si>
    <t>As Item D36 but between 4.5 and 6.0m depth</t>
  </si>
  <si>
    <t>D39</t>
  </si>
  <si>
    <t>Provision of excavation plant, equipment and crew for machine-dug observation pit or trench as directed by the Investigation Supervisor, maximum depth 3.0m</t>
  </si>
  <si>
    <t>D40</t>
  </si>
  <si>
    <t>As Item D39 but between 3.0 and 4.5m depth</t>
  </si>
  <si>
    <t>D41</t>
  </si>
  <si>
    <t>As Item D39 but between 4.5 and 6.0m depth</t>
  </si>
  <si>
    <t>D42</t>
  </si>
  <si>
    <t>As Item D39 but for hand excavation</t>
  </si>
  <si>
    <t>D43</t>
  </si>
  <si>
    <t>Extra over Items D36 to D38 and D39 to D41 for breaking out hard strata or obstructions</t>
  </si>
  <si>
    <t>General</t>
  </si>
  <si>
    <t>D44</t>
  </si>
  <si>
    <t>Bring pump to the position of each exploratory pit or trench</t>
  </si>
  <si>
    <t>D45</t>
  </si>
  <si>
    <t>Pump water from pit or trench</t>
  </si>
  <si>
    <t>D46</t>
  </si>
  <si>
    <t>Extra over Item D38 for temporary storage, treatment and disposal of contaminated groundwater from trial pit or trench</t>
  </si>
  <si>
    <t>Provisional Sum</t>
  </si>
  <si>
    <t>D47</t>
  </si>
  <si>
    <t>Leave open observation pit or trench</t>
  </si>
  <si>
    <t>D48</t>
  </si>
  <si>
    <t>Leave open trial pit or trench</t>
  </si>
  <si>
    <t>Trail pit / slit trench backfill &amp; reinstatement works</t>
  </si>
  <si>
    <t>D49</t>
  </si>
  <si>
    <t xml:space="preserve">Backfill trial pit or trench excavation with arisings/excavated materials </t>
  </si>
  <si>
    <t>D50</t>
  </si>
  <si>
    <t>Reinstate grassed surface to include replacing of sod</t>
  </si>
  <si>
    <t>D50.2</t>
  </si>
  <si>
    <t>Laying Turf Along Access Routes to Exploratory Holes</t>
  </si>
  <si>
    <t>D51</t>
  </si>
  <si>
    <t>Backfill trenches, trial pits and inspection pits at exploratory hole locations in paved areas with imported granular fill (CL 804 sub-base)</t>
  </si>
  <si>
    <t>D52</t>
  </si>
  <si>
    <t>Backfill trenches, trial pits and inspection pits at exploratory hole locations in paved areas with CBGMB as Fig.A4.0 Method A of TII's CC-SPW-04007</t>
  </si>
  <si>
    <t>D53</t>
  </si>
  <si>
    <t>Reinstatement of asphalt/bituminous pavement in accordance with TII's CC-SPW-04007.</t>
  </si>
  <si>
    <t>D54</t>
  </si>
  <si>
    <t>Repair of road markings</t>
  </si>
  <si>
    <t>linear m</t>
  </si>
  <si>
    <t>D55</t>
  </si>
  <si>
    <t>Disposal of excess or surplus inert arisings from trial pits or trenches (where imported granular fill or lean mix concrete is used as backfill)</t>
  </si>
  <si>
    <t>Total Section D carried to summary:</t>
  </si>
  <si>
    <t>E</t>
  </si>
  <si>
    <t>Sampling and monitoring during intrusive investigation</t>
  </si>
  <si>
    <t>Samples for geotechnical purposes</t>
  </si>
  <si>
    <t>E1</t>
  </si>
  <si>
    <t>Jar sample</t>
  </si>
  <si>
    <t>E2</t>
  </si>
  <si>
    <t>Tub sample</t>
  </si>
  <si>
    <t>E3</t>
  </si>
  <si>
    <t>Bulk sample</t>
  </si>
  <si>
    <t>E4</t>
  </si>
  <si>
    <t>Large bulk disturbed sample</t>
  </si>
  <si>
    <t>E5</t>
  </si>
  <si>
    <t>Open tube- thick walled sample (0 to 10m depth)</t>
  </si>
  <si>
    <t>E6</t>
  </si>
  <si>
    <t>Open tube- thin walled sample (0 to 10m depth)</t>
  </si>
  <si>
    <t>E7</t>
  </si>
  <si>
    <t>Piston sample (0 to 10m depth)</t>
  </si>
  <si>
    <t>E8.1</t>
  </si>
  <si>
    <t xml:space="preserve">Extra over rate for item E5 in depth range 10m to 20m </t>
  </si>
  <si>
    <t>E8.2</t>
  </si>
  <si>
    <t xml:space="preserve">Extra over rate for item E6 in depth range 10m to 20m </t>
  </si>
  <si>
    <t>E8.3</t>
  </si>
  <si>
    <t>E9</t>
  </si>
  <si>
    <t>Groundwater sample</t>
  </si>
  <si>
    <t>E10</t>
  </si>
  <si>
    <t>Ground Gas sample</t>
  </si>
  <si>
    <t>E11</t>
  </si>
  <si>
    <t xml:space="preserve">Cut, prepare and protect core sub-sample </t>
  </si>
  <si>
    <t>Samples for environmental / contamination analysis</t>
  </si>
  <si>
    <t>E12</t>
  </si>
  <si>
    <t>Environmental / contamination sample for Suite E</t>
  </si>
  <si>
    <t>E13</t>
  </si>
  <si>
    <t>Environmental / contamination sample for Suite F</t>
  </si>
  <si>
    <t>E14</t>
  </si>
  <si>
    <t>Ground gas sample for Suite G</t>
  </si>
  <si>
    <t>E15</t>
  </si>
  <si>
    <t>E16</t>
  </si>
  <si>
    <t xml:space="preserve">Environmental / contamination sample for Suite I </t>
  </si>
  <si>
    <t>E17</t>
  </si>
  <si>
    <t>Other specialist environmental / contamination sampling as specified by Investigation Supervisor (Suite J)</t>
  </si>
  <si>
    <t>(Note sample rate includes provision of specialist containers)</t>
  </si>
  <si>
    <t>Total Section E carried to summary:</t>
  </si>
  <si>
    <t>F</t>
  </si>
  <si>
    <t>Probing and cone penetration testing</t>
  </si>
  <si>
    <t>Dynamic probing (DPH)</t>
  </si>
  <si>
    <t>F1</t>
  </si>
  <si>
    <t>F2</t>
  </si>
  <si>
    <t>Extra over Item F1 for setting up on a slope of gradient greater than 20%</t>
  </si>
  <si>
    <t>F3</t>
  </si>
  <si>
    <t>Carry out dynamic probe test from existing ground level to 5m depth</t>
  </si>
  <si>
    <t>F4</t>
  </si>
  <si>
    <t>As Item F3 but between 5 and 10m depth</t>
  </si>
  <si>
    <t>F5</t>
  </si>
  <si>
    <t>As Item F3 but between 10 and 15m depth</t>
  </si>
  <si>
    <t>F6</t>
  </si>
  <si>
    <t>F7</t>
  </si>
  <si>
    <t>Cone penetration testing</t>
  </si>
  <si>
    <t>F8</t>
  </si>
  <si>
    <t>Bring static cone penetration test equipment to the site of each test location</t>
  </si>
  <si>
    <t>F9</t>
  </si>
  <si>
    <t>Extra over Item F8 for setting up on a slope of gradient greater than 20%</t>
  </si>
  <si>
    <t>F10</t>
  </si>
  <si>
    <t>Carry out static cone penetration test measuring both cone and sleeve resistance from existing ground level to 10m depth</t>
  </si>
  <si>
    <t>F11</t>
  </si>
  <si>
    <t>As Item F10 but between 10 and 20m depth</t>
  </si>
  <si>
    <t>F12</t>
  </si>
  <si>
    <t>As Item F10 but between 20 and 30m depth</t>
  </si>
  <si>
    <t>F13</t>
  </si>
  <si>
    <t>As Item F10 but between 30 and 40m depth</t>
  </si>
  <si>
    <t>F14</t>
  </si>
  <si>
    <t>Extra over Items F10 to F13 for use of piezocone</t>
  </si>
  <si>
    <t>F15</t>
  </si>
  <si>
    <t>Extra over Items F10 to F13 for interpretation of CPT/CPTU data</t>
  </si>
  <si>
    <t>F16</t>
  </si>
  <si>
    <t>Carry out dissipation test up to 1 hour duration</t>
  </si>
  <si>
    <t>F17</t>
  </si>
  <si>
    <t>Extra over Item F16 for test duration exceeding 1 hour</t>
  </si>
  <si>
    <t>F18</t>
  </si>
  <si>
    <t>Standing time for static cone penetration test equipment and crew</t>
  </si>
  <si>
    <t>F19</t>
  </si>
  <si>
    <t>Extra over Items F10 to F13 for use of seismic cone</t>
  </si>
  <si>
    <t>F20</t>
  </si>
  <si>
    <t>Carry out seismic cone test</t>
  </si>
  <si>
    <t>F21</t>
  </si>
  <si>
    <t>Extra over Item F20  for interpretation of seismic cone data</t>
  </si>
  <si>
    <t>F22</t>
  </si>
  <si>
    <t>Total Section F carried to summary:</t>
  </si>
  <si>
    <t>G</t>
  </si>
  <si>
    <t>Geophysical testing</t>
  </si>
  <si>
    <t>Land-based mapping techniques</t>
  </si>
  <si>
    <t>G1</t>
  </si>
  <si>
    <t>Conduct and process Ground Penetrating Radar (GPR) profiles to PAS 128 QL B1P as per the specification</t>
  </si>
  <si>
    <t>G2</t>
  </si>
  <si>
    <t>Conduct and process electro magnetic conductivity (EMC) profiles</t>
  </si>
  <si>
    <t>G3</t>
  </si>
  <si>
    <t>Conduct and process electrical resistivity tomography (ERT) profiles</t>
  </si>
  <si>
    <t>G4</t>
  </si>
  <si>
    <t>Conduct and process seismic refraction spreads (P or S wave)</t>
  </si>
  <si>
    <t>G5</t>
  </si>
  <si>
    <t>Conduct and [rocess surface wave spreads (1D or 2D MASW)</t>
  </si>
  <si>
    <t>Borehole geophysical surveying</t>
  </si>
  <si>
    <t>G6</t>
  </si>
  <si>
    <t>Establish down-hole geophysical logging equipment and personnel to the site of each exploratory hole and set up at each location</t>
  </si>
  <si>
    <t>G7</t>
  </si>
  <si>
    <t>Conduct and process down the hole calliper, natural gamma, resistivity, sonic, fluid, temperature, conductivity, and fluid flow logging</t>
  </si>
  <si>
    <t>G8</t>
  </si>
  <si>
    <t xml:space="preserve">Conduct and process cross-hole seismic readings at specified intervals </t>
  </si>
  <si>
    <t xml:space="preserve">Marine (overwater) geophysical surveying </t>
  </si>
  <si>
    <t>G9</t>
  </si>
  <si>
    <t>Establish geophysical personnel and field equipment and demobilisation on completion</t>
  </si>
  <si>
    <t>G10</t>
  </si>
  <si>
    <t>conduct and process echo sounding, side scan sonar, magnetic, sub-bottom profile surveying</t>
  </si>
  <si>
    <t>Contract specific additional bill items</t>
  </si>
  <si>
    <t>Total Section G carried to summary:</t>
  </si>
  <si>
    <t>H</t>
  </si>
  <si>
    <t>In situ testing</t>
  </si>
  <si>
    <t>H1.1</t>
  </si>
  <si>
    <t>Standard penetration test in percussive borehole, depth range 0 to 10m</t>
  </si>
  <si>
    <t>H1.2</t>
  </si>
  <si>
    <t>Standard penetration test in percussive borehole, depth range 10 to 20m</t>
  </si>
  <si>
    <t>H1.3</t>
  </si>
  <si>
    <t>Standard penetration test in percussive borehole, depth range 20 to 30m</t>
  </si>
  <si>
    <t>H1.4</t>
  </si>
  <si>
    <t>Standard penetration test in percussive borehole, depth range 30 to 40m</t>
  </si>
  <si>
    <t>H2.1</t>
  </si>
  <si>
    <t>H2.2</t>
  </si>
  <si>
    <t>Standard penetration test in rotary drillhole, depth range 10 to 20m</t>
  </si>
  <si>
    <t>H2.3</t>
  </si>
  <si>
    <t>Standard penetration test in rotary drillhole, depth range 20 to 30m</t>
  </si>
  <si>
    <t>H2.4</t>
  </si>
  <si>
    <t>Standard penetration test in rotary drillhole, depth range 30 to 40m</t>
  </si>
  <si>
    <t>H3</t>
  </si>
  <si>
    <t xml:space="preserve">In-situ density testing </t>
  </si>
  <si>
    <t>H3.1</t>
  </si>
  <si>
    <t>Small pouring cylinder method</t>
  </si>
  <si>
    <t>H3.2</t>
  </si>
  <si>
    <t>Large pouring cylinder method</t>
  </si>
  <si>
    <t>H3.3</t>
  </si>
  <si>
    <t>Water replacement method</t>
  </si>
  <si>
    <t>H3.4</t>
  </si>
  <si>
    <t>Core cutter method</t>
  </si>
  <si>
    <t>H3.5</t>
  </si>
  <si>
    <t>Nuclear gauge method</t>
  </si>
  <si>
    <t>H4</t>
  </si>
  <si>
    <t>California Bearing Ratio by plate bearing test by plunger method</t>
  </si>
  <si>
    <t>H4.1</t>
  </si>
  <si>
    <t>H5</t>
  </si>
  <si>
    <t>Vane shear strength test in borehole / trial pit / trench</t>
  </si>
  <si>
    <t>H7</t>
  </si>
  <si>
    <t>Hand penetrometer test (set of 3 readings)</t>
  </si>
  <si>
    <t>H8</t>
  </si>
  <si>
    <t xml:space="preserve">Hand vane test (set of 3 readings) </t>
  </si>
  <si>
    <t>Other tests</t>
  </si>
  <si>
    <t>H9</t>
  </si>
  <si>
    <t>In situ geophysical techniques (resistivity and redox potential) for earthing analysis</t>
  </si>
  <si>
    <t>Permeability testing</t>
  </si>
  <si>
    <t>H10</t>
  </si>
  <si>
    <t>Set up, execute and dismantle variable head permeability test in cable percussive borehole</t>
  </si>
  <si>
    <t>H11</t>
  </si>
  <si>
    <t>Set up, execute and dismantle constant head permeability test in cable percussive borehole</t>
  </si>
  <si>
    <t>H12</t>
  </si>
  <si>
    <t>Set up, execute and dismantle variable head permeability test in rotary drillhole</t>
  </si>
  <si>
    <t>H13</t>
  </si>
  <si>
    <t>Set up, execute and dismantle constant head permeability test in rotary drillhole</t>
  </si>
  <si>
    <t>H14</t>
  </si>
  <si>
    <t>Set up, execute and dismantle variable head permeability test in standpipe or standpipe piezometer (rising or falling head test)</t>
  </si>
  <si>
    <t>H15</t>
  </si>
  <si>
    <t>Set up and execute constant head permeability test in standpipe or standpipe piezometer</t>
  </si>
  <si>
    <t>H16</t>
  </si>
  <si>
    <t>Set up and execute packer permeability test in rotary borehole (0 to 10m)</t>
  </si>
  <si>
    <t>H17</t>
  </si>
  <si>
    <t>Set up and execute packer permeability test in rotary borehole (10 to 20m)</t>
  </si>
  <si>
    <t>Note: rates for permeability test in boreholes or rotary holes to include standing time rate for plant and equipment</t>
  </si>
  <si>
    <t>Soil infiltration test (BRE Digest 365)</t>
  </si>
  <si>
    <t>H18</t>
  </si>
  <si>
    <t>Set up at each test location, excavate trial hole and prepare test area</t>
  </si>
  <si>
    <t>H19</t>
  </si>
  <si>
    <t>Backfill test hole with clean imported gravel where excavation side walls are unstable</t>
  </si>
  <si>
    <t>H20</t>
  </si>
  <si>
    <t>Install 50mm standpipe in H18 to allow for monitoring of water levels</t>
  </si>
  <si>
    <t>H21</t>
  </si>
  <si>
    <t>Carry out pre-soaking of test areas</t>
  </si>
  <si>
    <t>H22</t>
  </si>
  <si>
    <t>Carry out soakaway tests in accordance with BRE Digest 365 (3 cycles)</t>
  </si>
  <si>
    <t>H23</t>
  </si>
  <si>
    <t>Provision of water supply for infiltration testing</t>
  </si>
  <si>
    <t>H24</t>
  </si>
  <si>
    <t>Protection and temporary fencing of works area as instructed by Investigation Supervisor</t>
  </si>
  <si>
    <t>H25</t>
  </si>
  <si>
    <t>Calculation of infiltration rate for each test location</t>
  </si>
  <si>
    <t>Soil infiltration test (EPA Percolation test)</t>
  </si>
  <si>
    <t>H26</t>
  </si>
  <si>
    <t>H27</t>
  </si>
  <si>
    <t>Carry out infiltration tests in accordance with EPA Guidelines (test to be carried out by an approved Engineer / Geologist in accordance with EPA requirements)</t>
  </si>
  <si>
    <t>H28</t>
  </si>
  <si>
    <t>Provide report on percolation test (by Chartered Engineer or Professional Geologist)</t>
  </si>
  <si>
    <t xml:space="preserve">Plate Bearing Test </t>
  </si>
  <si>
    <t>H29</t>
  </si>
  <si>
    <t>Set up at each plate test location to include kentledge / reaction weight and carry out plate test using a 300mm diameter plate. Test in accordance with NRA SRW CL642</t>
  </si>
  <si>
    <t>H30</t>
  </si>
  <si>
    <t>Set up at each plate test location to include kentledge / reaction weight and carry out plate test using a 450mm diameter plate. Test in accordance with NRA SRW CL642</t>
  </si>
  <si>
    <t>H31</t>
  </si>
  <si>
    <t>Set up at each plate test location to include kentledge / reaction weight and carry out plate test using a 600mm diameter plate. Test in accordance with NRA SRW CL642</t>
  </si>
  <si>
    <t>H32</t>
  </si>
  <si>
    <t>Extra over Items H29-H31 for test durations in excess of 2 hours per location</t>
  </si>
  <si>
    <t>H33</t>
  </si>
  <si>
    <t>Provide plate test report with load steelement plot and calculation of Ks and CBR valu to HD 25-26/10</t>
  </si>
  <si>
    <t>Other specialist tests</t>
  </si>
  <si>
    <t>H34</t>
  </si>
  <si>
    <t>Reading of free product level in borehole using an interface probe</t>
  </si>
  <si>
    <t>H35</t>
  </si>
  <si>
    <t>Provide contamination screening test kits (per sample)</t>
  </si>
  <si>
    <t>H36</t>
  </si>
  <si>
    <t>H37</t>
  </si>
  <si>
    <t>Self boring pressuremeter</t>
  </si>
  <si>
    <t>H38</t>
  </si>
  <si>
    <t>high pressure dilatometer</t>
  </si>
  <si>
    <t>H39</t>
  </si>
  <si>
    <t>Menard Presuremeter</t>
  </si>
  <si>
    <t>Total H carried to summary:</t>
  </si>
  <si>
    <t>I</t>
  </si>
  <si>
    <t>Instrumentation</t>
  </si>
  <si>
    <t>Standpipes and piezometers</t>
  </si>
  <si>
    <t>I1</t>
  </si>
  <si>
    <t xml:space="preserve">Backfill exploratory hole with cement/bentonite grout or bentonite pellets </t>
  </si>
  <si>
    <t>I2</t>
  </si>
  <si>
    <t>Provide and install 19mm casagrande piezometer tip</t>
  </si>
  <si>
    <t>I3</t>
  </si>
  <si>
    <t>Provide and install sand cell to I2</t>
  </si>
  <si>
    <t>I4</t>
  </si>
  <si>
    <t>Provide and install 19mm casing/piezometer plain pipe</t>
  </si>
  <si>
    <t>I5</t>
  </si>
  <si>
    <t>Provide and install bentonite seals to I4</t>
  </si>
  <si>
    <t>I6</t>
  </si>
  <si>
    <t xml:space="preserve">Provide and install propietary slotted standpipe (50mm internal diameter) </t>
  </si>
  <si>
    <t>I7</t>
  </si>
  <si>
    <t>Provide and install gravel pack to I6</t>
  </si>
  <si>
    <t>I8</t>
  </si>
  <si>
    <t>Provide and install propietary casing / plain standpipe (50mm internal diameter)</t>
  </si>
  <si>
    <t>I9</t>
  </si>
  <si>
    <t>Provide and install bentonite seals to I8</t>
  </si>
  <si>
    <t>I10</t>
  </si>
  <si>
    <t>Provide and install slotted propietary standpipe (100mm internal diameter)</t>
  </si>
  <si>
    <t>I11</t>
  </si>
  <si>
    <t>Provide and install gravel pack to I10</t>
  </si>
  <si>
    <t>I12</t>
  </si>
  <si>
    <t>Provide and install casing/plain standpipe (100mm internal diameter)</t>
  </si>
  <si>
    <t>I13</t>
  </si>
  <si>
    <t>Provide and install bentonite seals to I12</t>
  </si>
  <si>
    <t>I14</t>
  </si>
  <si>
    <t>Provide an install end caps to I6 or I10</t>
  </si>
  <si>
    <t>I15</t>
  </si>
  <si>
    <t>Provide and install quick release gas valve to I6 or I10</t>
  </si>
  <si>
    <t>I16</t>
  </si>
  <si>
    <t>Provide and install protective cover (flush)</t>
  </si>
  <si>
    <t>I17</t>
  </si>
  <si>
    <t>Provide and install protective cover (raised)</t>
  </si>
  <si>
    <t>I18</t>
  </si>
  <si>
    <t>Extra over item I16 for heavy duty cover in pavements or highways</t>
  </si>
  <si>
    <t>I19</t>
  </si>
  <si>
    <t>Supply and erect protective stock proof fencing around standpipe or piezometer installation</t>
  </si>
  <si>
    <t>I20</t>
  </si>
  <si>
    <t>Supply and erect 1.5m high marker posts (3 x 1.5m)</t>
  </si>
  <si>
    <t>Standpipe and piezometer development / purging</t>
  </si>
  <si>
    <t>I21</t>
  </si>
  <si>
    <t>Supply equipment and personnel to carry out purging</t>
  </si>
  <si>
    <t>I22</t>
  </si>
  <si>
    <t>I23</t>
  </si>
  <si>
    <t>As item I22 but by airlift pumping</t>
  </si>
  <si>
    <t>I24</t>
  </si>
  <si>
    <t>As item I22 but by over pumping</t>
  </si>
  <si>
    <t>I25</t>
  </si>
  <si>
    <t>As item I22 but by jetting</t>
  </si>
  <si>
    <t>I26</t>
  </si>
  <si>
    <t>Disposal of purged water</t>
  </si>
  <si>
    <t>litre</t>
  </si>
  <si>
    <t>Inclinometer</t>
  </si>
  <si>
    <t>I27</t>
  </si>
  <si>
    <t>Supply and install inclinometer tubing in exploratory hole (not including forming/drilling of borehole)</t>
  </si>
  <si>
    <t>I28</t>
  </si>
  <si>
    <t>Grout in place inclinometer in cable percussive or rotary borehole</t>
  </si>
  <si>
    <t>I29</t>
  </si>
  <si>
    <t xml:space="preserve">Provision of calibrated inclinometer read out unit for monitoring during investigation </t>
  </si>
  <si>
    <t>I30</t>
  </si>
  <si>
    <t>Carry out base  set of inclinometer readings in inclinometer and process</t>
  </si>
  <si>
    <t>I31</t>
  </si>
  <si>
    <t>Slip Indicator</t>
  </si>
  <si>
    <t>I32</t>
  </si>
  <si>
    <t>Provdie and install protective cover (raised) slip indicators</t>
  </si>
  <si>
    <t>I33</t>
  </si>
  <si>
    <t xml:space="preserve">Supply and install slip indicator in exploratory borehole, including brass probe (not including forming/drilling of borehole) </t>
  </si>
  <si>
    <t>I34</t>
  </si>
  <si>
    <t>I35</t>
  </si>
  <si>
    <t xml:space="preserve">Provide and install protective headwork cover (upraight) </t>
  </si>
  <si>
    <t>Total Section I carried to summary:</t>
  </si>
  <si>
    <t>J</t>
  </si>
  <si>
    <t>Installation monitoring and sampling (during Fieldwork Period)</t>
  </si>
  <si>
    <t>J1</t>
  </si>
  <si>
    <t>Reading of water level in standpipe or standpipe piezometer during fieldwork period</t>
  </si>
  <si>
    <t>J2</t>
  </si>
  <si>
    <t>Ground gas measurement in gas monitoring standpipe during fieldwork period</t>
  </si>
  <si>
    <t>J3</t>
  </si>
  <si>
    <t>Provide Engineer or Geologist to take inclinometer readings as directed by Investigation Supervisor (per installation)</t>
  </si>
  <si>
    <t>J4</t>
  </si>
  <si>
    <t>Provide Engineer or Geologist to take measurement of slip indicator (per installation)</t>
  </si>
  <si>
    <t>J5</t>
  </si>
  <si>
    <t>J6</t>
  </si>
  <si>
    <t>Extra over Item J5 for purging or micro-purging in excess of 3 well volumes</t>
  </si>
  <si>
    <t>J7</t>
  </si>
  <si>
    <t>J8</t>
  </si>
  <si>
    <t>Provide Engineer / Geologist to read free product level in standpipe using an interface probe</t>
  </si>
  <si>
    <t>Installation monitoring and sampling (post Fieldwork Period)</t>
  </si>
  <si>
    <t>J9</t>
  </si>
  <si>
    <t>Return visit to site following completion of fieldwork for field instrumentation</t>
  </si>
  <si>
    <t>J10</t>
  </si>
  <si>
    <t>J11</t>
  </si>
  <si>
    <t>J12</t>
  </si>
  <si>
    <t>Extra over Item J9 for set of inclinometer readings per installation during return visit and report results</t>
  </si>
  <si>
    <t>J13</t>
  </si>
  <si>
    <t>Extra over Item J9 to check for ground slippage in slip indicator installation during return visit to site</t>
  </si>
  <si>
    <t>J14</t>
  </si>
  <si>
    <t>Extra over Item J9 for water sample from standpipe or standpipe piezometer during return visit to site, including purging 3 volumes or micro-purging up to 3.0 hours</t>
  </si>
  <si>
    <t>J15</t>
  </si>
  <si>
    <t>Extra over Item J14 for purging or micro-purging in excess of 3.0 hours</t>
  </si>
  <si>
    <t>J16</t>
  </si>
  <si>
    <t>Extra over Item J9 for ground gas sample from gas monitoring standpipe during return visit to site</t>
  </si>
  <si>
    <t>J17</t>
  </si>
  <si>
    <t>Extra over Item J9 for reading of free product level in standpipe using an interface probe during return visit to site</t>
  </si>
  <si>
    <t>J18</t>
  </si>
  <si>
    <t>Provision of equipment to facilitate measuring of free product in Item J17</t>
  </si>
  <si>
    <t>J19</t>
  </si>
  <si>
    <t>Provide and install data logger to measure groundwater levels in standpipes</t>
  </si>
  <si>
    <t>J20</t>
  </si>
  <si>
    <t>Provide baro logger to monitor air pressure for item J19</t>
  </si>
  <si>
    <t>J21</t>
  </si>
  <si>
    <t>Provide Engineer / Geologist to visit site to download and process data logger and baro logger</t>
  </si>
  <si>
    <t>Surface water body sampling and testing</t>
  </si>
  <si>
    <t>J22</t>
  </si>
  <si>
    <t>Surface water body sample taken during fieldwork period</t>
  </si>
  <si>
    <t>J23</t>
  </si>
  <si>
    <t>Surface water body sample taken during return visit to site</t>
  </si>
  <si>
    <t>J24</t>
  </si>
  <si>
    <t>Determination of dissolved oxygen, conductivity, pH and temperature of surface water body during fieldwork period</t>
  </si>
  <si>
    <t>J25</t>
  </si>
  <si>
    <t>Determination of dissolved oxygen, conductivity, pH and temperature of surface water body during return visit to site</t>
  </si>
  <si>
    <t>Total Section J carried to summary:</t>
  </si>
  <si>
    <t>K</t>
  </si>
  <si>
    <t>Geotechnical laboratory testing</t>
  </si>
  <si>
    <t>K1</t>
  </si>
  <si>
    <t xml:space="preserve">Classification </t>
  </si>
  <si>
    <t>K1.1</t>
  </si>
  <si>
    <t>Moisture content</t>
  </si>
  <si>
    <t>K1.2</t>
  </si>
  <si>
    <t>Liquid limit, plastic limit and plasticity index</t>
  </si>
  <si>
    <t>K1.3</t>
  </si>
  <si>
    <t>Volumetric shrinkage</t>
  </si>
  <si>
    <t>K1.4</t>
  </si>
  <si>
    <t>Linear shrinkage</t>
  </si>
  <si>
    <t>K1.5</t>
  </si>
  <si>
    <t>Density by linear measurement</t>
  </si>
  <si>
    <t>K1.6</t>
  </si>
  <si>
    <t>Density by immersion in water or water displacement</t>
  </si>
  <si>
    <t>K1.7</t>
  </si>
  <si>
    <t>Dry density and saturation moisture content for chalk</t>
  </si>
  <si>
    <t>K1.8</t>
  </si>
  <si>
    <t>Particle density by gas jar or pycnometer</t>
  </si>
  <si>
    <t>K1.9</t>
  </si>
  <si>
    <t>Particle size distribution by wet sieving</t>
  </si>
  <si>
    <t>K1.10</t>
  </si>
  <si>
    <t>Particle size distribution by dry sieving</t>
  </si>
  <si>
    <t>K1.11</t>
  </si>
  <si>
    <t>Sedimentation by pipette</t>
  </si>
  <si>
    <t>K1.12</t>
  </si>
  <si>
    <t>Sedimentation by hydrometer</t>
  </si>
  <si>
    <t>K2</t>
  </si>
  <si>
    <t xml:space="preserve">Chemical and electrochemical </t>
  </si>
  <si>
    <t>K2.1</t>
  </si>
  <si>
    <t>Organic matter content</t>
  </si>
  <si>
    <t>K2.2</t>
  </si>
  <si>
    <t>Mass loss on ignition</t>
  </si>
  <si>
    <t>K2.3</t>
  </si>
  <si>
    <t>Sulphate content of acid extract from soil</t>
  </si>
  <si>
    <t>K2.4</t>
  </si>
  <si>
    <t>Sulphate content of water extract from soil</t>
  </si>
  <si>
    <t>K2.5</t>
  </si>
  <si>
    <t>Sulphate content of groundwater</t>
  </si>
  <si>
    <t>K2.6</t>
  </si>
  <si>
    <t>Carbonate content by rapid titration</t>
  </si>
  <si>
    <t>K2.7</t>
  </si>
  <si>
    <t>Carbonate content by gravimetric method</t>
  </si>
  <si>
    <t>K2.8</t>
  </si>
  <si>
    <t>Water soluble chloride content</t>
  </si>
  <si>
    <t>K2.9</t>
  </si>
  <si>
    <t>Acid soluble chloride content</t>
  </si>
  <si>
    <t>K2.10</t>
  </si>
  <si>
    <t>Total sulphur content</t>
  </si>
  <si>
    <t>K2.11</t>
  </si>
  <si>
    <t>Total dissolved solids</t>
  </si>
  <si>
    <t>K2.12</t>
  </si>
  <si>
    <t>pH value</t>
  </si>
  <si>
    <t>K2.13</t>
  </si>
  <si>
    <t>Resistivity</t>
  </si>
  <si>
    <t>K2.14</t>
  </si>
  <si>
    <t>Redox potential</t>
  </si>
  <si>
    <t>K3</t>
  </si>
  <si>
    <t>Compaction related</t>
  </si>
  <si>
    <t>K3.1</t>
  </si>
  <si>
    <t>Dry density/moisture content relationship using 2.5 kg rammer</t>
  </si>
  <si>
    <t>K3.2</t>
  </si>
  <si>
    <t>Dry density/moisture content relationship using 4.5 kg rammer</t>
  </si>
  <si>
    <t>K3.3</t>
  </si>
  <si>
    <t>Dry density/moisture content relationship using vibrating hammer</t>
  </si>
  <si>
    <t>K3.4</t>
  </si>
  <si>
    <t>Extra over Items K3.1, K3.2 and K3.3 for use of CBR mould</t>
  </si>
  <si>
    <t>K3.6</t>
  </si>
  <si>
    <t>Moisture Condition Value at natural moisture content</t>
  </si>
  <si>
    <t>K3.7</t>
  </si>
  <si>
    <t>Moisture Condition Value/moisture content relationship (five points)</t>
  </si>
  <si>
    <t>K3.8</t>
  </si>
  <si>
    <t>Chalk crushing value</t>
  </si>
  <si>
    <t>K3.9</t>
  </si>
  <si>
    <t>California Bearing Ratio on re-compacted disturbed sample</t>
  </si>
  <si>
    <t>K3.9.1</t>
  </si>
  <si>
    <t>Extra over for recompacting a soil sample to a specified moisture content</t>
  </si>
  <si>
    <t>K3.10</t>
  </si>
  <si>
    <t>Extra over Item K3.9 for soaking</t>
  </si>
  <si>
    <t>K4</t>
  </si>
  <si>
    <t xml:space="preserve">Compressibility, permeability and durability </t>
  </si>
  <si>
    <t>K4.1</t>
  </si>
  <si>
    <t>One-dimensional consolidation properties, test period 5 days</t>
  </si>
  <si>
    <t>K4.2</t>
  </si>
  <si>
    <t>Extra over Item K4.1 for test period in excess of 5 days</t>
  </si>
  <si>
    <t>K4.3</t>
  </si>
  <si>
    <t>Measurements of swelling pressure, test period 2 days</t>
  </si>
  <si>
    <t>K4.4</t>
  </si>
  <si>
    <t>Measurement of swelling, test period 2 days</t>
  </si>
  <si>
    <t>K4.5</t>
  </si>
  <si>
    <t>Measurement of settlement on saturation, test period 1 day</t>
  </si>
  <si>
    <t>K4.6</t>
  </si>
  <si>
    <t>Extra over Items K4.3 to K4.5 for test period in excess of 2 or 1 day (s)</t>
  </si>
  <si>
    <t>K4.7</t>
  </si>
  <si>
    <t>Permeability by constant head method</t>
  </si>
  <si>
    <t>K4.8</t>
  </si>
  <si>
    <t>Dispersibility by pinhole method</t>
  </si>
  <si>
    <t>K4.9</t>
  </si>
  <si>
    <t>Dispersibility by crumb method</t>
  </si>
  <si>
    <t>K4.10</t>
  </si>
  <si>
    <t>Dispersibility by dispersion method</t>
  </si>
  <si>
    <t>K4.11</t>
  </si>
  <si>
    <t>Frost heave of soil</t>
  </si>
  <si>
    <t>K5</t>
  </si>
  <si>
    <t xml:space="preserve">Consolidation and permeability in hydraulic cells </t>
  </si>
  <si>
    <t>K5.1</t>
  </si>
  <si>
    <t>Consolidation properties of a 76mm diameter specimen using a hydraulic cell, test period 4 days</t>
  </si>
  <si>
    <t>K5.2</t>
  </si>
  <si>
    <t>As Item K5.1 but using a 100mm diameter specimen</t>
  </si>
  <si>
    <t>K5.3</t>
  </si>
  <si>
    <t>As Item K5.1 but using a 150mm diameter specimen</t>
  </si>
  <si>
    <t>K5.4</t>
  </si>
  <si>
    <t>As Item K5.1 but using a 250mm diameter specimen</t>
  </si>
  <si>
    <t>K5.5</t>
  </si>
  <si>
    <t>Extra over Items K5. 1 to K5.4 for test period in excess of 4 days</t>
  </si>
  <si>
    <t>K5.6</t>
  </si>
  <si>
    <t>Permeability of a 76mm diameter specimen in hydraulic consolidation cell, test period 4 days</t>
  </si>
  <si>
    <t>K5.7</t>
  </si>
  <si>
    <t>As Item K5.6 but using a 100mm diameter specimen</t>
  </si>
  <si>
    <t>K5.8</t>
  </si>
  <si>
    <t>As Item K5.6 but using a 150mm diameter specimen</t>
  </si>
  <si>
    <t>K5.9</t>
  </si>
  <si>
    <t>As Item K5.6 but using a 250mm diameter specimen</t>
  </si>
  <si>
    <t>K5.10</t>
  </si>
  <si>
    <t>Extra over Items K5.6 to K5.9 for test period in excess of 4 days</t>
  </si>
  <si>
    <t>K5.11</t>
  </si>
  <si>
    <t>Isotropic consolidation properties in a triaxial cell, test period 4 days</t>
  </si>
  <si>
    <t>K5.12</t>
  </si>
  <si>
    <t>Extra over Item K5.11 for test periods in excess of 4 days</t>
  </si>
  <si>
    <t>K5.13</t>
  </si>
  <si>
    <t>Permeability in a triaxial cell, test period 4 days</t>
  </si>
  <si>
    <t>K5.14</t>
  </si>
  <si>
    <t>Extra over Item K5.13 for test period in excess of 4 days</t>
  </si>
  <si>
    <t>K6</t>
  </si>
  <si>
    <t>Shear strength (total stress)</t>
  </si>
  <si>
    <t>K6.1</t>
  </si>
  <si>
    <t>Shear strength by the laboratory vane method (set of 3)</t>
  </si>
  <si>
    <t>K6.2</t>
  </si>
  <si>
    <t>Shear strength by hand vane (set of 3)</t>
  </si>
  <si>
    <t>K6.3</t>
  </si>
  <si>
    <t>Shear strength by hand penetrometer (set of 3)</t>
  </si>
  <si>
    <t>K6.4</t>
  </si>
  <si>
    <t>Shear strength of a set of three 60mm × 60mm square specimens by direct shear, test duration not exceeding 1 day per specimen</t>
  </si>
  <si>
    <t>K6.5</t>
  </si>
  <si>
    <t>Extra over Item K6.4 for test durations in excess of 1 day per specimen</t>
  </si>
  <si>
    <t>sp.day</t>
  </si>
  <si>
    <t>K6.6</t>
  </si>
  <si>
    <t>Shear strength of a single 300mm × 300mm square specimen by direct shear, test duration not exceeding 1 day</t>
  </si>
  <si>
    <t>K6.7</t>
  </si>
  <si>
    <t>Extra over Item K6.6 for test durations in excess of 1 day</t>
  </si>
  <si>
    <t>K6.8</t>
  </si>
  <si>
    <t>Residual shear strength of a set of three 60mm × 60mm square specimens by direct shear, test duration not exceeding 4 days per specimen</t>
  </si>
  <si>
    <t>K6.9</t>
  </si>
  <si>
    <t>Extra over Item K6.8 for test durations in excess of 4 days per specimen</t>
  </si>
  <si>
    <t>K6.10</t>
  </si>
  <si>
    <t>Residual shear strength of a 300mm square specimen by direct shear, test duration not exceeding 4 days</t>
  </si>
  <si>
    <t>K6.11</t>
  </si>
  <si>
    <t>Extra over Item K6. 10 for test duration in excess day of 4 days</t>
  </si>
  <si>
    <t>K6.12</t>
  </si>
  <si>
    <t>Residual shear strength using the small ring shear apparatus at three normal pressures, test duration not exceeding 4 days</t>
  </si>
  <si>
    <t>K6.13</t>
  </si>
  <si>
    <t>Extra over Item K6.12 for test duration in excess of 4 days</t>
  </si>
  <si>
    <t>K6.14</t>
  </si>
  <si>
    <t>Unconfined compressive strength of 38mm diameter specimen</t>
  </si>
  <si>
    <t>K6.15</t>
  </si>
  <si>
    <t>Undrained shear strength of a set of three 38mm diameter specimens in triaxial compression without the measurement of pore pressure</t>
  </si>
  <si>
    <t>K6.16</t>
  </si>
  <si>
    <t>Undrained strength of a single 100mm diameter specimen in triaxial compression without the measurement of pore pressure</t>
  </si>
  <si>
    <t>K6.17</t>
  </si>
  <si>
    <t>Undrained shear strength of a single 100mm diameter specimen in triaxial compression with multi-stage loading and without measurement of pore pressure</t>
  </si>
  <si>
    <t>K7</t>
  </si>
  <si>
    <t>Shear strength (effective stress)</t>
  </si>
  <si>
    <t>K7.1</t>
  </si>
  <si>
    <t>Consolidated undrained triaxial compression test with measurement of pore pressure (set of three 38mm specimens), test duration not exceeding 4 days per specimen</t>
  </si>
  <si>
    <t>K7.2</t>
  </si>
  <si>
    <t>As K7.1 but single-stage or multi-stage test using 100mm diameter specimen</t>
  </si>
  <si>
    <t>K7.3</t>
  </si>
  <si>
    <t>Consolidated drained triaxial compression test with measurement of volume change (set of three 38mm specimens), test duration not exceeding 4 days per specimen</t>
  </si>
  <si>
    <t>K7.4</t>
  </si>
  <si>
    <t>As Item K7.3 but single-stage or multi-stage test using 100mm diameter specimen, test duration not exceeding 4 days</t>
  </si>
  <si>
    <t>K7.5</t>
  </si>
  <si>
    <t>Extra over Items K7.1 and K7.3 for test duration in excess of 4 days per specimen</t>
  </si>
  <si>
    <t>K7.6</t>
  </si>
  <si>
    <t>Extra over Items K7.2 and K7.4 for test duration in excess of 4 days</t>
  </si>
  <si>
    <t>K8</t>
  </si>
  <si>
    <t>Rock testing</t>
  </si>
  <si>
    <t>K8.1</t>
  </si>
  <si>
    <t>Natural water content of rock sample</t>
  </si>
  <si>
    <t>K8.2</t>
  </si>
  <si>
    <t>Porosity/density using saturation and calliper techniques</t>
  </si>
  <si>
    <t>K8.3</t>
  </si>
  <si>
    <t>Porosity/density using saturation and buoyancy</t>
  </si>
  <si>
    <t>K8.4</t>
  </si>
  <si>
    <t>Slake durability index</t>
  </si>
  <si>
    <t>K8.5</t>
  </si>
  <si>
    <t>Soundness by magnesium sulphate</t>
  </si>
  <si>
    <t>K8.6</t>
  </si>
  <si>
    <t>Magnesium sulphate test</t>
  </si>
  <si>
    <t>K8.7</t>
  </si>
  <si>
    <t>Shore scleroscope</t>
  </si>
  <si>
    <t>K8.8</t>
  </si>
  <si>
    <t>Schmidt rebound hardness</t>
  </si>
  <si>
    <t>K8.9</t>
  </si>
  <si>
    <t>Resistance to fragmentation</t>
  </si>
  <si>
    <t>K8.10</t>
  </si>
  <si>
    <t>Aggregate abrasion value</t>
  </si>
  <si>
    <t>K8.11</t>
  </si>
  <si>
    <t>Polished stone value</t>
  </si>
  <si>
    <t>K8.12</t>
  </si>
  <si>
    <t>Aggregate frost heave</t>
  </si>
  <si>
    <t>K8.13</t>
  </si>
  <si>
    <t>Resistance to freezing and thawing</t>
  </si>
  <si>
    <t>K8.14</t>
  </si>
  <si>
    <t>Uniaxial compressive strength</t>
  </si>
  <si>
    <t>K8.15</t>
  </si>
  <si>
    <t>Deformability in uniaxial compression</t>
  </si>
  <si>
    <t>K8.16</t>
  </si>
  <si>
    <t>Indirect tensile strength by Brazilian test</t>
  </si>
  <si>
    <t>K8.17</t>
  </si>
  <si>
    <t>Triaxial compression without measurements of porewater pressure</t>
  </si>
  <si>
    <t>K8.18</t>
  </si>
  <si>
    <t>Point Load Strength Index on rock core (axial or diametral)</t>
  </si>
  <si>
    <t>K8.19</t>
  </si>
  <si>
    <t>Point load strength index on irregular lump sample (set of ten individiual determinations)</t>
  </si>
  <si>
    <t>K8.20</t>
  </si>
  <si>
    <t>Swelling pressure test</t>
  </si>
  <si>
    <t>K8.21</t>
  </si>
  <si>
    <t>Direct shear strength of single specimen</t>
  </si>
  <si>
    <t xml:space="preserve">Special tests on rock core or trial pit samples to assess potential for pyrite induced expansion or swelling </t>
  </si>
  <si>
    <t>K9.1</t>
  </si>
  <si>
    <t>Geological classification / simplified petrography on rock core or bulk samples to IS EN 933 ( by Professional Geologist)</t>
  </si>
  <si>
    <t>K9.2</t>
  </si>
  <si>
    <t>Chemical analysis on rock core or bulk sample (test methods to TRL 447 and test suite to include Total Sulphur, Acid Soluble Sulphate &amp; Water Soluble Sulphate and derivation of Oxidisable Sulphide &amp; Equivalent Pyrite Content)</t>
  </si>
  <si>
    <t>K9.3</t>
  </si>
  <si>
    <t>Thin section petrography and XRD analysis on rock core or bulk sample. Analysis to be carried out by Professional Geologist or experienced Petrographer competant in evaluating potential for pyrite induced swelling. Note the rate should include for thin section preparation and XRD analysis on one lithology.</t>
  </si>
  <si>
    <t>Total Section K carried to summary:</t>
  </si>
  <si>
    <t>L</t>
  </si>
  <si>
    <t>Geoenvironmental laboratory testing</t>
  </si>
  <si>
    <t>Contamination testing of soil, groundwater, gas and fill material)</t>
  </si>
  <si>
    <t>L.1</t>
  </si>
  <si>
    <t>Tests Suite E</t>
  </si>
  <si>
    <t>L.2</t>
  </si>
  <si>
    <t>Tests Suite F</t>
  </si>
  <si>
    <t>L.3</t>
  </si>
  <si>
    <t>Tests Suite G</t>
  </si>
  <si>
    <t>L.4</t>
  </si>
  <si>
    <t>Tests Suite H</t>
  </si>
  <si>
    <t>L.5</t>
  </si>
  <si>
    <t>Tests Suite I</t>
  </si>
  <si>
    <t>L.6</t>
  </si>
  <si>
    <t>Tests Suite J</t>
  </si>
  <si>
    <t>Total Section L carried to summary:</t>
  </si>
  <si>
    <t>Summary of Bill of Quantities</t>
  </si>
  <si>
    <t>A.</t>
  </si>
  <si>
    <t>B.</t>
  </si>
  <si>
    <t>C.</t>
  </si>
  <si>
    <t>D.</t>
  </si>
  <si>
    <t>E.</t>
  </si>
  <si>
    <t>F.</t>
  </si>
  <si>
    <t>G.</t>
  </si>
  <si>
    <t>H.</t>
  </si>
  <si>
    <t>I.</t>
  </si>
  <si>
    <t>J.</t>
  </si>
  <si>
    <t>Installation monitoring and sampling</t>
  </si>
  <si>
    <t>K.</t>
  </si>
  <si>
    <t>L.</t>
  </si>
  <si>
    <t>Total Tender</t>
  </si>
  <si>
    <t>Dynamic sampling (Window and Windowless Sampling)</t>
  </si>
  <si>
    <t>Appendix A. Rates for Ground Practitioners and other Personnel</t>
  </si>
  <si>
    <t>Item</t>
  </si>
  <si>
    <t>Technician</t>
  </si>
  <si>
    <t>Engineer / Geologist</t>
  </si>
  <si>
    <t>Chartered Engineer / Professional Geologist</t>
  </si>
  <si>
    <t>Chartered Engineer / Professional Geologist (10 years’ experience post charter)</t>
  </si>
  <si>
    <t>Chartered Engineer / Professional Geologist (20 years’ experience post charter)</t>
  </si>
  <si>
    <t>Expenses incurred by staff on site visits or who are resident by agreement with the Investigation Supervisor</t>
  </si>
  <si>
    <t>Rate per kilometre from Contractor's premises and return for Items 1 and 2</t>
  </si>
  <si>
    <t>km</t>
  </si>
  <si>
    <t>As above but for items 3, 4 and 5</t>
  </si>
  <si>
    <t>All other expenses incurred in conjunction with a site visit where a return journey is made on the same day for Items 1 and 2</t>
  </si>
  <si>
    <t>visit</t>
  </si>
  <si>
    <t>All other expenses incurred in connection with visit where an overnight stay is necessary for Items 1and 2</t>
  </si>
  <si>
    <t>overnight</t>
  </si>
  <si>
    <t>As above but for Items 3, 4, and 5</t>
  </si>
  <si>
    <t>Appendix B. Long-term sample storage</t>
  </si>
  <si>
    <t>Rate/month</t>
  </si>
  <si>
    <t>Geotechnical samples</t>
  </si>
  <si>
    <t>Cable percussive borehole or dynamic sample</t>
  </si>
  <si>
    <t>Rotary drilling core (core box)</t>
  </si>
  <si>
    <t>Rotary drilling core sub-sample</t>
  </si>
  <si>
    <t>Large bulk sample</t>
  </si>
  <si>
    <t>Open-tube samples (thick-wall sampler)</t>
  </si>
  <si>
    <t>Open-tube samples (thin-wall sampler)</t>
  </si>
  <si>
    <t xml:space="preserve">Piston sample </t>
  </si>
  <si>
    <t>Hardcore aggregate bulk sample (not including drying at 40 degrees)</t>
  </si>
  <si>
    <t>Contamination samples</t>
  </si>
  <si>
    <t>Soil sample in plastic tub</t>
  </si>
  <si>
    <t>Soil sample in glass jar</t>
  </si>
  <si>
    <t>Gas sample</t>
  </si>
  <si>
    <t>Where samples comprise more than one container, the rate entered shall be per container.</t>
  </si>
  <si>
    <t>B27</t>
  </si>
  <si>
    <t>Reinstatement or concrete footpath and concrete pavements</t>
  </si>
  <si>
    <t>C86</t>
  </si>
  <si>
    <t>Trackbed Inspection Pits</t>
  </si>
  <si>
    <t>D56</t>
  </si>
  <si>
    <t>D57</t>
  </si>
  <si>
    <t>Extra over item D56 for setting to the site of exploratory hole over safety barrier or other fence or wall, set up, dismantle on completion and reinstate.</t>
  </si>
  <si>
    <t>D58</t>
  </si>
  <si>
    <t>Extra over Item D56 for setting up on a slope of gradient greater than 20%</t>
  </si>
  <si>
    <t>D60</t>
  </si>
  <si>
    <t>D61</t>
  </si>
  <si>
    <t xml:space="preserve">As Item D60 but between 3.0 and 4.5m depth </t>
  </si>
  <si>
    <t>D62</t>
  </si>
  <si>
    <t>A32 - Additional Items</t>
  </si>
  <si>
    <t>Extra over item for provision of necessary COVID19 social distancing and precaution measures during Ground Investigation as outlined in Item A9</t>
  </si>
  <si>
    <t>-</t>
  </si>
  <si>
    <t>B1.2.1.1</t>
  </si>
  <si>
    <t>B1.2.2.1</t>
  </si>
  <si>
    <t>C15.1.2.1</t>
  </si>
  <si>
    <r>
      <t xml:space="preserve">Move rotary drilling plant and equipment to the site of each exploratory drillhole over safety barrier or other fence or wall, set up, dismantle on completion and reinstate (rotary follow-on) - </t>
    </r>
    <r>
      <rPr>
        <b/>
        <sz val="10"/>
        <rFont val="Arial"/>
        <family val="2"/>
      </rPr>
      <t>Night Works/Within Permanent Way</t>
    </r>
  </si>
  <si>
    <t>Backfill and reinstate inspection pit  with arisings/excavated materials and ballast in accordance with Iarnród Éireann Standards and as outlined in the Specification.</t>
  </si>
  <si>
    <t>M</t>
  </si>
  <si>
    <t>Sum</t>
  </si>
  <si>
    <t>Provide Engineer / Geologist to recover ground gas sample from gas monitoring standpipe</t>
  </si>
  <si>
    <t>Provision of dynamic probing equipment and crew for probing as directed by the Investigation Supervisor; maximum depth 10m</t>
  </si>
  <si>
    <t>Weekly</t>
  </si>
  <si>
    <t>Visits</t>
  </si>
  <si>
    <t>Extra over Item J9 for ground gas measurements in all standpipe during return visit</t>
  </si>
  <si>
    <t>Extra over Item J9 for groundwater measurements in all standpipes or standpipe piezometers during return visit</t>
  </si>
  <si>
    <t>Develop all standpipes or piezometer by purging (3 well volumes)</t>
  </si>
  <si>
    <t xml:space="preserve">Extra over rate for item E7 in depth range 20m to 30m </t>
  </si>
  <si>
    <t>Provide Engineer/Geologist to take water sample from all standpipes or standpipe piezometer (rate not including purging or micro purging)</t>
  </si>
  <si>
    <t>Not Required</t>
  </si>
  <si>
    <t>California Bearing Ratio by Handheld TRL DCP method</t>
  </si>
  <si>
    <t>Carry out Foundation Inspection Pit as per Appendix B of Specification at locations shown in the Drawings in Volume A(ii)</t>
  </si>
  <si>
    <t>Extra over item A2.1 - A2.9 for a yellow category site</t>
  </si>
  <si>
    <t>Maintain on site all site safety equipment for a Yellow Category site</t>
  </si>
  <si>
    <t>Decontamination of equipment during and at end of intrusive investigation for a Yellow Category site</t>
  </si>
  <si>
    <t>A8.2</t>
  </si>
  <si>
    <t>Move equipment on-track to the site of each inspection pit dismantle on completion and reinstate.</t>
  </si>
  <si>
    <t>Bring dynamic probe (DPH) equipment on-track to the site of each test location</t>
  </si>
  <si>
    <t>Total Section B.1 carried to summary:</t>
  </si>
  <si>
    <t>Non-Track Works</t>
  </si>
  <si>
    <t>On-Track Works</t>
  </si>
  <si>
    <t>On Track Works</t>
  </si>
  <si>
    <t>B.1</t>
  </si>
  <si>
    <t>A2.1.1</t>
  </si>
  <si>
    <t>A2.2.1</t>
  </si>
  <si>
    <t>Establish on site Geobor S rotary drilling plant and equipment for a Green Category site</t>
  </si>
  <si>
    <r>
      <t>Establish the location and elevation (X, Y, Z) of the ground at each 'as-built' exploratory hole or point (</t>
    </r>
    <r>
      <rPr>
        <b/>
        <sz val="10"/>
        <color rgb="FFFF0000"/>
        <rFont val="Arial"/>
        <family val="2"/>
      </rPr>
      <t>NIGHT TIME ON TRACK</t>
    </r>
    <r>
      <rPr>
        <sz val="10"/>
        <rFont val="Arial"/>
        <family val="2"/>
      </rPr>
      <t>)</t>
    </r>
  </si>
  <si>
    <t>Provision of Lighting for Night Time &amp; Tunnel Works</t>
  </si>
  <si>
    <t xml:space="preserve">A33 </t>
  </si>
  <si>
    <r>
      <t>Establish the location and elevation (X, Y, Z) of the ground at each 'as-built' exploratory hole or point (</t>
    </r>
    <r>
      <rPr>
        <b/>
        <sz val="10"/>
        <color rgb="FFFF0000"/>
        <rFont val="Arial"/>
        <family val="2"/>
      </rPr>
      <t>NON TRACK</t>
    </r>
    <r>
      <rPr>
        <sz val="10"/>
        <rFont val="Arial"/>
        <family val="2"/>
      </rPr>
      <t>)</t>
    </r>
  </si>
  <si>
    <r>
      <t xml:space="preserve">Dynamic sampling (Window and Windowless Sampling) </t>
    </r>
    <r>
      <rPr>
        <b/>
        <u/>
        <sz val="10"/>
        <color rgb="FFFF0000"/>
        <rFont val="Arial"/>
        <family val="2"/>
      </rPr>
      <t>Night Works On Track</t>
    </r>
  </si>
  <si>
    <t>C.1</t>
  </si>
  <si>
    <t>Rate Only</t>
  </si>
  <si>
    <t>Per m</t>
  </si>
  <si>
    <t>M1</t>
  </si>
  <si>
    <t>M2</t>
  </si>
  <si>
    <t>A2.1A</t>
  </si>
  <si>
    <r>
      <t>Establish on site cable percussion ('shell &amp; auger') boring plant and equipment for a Green Category site (</t>
    </r>
    <r>
      <rPr>
        <b/>
        <sz val="10"/>
        <color rgb="FFFF0000"/>
        <rFont val="Arial"/>
        <family val="2"/>
      </rPr>
      <t>Stage 1 - NON TRACK</t>
    </r>
    <r>
      <rPr>
        <sz val="10"/>
        <rFont val="Arial"/>
        <family val="2"/>
      </rPr>
      <t xml:space="preserve">)  </t>
    </r>
  </si>
  <si>
    <r>
      <t>Establish on site cable percussion ('shell &amp; auger') boring plant and equipment for a Green Category site (</t>
    </r>
    <r>
      <rPr>
        <b/>
        <sz val="10"/>
        <color rgb="FFFF0000"/>
        <rFont val="Arial"/>
        <family val="2"/>
      </rPr>
      <t>Stage 2 - NON TRACK</t>
    </r>
    <r>
      <rPr>
        <sz val="10"/>
        <rFont val="Arial"/>
        <family val="2"/>
      </rPr>
      <t xml:space="preserve">)  </t>
    </r>
  </si>
  <si>
    <t>A30.1</t>
  </si>
  <si>
    <t>Extra over Item A2.1 - A2.9 for working within Irish Rail property</t>
  </si>
  <si>
    <t>Provision of PTS track safety training for field staff working on Irish Rail property</t>
  </si>
  <si>
    <t>Provision of Track Possession or Permit to Access permits from Irish Rail for working. (Cost of Lookouts and TSC are excluded from this contract and are not borne by the Contractor)</t>
  </si>
  <si>
    <t>Provision of Insurances (including Iarnrod Eireann and CIE as named insured)</t>
  </si>
  <si>
    <t>Provide liaison with PSCS where another party is performing the role of PSCS</t>
  </si>
  <si>
    <t>Contractor liaison with / submissions to with Irish Rail as required (method statements, coordination and scheduling of possessions, licensing for works to structure, etc.)</t>
  </si>
  <si>
    <t>Obtain permission and notify re: temporary closures to public rights-of-way where required (towpaths, etc.)</t>
  </si>
  <si>
    <t>Extra Over Item B1.1 Set up borehole in trackside area to include compliance with Irish Rail requirements (works supervised by Engineer/Geologist with valid PTS card / works by crew with valid PTS cards)</t>
  </si>
  <si>
    <t>Hand digging and CAT scan at borehole location to confirm absence of utility ducts (maximum depth of 1.20m or lesser if ground is assessed as potentially unstable) in road areas</t>
  </si>
  <si>
    <t>Hand digging and CAT scan at borehole location to confirm absence of utility ducts (maximum depth of 1.20m or lesser if ground is assessed as potentially unstable) in trackside areas</t>
  </si>
  <si>
    <t xml:space="preserve">Daily provision of pitting crew and equipment  </t>
  </si>
  <si>
    <t xml:space="preserve">Provision of excavation plant equipment and crew for machine dug trial pits or trenches as directed by the Investigation Supervisor; maximum depth 3.0m </t>
  </si>
  <si>
    <t xml:space="preserve">day </t>
  </si>
  <si>
    <t>Provision of excavation plant, equipment and crew for machine dug observation pit or trench as directed by the Investigation Supervisor (maximum depth 3.0m)</t>
  </si>
  <si>
    <t>A34</t>
  </si>
  <si>
    <t>A35</t>
  </si>
  <si>
    <t>A36</t>
  </si>
  <si>
    <t>A37</t>
  </si>
  <si>
    <t>Included in A7</t>
  </si>
  <si>
    <t>Included in B1 to B1.2.2</t>
  </si>
  <si>
    <t>Included in B1.1 &amp; B1.2</t>
  </si>
  <si>
    <t>Included in D53</t>
  </si>
  <si>
    <t>Refer to C15.1.1 to C15.2.2 &amp; C15.3</t>
  </si>
  <si>
    <t>Included in C15 to C15.2</t>
  </si>
  <si>
    <t>Included in A2, A2.4, D3 to D19</t>
  </si>
  <si>
    <t>To be included in item D13 to D15</t>
  </si>
  <si>
    <t>Included in Item D3 &amp; D3.1</t>
  </si>
  <si>
    <t>To be included in item D51 and D52</t>
  </si>
  <si>
    <t>B1.2.1.2</t>
  </si>
  <si>
    <t>Extra Over Item B1.2.1.1 Set up borehole in road area to include erection of traffic management systems (works supervised by Engineer/Geologist with valid CSCS Card for Signing, Lighting and Guarding at Roadworks)</t>
  </si>
  <si>
    <t>B3.2</t>
  </si>
  <si>
    <t>Addressed</t>
  </si>
  <si>
    <t>A2.9.1</t>
  </si>
  <si>
    <t>Appropriate storage, transport and off-site disposal of excess contaminated arising’s from borehole, trial pit or slit trench to EPA regulated landfill site (includes any PPE equipment but excludes laboratory testing on suspected contaminated materials). Note item to be remeasured with delivery dockets and records maintained by the Contractor</t>
  </si>
  <si>
    <t xml:space="preserve">Move boring plant and equipment to the site of each exploratory hole, set up, dismantle on completion and reinstate (where borehole is to be followed on with rotary drilling) </t>
  </si>
  <si>
    <t>B28</t>
  </si>
  <si>
    <t>C87</t>
  </si>
  <si>
    <t xml:space="preserve">Move rotary drilling plant and equipment to the site of each exploratory drillhole, set up, dismantle on completion and reinstate (rotary follow-on) </t>
  </si>
  <si>
    <t xml:space="preserve">Move rotary drilling plant and equipment to the site of each exploratory drillhole over safety barrier or other fence or wall, set up, dismantle on completion and reinstate (rotary follow-on) </t>
  </si>
  <si>
    <t xml:space="preserve">Disposal of excess or surplus inert arisings from rotary drilling operations (where standpipe or piezometer is not installed) </t>
  </si>
  <si>
    <t>D63</t>
  </si>
  <si>
    <t>D64</t>
  </si>
  <si>
    <t>D65</t>
  </si>
  <si>
    <t>D66</t>
  </si>
  <si>
    <t>D67</t>
  </si>
  <si>
    <t>D68</t>
  </si>
  <si>
    <t>D69</t>
  </si>
  <si>
    <t>D70</t>
  </si>
  <si>
    <t>D71</t>
  </si>
  <si>
    <t>D72</t>
  </si>
  <si>
    <t>D73</t>
  </si>
  <si>
    <t>D74</t>
  </si>
  <si>
    <t xml:space="preserve">nr </t>
  </si>
  <si>
    <t>Extra over Item D45 for temporary storage and disposal of contaminated groundwater from trial pit or trench</t>
  </si>
  <si>
    <t>Leave open observation pit or slit trench as instructed by Investigation Supervisor</t>
  </si>
  <si>
    <t>Leave open trial pit as instructed by Investigation Supervisor</t>
  </si>
  <si>
    <t>D76</t>
  </si>
  <si>
    <t>D77</t>
  </si>
  <si>
    <t>D78</t>
  </si>
  <si>
    <t>D79</t>
  </si>
  <si>
    <t>D80</t>
  </si>
  <si>
    <t>Standard penetration test in rotary drillhole, depth range 0 to 10m</t>
  </si>
  <si>
    <t>Total Section M carried to summary:</t>
  </si>
  <si>
    <t>M3</t>
  </si>
  <si>
    <t>M4</t>
  </si>
  <si>
    <t>M5</t>
  </si>
  <si>
    <t>Provision of excavation plant equipment and crew for machine dug Foundation Inspection Pits as directed by the Investigation Supervisor; maximum depth 3.0m in trackside locations (nightworks)</t>
  </si>
  <si>
    <t>As Item M3 but between 3.0 and 4.5m depth</t>
  </si>
  <si>
    <t>Extra over Items M3 - 4 for breaking out hard strata or obstructions</t>
  </si>
  <si>
    <t>M6</t>
  </si>
  <si>
    <t>M7</t>
  </si>
  <si>
    <t>M8</t>
  </si>
  <si>
    <t>Extra over Item M7 for temporary storage and disposal of contaminated groundwater from pit</t>
  </si>
  <si>
    <r>
      <t>Establish on site cable percussion ('shell &amp; auger') boring plant and equipment for a Green Category site (</t>
    </r>
    <r>
      <rPr>
        <b/>
        <sz val="10"/>
        <color rgb="FFFF0000"/>
        <rFont val="Arial"/>
        <family val="2"/>
      </rPr>
      <t>Stage 1 - NIGHT TIME ON TRACK</t>
    </r>
    <r>
      <rPr>
        <sz val="10"/>
        <rFont val="Arial"/>
        <family val="2"/>
      </rPr>
      <t xml:space="preserve">) </t>
    </r>
  </si>
  <si>
    <r>
      <t>Establish on site rotary drilling plant and equipment for a Green Category site (</t>
    </r>
    <r>
      <rPr>
        <b/>
        <sz val="10"/>
        <color rgb="FFFF0000"/>
        <rFont val="Arial"/>
        <family val="2"/>
      </rPr>
      <t>Stage 1 - NON TRACK</t>
    </r>
    <r>
      <rPr>
        <sz val="10"/>
        <rFont val="Arial"/>
        <family val="2"/>
      </rPr>
      <t xml:space="preserve">)  </t>
    </r>
  </si>
  <si>
    <t>A2.2A</t>
  </si>
  <si>
    <r>
      <t>Establish on site rotary drilling plant and equipment for a Green Category site (</t>
    </r>
    <r>
      <rPr>
        <b/>
        <sz val="10"/>
        <color rgb="FFFF0000"/>
        <rFont val="Arial"/>
        <family val="2"/>
      </rPr>
      <t>Stage 2 - NON TRACK</t>
    </r>
    <r>
      <rPr>
        <sz val="10"/>
        <rFont val="Arial"/>
        <family val="2"/>
      </rPr>
      <t xml:space="preserve">)  </t>
    </r>
  </si>
  <si>
    <r>
      <t>Establish on site rotary drilling plant and equipment for a Green Category site (</t>
    </r>
    <r>
      <rPr>
        <b/>
        <sz val="10"/>
        <color rgb="FFFF0000"/>
        <rFont val="Arial"/>
        <family val="2"/>
      </rPr>
      <t>Stage 1 - NIGHT TIME ON TRACK</t>
    </r>
    <r>
      <rPr>
        <sz val="10"/>
        <rFont val="Arial"/>
        <family val="2"/>
      </rPr>
      <t xml:space="preserve">)  </t>
    </r>
  </si>
  <si>
    <r>
      <t>Establish on site trial pitting and trenching plant and equipment for a Green Category site  (</t>
    </r>
    <r>
      <rPr>
        <b/>
        <sz val="10"/>
        <color rgb="FFFF0000"/>
        <rFont val="Arial"/>
        <family val="2"/>
      </rPr>
      <t>Stage 1  - NIGHT TIME ON TRACK</t>
    </r>
    <r>
      <rPr>
        <sz val="10"/>
        <rFont val="Arial"/>
        <family val="2"/>
      </rPr>
      <t>)</t>
    </r>
  </si>
  <si>
    <t>A2.5A</t>
  </si>
  <si>
    <r>
      <t>Establish on site dynamic sampling and probing plant and equipment for a Green Category site (</t>
    </r>
    <r>
      <rPr>
        <b/>
        <sz val="10"/>
        <color rgb="FFFF0000"/>
        <rFont val="Arial"/>
        <family val="2"/>
      </rPr>
      <t>Stage 3 - NIGHT TIME ON TRACK</t>
    </r>
    <r>
      <rPr>
        <sz val="10"/>
        <rFont val="Arial"/>
        <family val="2"/>
      </rPr>
      <t xml:space="preserve">) </t>
    </r>
  </si>
  <si>
    <t>A2.7A</t>
  </si>
  <si>
    <r>
      <t>Establish on site dynamic sampling and probing plant and equipment for a Green Category site (</t>
    </r>
    <r>
      <rPr>
        <b/>
        <sz val="10"/>
        <color rgb="FFFF0000"/>
        <rFont val="Arial"/>
        <family val="2"/>
      </rPr>
      <t>Stage 1 - NON TRACK</t>
    </r>
    <r>
      <rPr>
        <sz val="10"/>
        <rFont val="Arial"/>
        <family val="2"/>
      </rPr>
      <t xml:space="preserve">) </t>
    </r>
  </si>
  <si>
    <r>
      <t>Establish on site in situ test and sampling equipment for a Green Category site (</t>
    </r>
    <r>
      <rPr>
        <b/>
        <sz val="10"/>
        <color rgb="FFFF0000"/>
        <rFont val="Arial"/>
        <family val="2"/>
      </rPr>
      <t>Stages 1 to 4 - NIGHT TIME ON TRACK</t>
    </r>
    <r>
      <rPr>
        <sz val="10"/>
        <rFont val="Arial"/>
        <family val="2"/>
      </rPr>
      <t>)</t>
    </r>
  </si>
  <si>
    <r>
      <t>Establish on site in situ test and sampling equipment for a Green Category site (</t>
    </r>
    <r>
      <rPr>
        <b/>
        <sz val="10"/>
        <color rgb="FFFF0000"/>
        <rFont val="Arial"/>
        <family val="2"/>
      </rPr>
      <t>Stages 1 to 4 - NON TRACK</t>
    </r>
    <r>
      <rPr>
        <sz val="10"/>
        <rFont val="Arial"/>
        <family val="2"/>
      </rPr>
      <t>)</t>
    </r>
  </si>
  <si>
    <r>
      <t>Establish on site geophysical survey equipment for a Green Category site (</t>
    </r>
    <r>
      <rPr>
        <b/>
        <sz val="10"/>
        <color rgb="FFFF0000"/>
        <rFont val="Arial"/>
        <family val="2"/>
      </rPr>
      <t>Stage 1</t>
    </r>
    <r>
      <rPr>
        <sz val="10"/>
        <rFont val="Arial"/>
        <family val="2"/>
      </rPr>
      <t>)</t>
    </r>
  </si>
  <si>
    <r>
      <t>Establish on site instrumentation equipment as required for a Green Category site (</t>
    </r>
    <r>
      <rPr>
        <b/>
        <sz val="10"/>
        <color rgb="FFFF0000"/>
        <rFont val="Arial"/>
        <family val="2"/>
      </rPr>
      <t>Stage 1</t>
    </r>
    <r>
      <rPr>
        <sz val="10"/>
        <rFont val="Arial"/>
        <family val="2"/>
      </rPr>
      <t>)</t>
    </r>
  </si>
  <si>
    <t>Extra over to excavate foundation inspection pit below 1.2m depth.</t>
  </si>
  <si>
    <r>
      <t>Probing and cone penetration testing (</t>
    </r>
    <r>
      <rPr>
        <b/>
        <sz val="10"/>
        <color rgb="FFFF0000"/>
        <rFont val="Arial"/>
        <family val="2"/>
      </rPr>
      <t>Night Works On-Track</t>
    </r>
    <r>
      <rPr>
        <sz val="10"/>
        <color rgb="FF000000"/>
        <rFont val="Arial"/>
        <family val="2"/>
      </rPr>
      <t>)</t>
    </r>
  </si>
  <si>
    <r>
      <t>Pitting and trenching (</t>
    </r>
    <r>
      <rPr>
        <b/>
        <sz val="10"/>
        <color rgb="FFFF0000"/>
        <rFont val="Arial"/>
        <family val="2"/>
      </rPr>
      <t>Night Works On Track</t>
    </r>
    <r>
      <rPr>
        <sz val="10"/>
        <color rgb="FF000000"/>
        <rFont val="Arial"/>
        <family val="2"/>
      </rPr>
      <t>)</t>
    </r>
  </si>
  <si>
    <r>
      <t>Rotary drilling (</t>
    </r>
    <r>
      <rPr>
        <b/>
        <sz val="10"/>
        <color rgb="FFFF0000"/>
        <rFont val="Arial"/>
        <family val="2"/>
      </rPr>
      <t>Night Works On Track</t>
    </r>
    <r>
      <rPr>
        <sz val="10"/>
        <color rgb="FF000000"/>
        <rFont val="Arial"/>
        <family val="2"/>
      </rPr>
      <t>)</t>
    </r>
  </si>
  <si>
    <r>
      <t>Percussion boring (</t>
    </r>
    <r>
      <rPr>
        <b/>
        <sz val="10"/>
        <color rgb="FFFF0000"/>
        <rFont val="Arial"/>
        <family val="2"/>
      </rPr>
      <t>Night Works On Track</t>
    </r>
    <r>
      <rPr>
        <sz val="10"/>
        <color rgb="FF000000"/>
        <rFont val="Arial"/>
        <family val="2"/>
      </rPr>
      <t>)</t>
    </r>
  </si>
  <si>
    <r>
      <t>Percussion boring (</t>
    </r>
    <r>
      <rPr>
        <b/>
        <sz val="10"/>
        <color rgb="FFFF0000"/>
        <rFont val="Arial"/>
        <family val="2"/>
      </rPr>
      <t>Non Track</t>
    </r>
    <r>
      <rPr>
        <sz val="10"/>
        <color rgb="FF000000"/>
        <rFont val="Arial"/>
        <family val="2"/>
      </rPr>
      <t>)</t>
    </r>
  </si>
  <si>
    <r>
      <t>Rotary drilling (</t>
    </r>
    <r>
      <rPr>
        <b/>
        <sz val="10"/>
        <color rgb="FFFF0000"/>
        <rFont val="Arial"/>
        <family val="2"/>
      </rPr>
      <t>Non Track</t>
    </r>
    <r>
      <rPr>
        <sz val="10"/>
        <color rgb="FF000000"/>
        <rFont val="Arial"/>
        <family val="2"/>
      </rPr>
      <t>)</t>
    </r>
  </si>
  <si>
    <r>
      <t>Structures Survey (</t>
    </r>
    <r>
      <rPr>
        <b/>
        <sz val="10"/>
        <color rgb="FFFF0000"/>
        <rFont val="Arial"/>
        <family val="2"/>
      </rPr>
      <t>Night Works On Track</t>
    </r>
    <r>
      <rPr>
        <sz val="10"/>
        <color rgb="FF000000"/>
        <rFont val="Arial"/>
        <family val="2"/>
      </rPr>
      <t>)</t>
    </r>
  </si>
  <si>
    <t>A9.1</t>
  </si>
  <si>
    <t>Standing time for borehole plant, equipment and crew (excl briefings and setup/dismantling of equipment)</t>
  </si>
  <si>
    <t>Standing time for dynamic sampling equipment and crew (excl briefings and setup/dismantling of equipment)</t>
  </si>
  <si>
    <t>Standing time for rotary drilling plant, equipment and crew (excl briefings and setup/dismantling of equipment)</t>
  </si>
  <si>
    <t>Standing time for rotary percussive drilling plant, equipment and crew (excl briefings and setup/dismantling of equipment)</t>
  </si>
  <si>
    <t>Standing time for Geobor S drilling plant, equipment and crew (excl briefings and setup/dismantling of equipment)</t>
  </si>
  <si>
    <t>Dynamic sampling &gt;10m as instructed by the Investigation Supervisor</t>
  </si>
  <si>
    <t>Standing time for hand auger equipment and crew (excl briefings and setup/dismantling of equipment)</t>
  </si>
  <si>
    <t>Standing time for excavation plant, equipment and crew for machine dug trial pit or trench (excl briefings and setup/dismantling of equipment)</t>
  </si>
  <si>
    <t>Standing time for excavation plant, equipment and crew for hand dug observation pit or trench (excl briefings and setup/dismantling of equipment)</t>
  </si>
  <si>
    <t>Standing time for excavation plant, equipment and crew for trackbed inspection pit (excl briefings and setup/dismantling of equipment)</t>
  </si>
  <si>
    <t>D75</t>
  </si>
  <si>
    <t>As Item D64 but between 3.0 and 4.5m depth</t>
  </si>
  <si>
    <t>As Item D64 but in trackside locations (nightworks)</t>
  </si>
  <si>
    <t>As Item D67 between 3.0 and 4.5m depth</t>
  </si>
  <si>
    <t>As Item D67 but in trackside locations (daytime)</t>
  </si>
  <si>
    <t>As Item D67 but in trackside locations (nightworks)</t>
  </si>
  <si>
    <t>As Item D67 but for vacuum excavation</t>
  </si>
  <si>
    <t>As Item D67 but for vacuum excavation (trackside)</t>
  </si>
  <si>
    <t>Extra over Items D64-65 &amp; D67-D74 for breaking out hard strata or obstructions</t>
  </si>
  <si>
    <t>Hand Excavated Trial Pits</t>
  </si>
  <si>
    <t>D81</t>
  </si>
  <si>
    <t>D82</t>
  </si>
  <si>
    <t>D83</t>
  </si>
  <si>
    <t>D84</t>
  </si>
  <si>
    <t>As item D76 but for midweek night time shift, 8 hours working shift with provision of all equipment (trolleys, lighting and all other equipment for night time working)</t>
  </si>
  <si>
    <t xml:space="preserve">As item D76 but for weekend day time shift, 8 hours working shift </t>
  </si>
  <si>
    <t>As item D76 but for weekend night time shift, 8 hours working shift with provision of all equipment (trolleys, lighting and all other equipment for night time working)</t>
  </si>
  <si>
    <t>As item D80 but for midweek night time shift, 8 hours working shift with provision of all equipment (trolleys, lighting and all other equipment for night time working)</t>
  </si>
  <si>
    <t xml:space="preserve">As item D80 but for weekend day time shift, 8 hours working shift </t>
  </si>
  <si>
    <t>As item D80 but for weekend night time shift, 8 hours working shift with provision of all equipment (trolleys, lighting and all other equipment for night time working)</t>
  </si>
  <si>
    <t>Extra Over Items B1.1-B1.2 for moving locations where distance travelled is &gt; 5km</t>
  </si>
  <si>
    <t>Standing time for dynamic probe test equipment and crew (excl briefings and setup/dismantling of equipment)</t>
  </si>
  <si>
    <t>Standing time for seismic cone test equipment and crew (excl briefings and setup/dismantling of equipment)</t>
  </si>
  <si>
    <t>Provision of two man crew for hand excavated trial pits at bridge abutments, retaining walls and tunnel sidewalls up to 1.2m in depth with CAT scan prior to excavation and as progress plus hand vane tests, including all plant, equipment and services, midweek day time working, 8 hours working shift</t>
  </si>
  <si>
    <t>Provision of two man crew for hand excavated trial pit on track up to 1.2m in depth with CAT scan prior to excavation and as progress plus hand vane tests and TRL Probes including all plant, equipment and services, midweek day time working, 8 hours working shift</t>
  </si>
  <si>
    <t>Facilities for the Investigation Supervisor (As noted in Schedule 3)</t>
  </si>
  <si>
    <t xml:space="preserve">Storage of all samples following completion of Stage 4 fieldworks </t>
  </si>
  <si>
    <t xml:space="preserve">Storage of core boxes following completion of Stage 4 fieldworks </t>
  </si>
  <si>
    <t>Backfill and reinstate exploratory hole locations  with arisings/excavated materials and ballast in accordance with Iarnród Éireann Standards and as outlined in the Specification.</t>
  </si>
  <si>
    <t>Excavate inspection pit between existing ground level and 1.2m depth using 300mm Clam Shell Bucket</t>
  </si>
  <si>
    <t>As Item D67 but for hand excavation up to 1.2m depth</t>
  </si>
  <si>
    <t>As Item D67 but for hand excavation up to 1.2m depth (trackside)</t>
  </si>
  <si>
    <r>
      <t>Geophysical testing (</t>
    </r>
    <r>
      <rPr>
        <b/>
        <sz val="10"/>
        <color rgb="FFFF0000"/>
        <rFont val="Arial"/>
        <family val="2"/>
      </rPr>
      <t>Night Works On Track</t>
    </r>
    <r>
      <rPr>
        <sz val="10"/>
        <color rgb="FF000000"/>
        <rFont val="Arial"/>
        <family val="2"/>
      </rPr>
      <t>)</t>
    </r>
  </si>
  <si>
    <t>Rotary drill in materials other than hard strata at the specified diameter, from which cores are not required, between existing ground level and 10m depth.</t>
  </si>
  <si>
    <t xml:space="preserve">Backfill auger hole with cement/bentonite grout or bentonite pellets </t>
  </si>
  <si>
    <t xml:space="preserve">Rotary drill in materials other than hard strata at the specified diameter, from which cores are not required, between existing ground level and 10m depth </t>
  </si>
  <si>
    <t>Environmental / contamination sample for Suite H</t>
  </si>
  <si>
    <t>Carry out headspace testing on sample by FID or PID methods</t>
  </si>
  <si>
    <t>Total foundation Pits</t>
  </si>
  <si>
    <t>Assumed Pits per hour</t>
  </si>
  <si>
    <t xml:space="preserve">Hours per night shift </t>
  </si>
  <si>
    <t>Pits per day</t>
  </si>
  <si>
    <t>Plant Day rate</t>
  </si>
  <si>
    <t xml:space="preserve">Total days </t>
  </si>
  <si>
    <t>Total Estimated Cost</t>
  </si>
  <si>
    <t>Are all these to be included in BOQ?</t>
  </si>
  <si>
    <t>Refer to Items A2.1-2.9</t>
  </si>
  <si>
    <r>
      <t>Preparation of Health and Safety documentation and Safety Risk Assessment for Work on or near the track (</t>
    </r>
    <r>
      <rPr>
        <b/>
        <sz val="10"/>
        <color rgb="FFFF0000"/>
        <rFont val="Arial"/>
        <family val="2"/>
      </rPr>
      <t>IE as PSCS</t>
    </r>
    <r>
      <rPr>
        <sz val="10"/>
        <rFont val="Arial"/>
        <family val="2"/>
      </rPr>
      <t>).</t>
    </r>
  </si>
  <si>
    <r>
      <t>Preparation of Health and Safety documentation and Safety Risk Assessment for Works outside the railway boundary (</t>
    </r>
    <r>
      <rPr>
        <b/>
        <sz val="10"/>
        <color rgb="FFFF0000"/>
        <rFont val="Arial"/>
        <family val="2"/>
      </rPr>
      <t>Contractor as PSCS</t>
    </r>
    <r>
      <rPr>
        <sz val="10"/>
        <rFont val="Arial"/>
        <family val="2"/>
      </rPr>
      <t>)</t>
    </r>
  </si>
  <si>
    <t>N/A</t>
  </si>
  <si>
    <t>Contractor liaison with external bodies, stakeholders and landowners: Waterways Ireland, Dublin City Council, Fingal County Council, Kildare County Council, landowners, other contractors etc.</t>
  </si>
  <si>
    <t>B15.2.3 (NT)</t>
  </si>
  <si>
    <t>H1.5</t>
  </si>
  <si>
    <t>Standard penetration test in Dynamic sampling (Window and Windowless Sampling), depth range 0 to 10m</t>
  </si>
  <si>
    <t>Hand digging and CAT scan at dynamic sampling location to confirm absence of utility ducts (maximum depth of 1.2m or lesser if ground is assessed as potentially unstable). Include use of 100mm sleeve each location cleared of services for in advance of drilling as per S1.9.3 of Volume A (i).</t>
  </si>
  <si>
    <t>included in A2.1 to A2.2.1</t>
  </si>
  <si>
    <t>Included in C15 to C15.3</t>
  </si>
  <si>
    <t>A2.3.1</t>
  </si>
  <si>
    <r>
      <t>Establish on site Geobor S rotary drilling plant and equipment for a Green Category site (</t>
    </r>
    <r>
      <rPr>
        <b/>
        <sz val="10"/>
        <color rgb="FFFF0000"/>
        <rFont val="Arial"/>
        <family val="2"/>
      </rPr>
      <t>Stage 1 - NIGHT TIME ON TRACK</t>
    </r>
    <r>
      <rPr>
        <sz val="10"/>
        <rFont val="Arial"/>
        <family val="2"/>
      </rPr>
      <t xml:space="preserve">)  </t>
    </r>
  </si>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</sst>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quot;€&quot;* #,##0_-;\-&quot;€&quot;* #,##0_-;_-&quot;€&quot;* &quot;-&quot;??_-;_-@_-"/>
    <numFmt numFmtId="165" formatCode="0;0;;@"/>
    <numFmt numFmtId="166" formatCode="_-[$€-2]\ * #,##0_-;\-[$€-2]\ * #,##0_-;_-[$€-2]\ * &quot;-&quot;??_-;_-@_-"/>
  </numFmts>
  <fonts count="29" x14ac:knownFonts="1">
    <font>
      <sz val="11"/>
      <color theme="1"/>
      <name val="Calibri"/>
      <family val="2"/>
      <scheme val="minor"/>
    </font>
    <font>
      <sz val="11"/>
      <color theme="1"/>
      <name val="Calibri"/>
      <family val="2"/>
      <scheme val="minor"/>
    </font>
    <font>
      <sz val="11"/>
      <color rgb="FF3F3F76"/>
      <name val="Calibri"/>
      <family val="2"/>
      <scheme val="minor"/>
    </font>
    <font>
      <b/>
      <sz val="9"/>
      <color rgb="FF000000"/>
      <name val="Arial"/>
      <family val="2"/>
    </font>
    <font>
      <b/>
      <sz val="10"/>
      <name val="Arial"/>
      <family val="2"/>
    </font>
    <font>
      <sz val="10"/>
      <name val="Times New Roman"/>
      <family val="1"/>
    </font>
    <font>
      <sz val="10"/>
      <name val="Arial"/>
      <family val="2"/>
    </font>
    <font>
      <sz val="11"/>
      <color rgb="FF3F3F76"/>
      <name val="Calibri"/>
      <family val="2"/>
    </font>
    <font>
      <b/>
      <sz val="10"/>
      <color rgb="FF000000"/>
      <name val="Arial"/>
      <family val="2"/>
    </font>
    <font>
      <sz val="10"/>
      <color rgb="FF000000"/>
      <name val="Arial"/>
      <family val="2"/>
    </font>
    <font>
      <b/>
      <u/>
      <sz val="10"/>
      <name val="Arial"/>
      <family val="2"/>
    </font>
    <font>
      <b/>
      <u/>
      <sz val="10"/>
      <color rgb="FF000000"/>
      <name val="Arial"/>
      <family val="2"/>
    </font>
    <font>
      <u/>
      <sz val="10"/>
      <name val="Arial"/>
      <family val="2"/>
    </font>
    <font>
      <b/>
      <sz val="11"/>
      <name val="Arial"/>
      <family val="2"/>
    </font>
    <font>
      <b/>
      <sz val="9"/>
      <name val="Arial"/>
      <family val="2"/>
    </font>
    <font>
      <sz val="10"/>
      <color rgb="FFA6A6A6"/>
      <name val="Arial"/>
      <family val="2"/>
    </font>
    <font>
      <b/>
      <sz val="10"/>
      <color rgb="FFFF0000"/>
      <name val="Arial"/>
      <family val="2"/>
    </font>
    <font>
      <u/>
      <sz val="10"/>
      <color rgb="FF000000"/>
      <name val="Arial"/>
      <family val="2"/>
    </font>
    <font>
      <sz val="10"/>
      <color rgb="FFFF0000"/>
      <name val="Arial"/>
      <family val="2"/>
    </font>
    <font>
      <sz val="10"/>
      <color theme="1"/>
      <name val="Arial"/>
      <family val="2"/>
    </font>
    <font>
      <sz val="11"/>
      <color rgb="FF000000"/>
      <name val="Calibri"/>
      <family val="2"/>
    </font>
    <font>
      <b/>
      <sz val="14"/>
      <color rgb="FFFF0000"/>
      <name val="Arial"/>
      <family val="2"/>
    </font>
    <font>
      <b/>
      <u/>
      <sz val="10"/>
      <color rgb="FFFF0000"/>
      <name val="Arial"/>
      <family val="2"/>
    </font>
    <font>
      <sz val="9"/>
      <color indexed="8"/>
      <name val="Arial"/>
      <family val="2"/>
    </font>
    <font>
      <sz val="9"/>
      <name val="Arial"/>
      <family val="2"/>
    </font>
    <font>
      <b/>
      <sz val="9"/>
      <color indexed="8"/>
      <name val="Arial"/>
      <family val="2"/>
    </font>
    <font>
      <sz val="8"/>
      <name val="Calibri"/>
      <family val="2"/>
      <scheme val="minor"/>
    </font>
    <font>
      <sz val="11"/>
      <color rgb="FFFF0000"/>
      <name val="Calibri"/>
      <family val="2"/>
      <scheme val="minor"/>
    </font>
    <font>
      <sz val="9"/>
      <color rgb="FFFF0000"/>
      <name val="Arial"/>
      <family val="2"/>
    </font>
  </fonts>
  <fills count="9">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0000"/>
        <bgColor indexed="64"/>
      </patternFill>
    </fill>
  </fills>
  <borders count="22">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0" tint="-0.2499465926084170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diagonal/>
    </border>
    <border>
      <left style="thin">
        <color auto="1"/>
      </left>
      <right style="thin">
        <color auto="1"/>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s>
  <cellStyleXfs count="4">
    <xf numFmtId="0" fontId="0" fillId="0" borderId="0"/>
    <xf numFmtId="44" fontId="1" fillId="0" borderId="0" applyFont="0" applyFill="0" applyBorder="0" applyAlignment="0" applyProtection="0"/>
    <xf numFmtId="0" fontId="2" fillId="2" borderId="1" applyNumberFormat="0" applyAlignment="0" applyProtection="0"/>
    <xf numFmtId="44" fontId="1" fillId="0" borderId="0" applyFont="0" applyFill="0" applyBorder="0" applyAlignment="0" applyProtection="0"/>
  </cellStyleXfs>
  <cellXfs count="215">
    <xf numFmtId="0" fontId="0" fillId="0" borderId="0" xfId="0"/>
    <xf numFmtId="0" fontId="3" fillId="0" borderId="2" xfId="0" applyFont="1" applyFill="1" applyBorder="1" applyAlignment="1">
      <alignment horizontal="center" vertical="center" wrapText="1"/>
    </xf>
    <xf numFmtId="0" fontId="3" fillId="0" borderId="2" xfId="0" applyFont="1" applyFill="1" applyBorder="1" applyAlignment="1" applyProtection="1">
      <alignment horizontal="center" vertical="center" wrapText="1"/>
      <protection locked="0"/>
    </xf>
    <xf numFmtId="4" fontId="3" fillId="0" borderId="2" xfId="0" applyNumberFormat="1" applyFont="1" applyFill="1" applyBorder="1" applyAlignment="1">
      <alignment horizontal="center" vertical="center" wrapText="1"/>
    </xf>
    <xf numFmtId="0" fontId="4" fillId="0" borderId="2" xfId="0" applyFont="1" applyFill="1" applyBorder="1" applyAlignment="1">
      <alignment vertical="center" wrapText="1"/>
    </xf>
    <xf numFmtId="0" fontId="5" fillId="0" borderId="3" xfId="0" applyFont="1" applyFill="1" applyBorder="1" applyAlignment="1">
      <alignment horizontal="center" vertical="top" wrapText="1"/>
    </xf>
    <xf numFmtId="0" fontId="5" fillId="0" borderId="3" xfId="0" applyFont="1" applyFill="1" applyBorder="1" applyAlignment="1" applyProtection="1">
      <alignment horizontal="center" vertical="top" wrapText="1"/>
      <protection locked="0"/>
    </xf>
    <xf numFmtId="4" fontId="6" fillId="0" borderId="3" xfId="0" applyNumberFormat="1" applyFont="1" applyFill="1" applyBorder="1" applyAlignment="1">
      <alignment horizontal="center" vertical="center" wrapText="1"/>
    </xf>
    <xf numFmtId="0" fontId="6" fillId="0" borderId="0" xfId="0" applyFont="1" applyFill="1" applyBorder="1"/>
    <xf numFmtId="0" fontId="6" fillId="0" borderId="2" xfId="0" applyFont="1" applyFill="1" applyBorder="1" applyAlignment="1">
      <alignment vertical="center" wrapText="1"/>
    </xf>
    <xf numFmtId="0" fontId="6" fillId="0" borderId="4" xfId="0" applyFont="1" applyFill="1" applyBorder="1" applyAlignment="1">
      <alignment vertical="center" wrapText="1"/>
    </xf>
    <xf numFmtId="0" fontId="6" fillId="0" borderId="2" xfId="0" applyFont="1" applyFill="1" applyBorder="1" applyAlignment="1">
      <alignment horizontal="center" vertical="center" wrapText="1"/>
    </xf>
    <xf numFmtId="0" fontId="6" fillId="0" borderId="2" xfId="0" applyFont="1" applyFill="1" applyBorder="1" applyAlignment="1" applyProtection="1">
      <alignment horizontal="center" vertical="center" wrapText="1"/>
      <protection locked="0"/>
    </xf>
    <xf numFmtId="0" fontId="8" fillId="0" borderId="4"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7" xfId="0" applyFont="1" applyFill="1" applyBorder="1" applyAlignment="1" applyProtection="1">
      <alignment horizontal="center" vertical="center" wrapText="1"/>
      <protection locked="0"/>
    </xf>
    <xf numFmtId="0" fontId="9" fillId="0" borderId="0" xfId="0" applyFont="1" applyFill="1" applyBorder="1"/>
    <xf numFmtId="0" fontId="9" fillId="0" borderId="2" xfId="0" applyFont="1" applyFill="1" applyBorder="1"/>
    <xf numFmtId="0" fontId="9" fillId="0" borderId="2" xfId="0" applyFont="1" applyFill="1" applyBorder="1" applyAlignment="1">
      <alignment horizontal="center"/>
    </xf>
    <xf numFmtId="0" fontId="9" fillId="0" borderId="2" xfId="0" applyFont="1" applyFill="1" applyBorder="1" applyAlignment="1" applyProtection="1">
      <alignment horizontal="center"/>
      <protection locked="0"/>
    </xf>
    <xf numFmtId="4" fontId="9" fillId="0" borderId="2" xfId="0" applyNumberFormat="1" applyFont="1" applyFill="1" applyBorder="1" applyAlignment="1">
      <alignment horizontal="center"/>
    </xf>
    <xf numFmtId="0" fontId="9" fillId="0" borderId="0" xfId="0" applyFont="1" applyFill="1" applyBorder="1" applyAlignment="1">
      <alignment horizontal="center"/>
    </xf>
    <xf numFmtId="0" fontId="9" fillId="0" borderId="0" xfId="0" applyFont="1" applyFill="1" applyBorder="1" applyAlignment="1" applyProtection="1">
      <alignment horizontal="center"/>
      <protection locked="0"/>
    </xf>
    <xf numFmtId="4" fontId="9" fillId="0" borderId="0" xfId="0" applyNumberFormat="1" applyFont="1" applyFill="1" applyBorder="1" applyAlignment="1">
      <alignment horizontal="center"/>
    </xf>
    <xf numFmtId="0" fontId="6" fillId="0" borderId="3"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8" fillId="0" borderId="2" xfId="0" applyFont="1" applyFill="1" applyBorder="1" applyAlignment="1">
      <alignment vertical="top" wrapText="1"/>
    </xf>
    <xf numFmtId="0" fontId="8" fillId="0" borderId="2" xfId="0" applyFont="1" applyFill="1" applyBorder="1" applyAlignment="1">
      <alignment horizontal="center" vertical="top" wrapText="1"/>
    </xf>
    <xf numFmtId="0" fontId="9" fillId="0" borderId="2" xfId="0" applyFont="1" applyFill="1" applyBorder="1" applyAlignment="1">
      <alignment horizontal="center" vertical="top" wrapText="1"/>
    </xf>
    <xf numFmtId="4" fontId="9" fillId="0" borderId="2" xfId="0" applyNumberFormat="1" applyFont="1" applyFill="1" applyBorder="1" applyAlignment="1">
      <alignment horizontal="center" vertical="top" wrapText="1"/>
    </xf>
    <xf numFmtId="0" fontId="9" fillId="0" borderId="0" xfId="0" applyFont="1" applyFill="1" applyBorder="1" applyAlignment="1">
      <alignment horizontal="center" vertical="top" wrapText="1"/>
    </xf>
    <xf numFmtId="0" fontId="6" fillId="0" borderId="0" xfId="0"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0" fontId="7" fillId="0" borderId="0" xfId="2" applyFont="1" applyFill="1" applyBorder="1" applyAlignment="1">
      <alignment horizontal="center" vertical="center" wrapText="1"/>
    </xf>
    <xf numFmtId="0" fontId="5" fillId="0" borderId="0" xfId="0" applyFont="1" applyFill="1" applyBorder="1" applyAlignment="1">
      <alignment horizontal="center" vertical="top" wrapText="1"/>
    </xf>
    <xf numFmtId="0" fontId="10" fillId="0" borderId="2" xfId="0" applyFont="1" applyFill="1" applyBorder="1" applyAlignment="1">
      <alignment vertical="center" wrapText="1"/>
    </xf>
    <xf numFmtId="4" fontId="6" fillId="0" borderId="2" xfId="0" applyNumberFormat="1" applyFont="1" applyFill="1" applyBorder="1" applyAlignment="1">
      <alignment horizontal="center" vertical="center" wrapText="1"/>
    </xf>
    <xf numFmtId="0" fontId="8" fillId="0" borderId="4" xfId="0" applyFont="1" applyFill="1" applyBorder="1" applyAlignment="1">
      <alignment vertical="center" wrapText="1"/>
    </xf>
    <xf numFmtId="0" fontId="8" fillId="0" borderId="6" xfId="0" applyFont="1" applyFill="1" applyBorder="1" applyAlignment="1">
      <alignment vertical="center" wrapText="1"/>
    </xf>
    <xf numFmtId="0" fontId="8" fillId="0" borderId="7" xfId="0" applyFont="1" applyFill="1" applyBorder="1" applyAlignment="1">
      <alignment vertical="center" wrapText="1"/>
    </xf>
    <xf numFmtId="0" fontId="9" fillId="0" borderId="3" xfId="0" applyFont="1" applyFill="1" applyBorder="1"/>
    <xf numFmtId="0" fontId="9" fillId="0" borderId="3" xfId="0" applyFont="1" applyFill="1" applyBorder="1" applyAlignment="1">
      <alignment horizontal="center"/>
    </xf>
    <xf numFmtId="4" fontId="9" fillId="0" borderId="3" xfId="0" applyNumberFormat="1" applyFont="1" applyFill="1" applyBorder="1" applyAlignment="1">
      <alignment horizontal="center"/>
    </xf>
    <xf numFmtId="0" fontId="9" fillId="0" borderId="0" xfId="0" applyFont="1" applyFill="1" applyBorder="1" applyAlignment="1">
      <alignment vertical="top" wrapText="1"/>
    </xf>
    <xf numFmtId="0" fontId="8" fillId="0" borderId="2" xfId="0" applyFont="1" applyFill="1" applyBorder="1" applyAlignment="1">
      <alignment vertical="center" wrapText="1"/>
    </xf>
    <xf numFmtId="0" fontId="11" fillId="0" borderId="2" xfId="0" applyFont="1" applyFill="1" applyBorder="1" applyAlignment="1">
      <alignment vertical="center" wrapText="1"/>
    </xf>
    <xf numFmtId="0" fontId="9" fillId="0" borderId="2" xfId="0" applyFont="1" applyFill="1" applyBorder="1" applyAlignment="1">
      <alignment vertical="center" wrapText="1"/>
    </xf>
    <xf numFmtId="4" fontId="9" fillId="0" borderId="2" xfId="0" applyNumberFormat="1" applyFont="1" applyFill="1" applyBorder="1" applyAlignment="1">
      <alignment vertical="center" wrapText="1"/>
    </xf>
    <xf numFmtId="0" fontId="9" fillId="0" borderId="0" xfId="0" applyFont="1" applyFill="1" applyBorder="1" applyAlignment="1">
      <alignment vertical="center" wrapText="1"/>
    </xf>
    <xf numFmtId="0" fontId="6" fillId="0" borderId="2" xfId="0" applyFont="1" applyFill="1" applyBorder="1" applyAlignment="1">
      <alignment vertical="center"/>
    </xf>
    <xf numFmtId="0" fontId="12" fillId="0" borderId="2" xfId="0" applyFont="1" applyFill="1" applyBorder="1" applyAlignment="1">
      <alignment vertical="center" wrapText="1"/>
    </xf>
    <xf numFmtId="0" fontId="8" fillId="0" borderId="8" xfId="0" applyFont="1" applyFill="1" applyBorder="1" applyAlignment="1">
      <alignment horizontal="right"/>
    </xf>
    <xf numFmtId="0" fontId="8" fillId="0" borderId="9" xfId="0" applyFont="1" applyFill="1" applyBorder="1" applyAlignment="1">
      <alignment horizontal="right"/>
    </xf>
    <xf numFmtId="0" fontId="9" fillId="0" borderId="0" xfId="0" applyFont="1" applyFill="1" applyBorder="1" applyAlignment="1">
      <alignment horizontal="right"/>
    </xf>
    <xf numFmtId="0" fontId="13" fillId="0" borderId="2" xfId="0" applyFont="1" applyFill="1" applyBorder="1" applyAlignment="1">
      <alignment vertical="center" wrapText="1"/>
    </xf>
    <xf numFmtId="0" fontId="4" fillId="0" borderId="2" xfId="0" applyFont="1" applyFill="1" applyBorder="1" applyAlignment="1">
      <alignment horizontal="center" vertical="center" wrapText="1"/>
    </xf>
    <xf numFmtId="0" fontId="6" fillId="0" borderId="3" xfId="0" applyFont="1" applyFill="1" applyBorder="1" applyAlignment="1">
      <alignment vertical="center" wrapText="1"/>
    </xf>
    <xf numFmtId="0" fontId="10" fillId="0" borderId="3" xfId="0" applyFont="1" applyFill="1" applyBorder="1" applyAlignment="1">
      <alignment vertical="center" wrapText="1"/>
    </xf>
    <xf numFmtId="0" fontId="6" fillId="0" borderId="3" xfId="0" applyFont="1" applyFill="1" applyBorder="1" applyAlignment="1" applyProtection="1">
      <alignment horizontal="center" vertical="center" wrapText="1"/>
      <protection locked="0"/>
    </xf>
    <xf numFmtId="0" fontId="6" fillId="0" borderId="10"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13" xfId="0" applyFont="1" applyFill="1" applyBorder="1" applyAlignment="1" applyProtection="1">
      <alignment horizontal="center" vertical="center" wrapText="1"/>
      <protection locked="0"/>
    </xf>
    <xf numFmtId="0" fontId="9" fillId="0" borderId="3" xfId="0" applyFont="1" applyFill="1" applyBorder="1" applyAlignment="1" applyProtection="1">
      <alignment horizontal="center"/>
      <protection locked="0"/>
    </xf>
    <xf numFmtId="0" fontId="4" fillId="0" borderId="2" xfId="0" applyFont="1" applyFill="1" applyBorder="1" applyAlignment="1" applyProtection="1">
      <alignment horizontal="center" vertical="center" wrapText="1"/>
      <protection locked="0"/>
    </xf>
    <xf numFmtId="4" fontId="4" fillId="0" borderId="2" xfId="0" applyNumberFormat="1" applyFont="1" applyFill="1" applyBorder="1" applyAlignment="1">
      <alignment vertical="center" wrapText="1"/>
    </xf>
    <xf numFmtId="0" fontId="4" fillId="0" borderId="0" xfId="0" applyFont="1" applyFill="1" applyBorder="1" applyAlignment="1">
      <alignment vertical="center" wrapText="1"/>
    </xf>
    <xf numFmtId="0" fontId="12" fillId="0" borderId="3" xfId="0" applyFont="1" applyFill="1" applyBorder="1" applyAlignment="1">
      <alignment vertical="center" wrapText="1"/>
    </xf>
    <xf numFmtId="0" fontId="6" fillId="0" borderId="0" xfId="0" applyFont="1" applyFill="1" applyBorder="1" applyAlignment="1">
      <alignment horizontal="right" vertical="center" wrapText="1"/>
    </xf>
    <xf numFmtId="0" fontId="6" fillId="0" borderId="2" xfId="0" applyFont="1" applyFill="1" applyBorder="1" applyAlignment="1" applyProtection="1">
      <alignment vertical="center" wrapText="1"/>
      <protection locked="0"/>
    </xf>
    <xf numFmtId="0" fontId="5" fillId="0" borderId="2" xfId="0" applyFont="1" applyFill="1" applyBorder="1" applyAlignment="1">
      <alignment horizontal="center" vertical="top" wrapText="1"/>
    </xf>
    <xf numFmtId="4" fontId="6" fillId="0" borderId="2" xfId="0" applyNumberFormat="1" applyFont="1" applyFill="1" applyBorder="1" applyAlignment="1">
      <alignment vertical="center" wrapText="1"/>
    </xf>
    <xf numFmtId="0" fontId="12" fillId="0" borderId="2" xfId="0" applyFont="1" applyFill="1" applyBorder="1" applyAlignment="1">
      <alignment vertical="center"/>
    </xf>
    <xf numFmtId="164" fontId="9" fillId="0" borderId="0" xfId="1" applyNumberFormat="1" applyFont="1" applyFill="1" applyBorder="1" applyAlignment="1">
      <alignment horizontal="center"/>
    </xf>
    <xf numFmtId="4" fontId="6" fillId="0" borderId="0" xfId="0" applyNumberFormat="1" applyFont="1" applyFill="1" applyBorder="1" applyAlignment="1">
      <alignment horizontal="center" vertical="center" wrapText="1"/>
    </xf>
    <xf numFmtId="0" fontId="4" fillId="0" borderId="3" xfId="0" applyFont="1" applyFill="1" applyBorder="1" applyAlignment="1">
      <alignment vertical="center" wrapText="1"/>
    </xf>
    <xf numFmtId="0" fontId="4" fillId="0" borderId="3" xfId="0" applyFont="1" applyFill="1" applyBorder="1" applyAlignment="1">
      <alignment horizontal="center" vertical="center" wrapText="1"/>
    </xf>
    <xf numFmtId="0" fontId="9" fillId="0" borderId="0" xfId="0" applyFont="1" applyFill="1" applyBorder="1" applyAlignment="1">
      <alignment horizontal="center" vertical="center" wrapText="1"/>
    </xf>
    <xf numFmtId="4" fontId="14" fillId="0" borderId="2" xfId="0" applyNumberFormat="1" applyFont="1" applyFill="1" applyBorder="1" applyAlignment="1">
      <alignment horizontal="center" vertical="center" wrapText="1"/>
    </xf>
    <xf numFmtId="4" fontId="3" fillId="0" borderId="0" xfId="0" applyNumberFormat="1" applyFont="1" applyFill="1" applyBorder="1" applyAlignment="1">
      <alignment horizontal="center" vertical="center" wrapText="1"/>
    </xf>
    <xf numFmtId="4" fontId="6" fillId="0" borderId="3" xfId="0" applyNumberFormat="1" applyFont="1" applyFill="1" applyBorder="1" applyAlignment="1">
      <alignment horizontal="center"/>
    </xf>
    <xf numFmtId="0" fontId="8" fillId="0" borderId="2" xfId="0" applyFont="1" applyFill="1" applyBorder="1" applyAlignment="1">
      <alignment horizontal="center" vertical="center" wrapText="1"/>
    </xf>
    <xf numFmtId="4" fontId="4" fillId="0" borderId="2" xfId="0" applyNumberFormat="1" applyFont="1" applyFill="1" applyBorder="1" applyAlignment="1">
      <alignment horizontal="center" vertical="center" wrapText="1"/>
    </xf>
    <xf numFmtId="4" fontId="8" fillId="0" borderId="0" xfId="0" applyNumberFormat="1" applyFont="1" applyFill="1" applyBorder="1" applyAlignment="1">
      <alignment horizontal="center" vertical="center" wrapText="1"/>
    </xf>
    <xf numFmtId="0" fontId="15" fillId="0" borderId="2" xfId="0" applyFont="1" applyFill="1" applyBorder="1" applyAlignment="1">
      <alignment vertical="center" wrapText="1"/>
    </xf>
    <xf numFmtId="0" fontId="15"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4" fontId="9" fillId="0" borderId="0" xfId="0" applyNumberFormat="1" applyFont="1" applyFill="1" applyBorder="1" applyAlignment="1">
      <alignment horizontal="center" vertical="center" wrapText="1"/>
    </xf>
    <xf numFmtId="4" fontId="6" fillId="0" borderId="0" xfId="0" applyNumberFormat="1" applyFont="1" applyFill="1" applyBorder="1" applyAlignment="1">
      <alignment horizontal="center"/>
    </xf>
    <xf numFmtId="4" fontId="8" fillId="0" borderId="2" xfId="0" applyNumberFormat="1" applyFont="1" applyFill="1" applyBorder="1" applyAlignment="1">
      <alignment horizontal="center" vertical="center" wrapText="1"/>
    </xf>
    <xf numFmtId="4" fontId="9" fillId="0" borderId="3" xfId="0" applyNumberFormat="1" applyFont="1" applyFill="1" applyBorder="1" applyAlignment="1">
      <alignment horizontal="center" vertical="center" wrapText="1"/>
    </xf>
    <xf numFmtId="4" fontId="9" fillId="0" borderId="2" xfId="0" applyNumberFormat="1" applyFont="1" applyFill="1" applyBorder="1" applyAlignment="1">
      <alignment horizontal="center" vertical="center" wrapText="1"/>
    </xf>
    <xf numFmtId="0" fontId="14" fillId="0" borderId="2" xfId="0" applyFont="1" applyFill="1" applyBorder="1" applyAlignment="1" applyProtection="1">
      <alignment horizontal="center" vertical="center" wrapText="1"/>
      <protection locked="0"/>
    </xf>
    <xf numFmtId="0" fontId="6" fillId="0" borderId="3" xfId="0" applyFont="1" applyFill="1" applyBorder="1" applyAlignment="1" applyProtection="1">
      <alignment horizontal="center"/>
      <protection locked="0"/>
    </xf>
    <xf numFmtId="0" fontId="16" fillId="0" borderId="2" xfId="0" applyFont="1" applyFill="1" applyBorder="1" applyAlignment="1" applyProtection="1">
      <alignment horizontal="center" vertical="center" wrapText="1"/>
      <protection locked="0"/>
    </xf>
    <xf numFmtId="0" fontId="17" fillId="0" borderId="2" xfId="0" applyFont="1" applyFill="1" applyBorder="1" applyAlignment="1">
      <alignment vertical="center" wrapText="1"/>
    </xf>
    <xf numFmtId="0" fontId="18" fillId="0" borderId="2" xfId="0" applyFont="1" applyFill="1" applyBorder="1" applyAlignment="1" applyProtection="1">
      <alignment horizontal="center" vertical="center" wrapText="1"/>
      <protection locked="0"/>
    </xf>
    <xf numFmtId="0" fontId="18" fillId="0" borderId="0" xfId="0" applyFont="1" applyFill="1" applyBorder="1" applyAlignment="1" applyProtection="1">
      <alignment horizontal="center"/>
      <protection locked="0"/>
    </xf>
    <xf numFmtId="0" fontId="9" fillId="0" borderId="2" xfId="0" applyFont="1" applyFill="1" applyBorder="1" applyAlignment="1" applyProtection="1">
      <alignment horizontal="center" vertical="center" wrapText="1"/>
      <protection locked="0"/>
    </xf>
    <xf numFmtId="0" fontId="8" fillId="0" borderId="2" xfId="0" applyFont="1" applyFill="1" applyBorder="1" applyAlignment="1" applyProtection="1">
      <alignment horizontal="center" vertical="center" wrapText="1"/>
      <protection locked="0"/>
    </xf>
    <xf numFmtId="0" fontId="11" fillId="0" borderId="12" xfId="0" applyFont="1" applyFill="1" applyBorder="1" applyAlignment="1"/>
    <xf numFmtId="0" fontId="8" fillId="0" borderId="2" xfId="0" applyFont="1" applyFill="1" applyBorder="1" applyAlignment="1"/>
    <xf numFmtId="164" fontId="9" fillId="0" borderId="0" xfId="1" applyNumberFormat="1" applyFont="1" applyFill="1" applyBorder="1"/>
    <xf numFmtId="0" fontId="11" fillId="0" borderId="2" xfId="0" applyFont="1" applyFill="1" applyBorder="1"/>
    <xf numFmtId="0" fontId="19" fillId="0" borderId="2" xfId="0" applyFont="1" applyFill="1" applyBorder="1"/>
    <xf numFmtId="0" fontId="19" fillId="0" borderId="2" xfId="0" applyFont="1" applyFill="1" applyBorder="1" applyAlignment="1">
      <alignment horizontal="center"/>
    </xf>
    <xf numFmtId="0" fontId="19" fillId="0" borderId="0" xfId="0" applyFont="1" applyFill="1" applyBorder="1"/>
    <xf numFmtId="0" fontId="19" fillId="0" borderId="3" xfId="0" applyFont="1" applyFill="1" applyBorder="1"/>
    <xf numFmtId="0" fontId="19" fillId="0" borderId="3" xfId="0" applyFont="1" applyFill="1" applyBorder="1" applyAlignment="1">
      <alignment horizontal="center"/>
    </xf>
    <xf numFmtId="164" fontId="19" fillId="0" borderId="0" xfId="1" applyNumberFormat="1" applyFont="1" applyFill="1" applyBorder="1"/>
    <xf numFmtId="0" fontId="8" fillId="0" borderId="2" xfId="0" applyFont="1" applyFill="1" applyBorder="1" applyAlignment="1">
      <alignment vertical="center"/>
    </xf>
    <xf numFmtId="0" fontId="8" fillId="0" borderId="0" xfId="0" applyFont="1" applyFill="1" applyBorder="1" applyAlignment="1">
      <alignment horizontal="center" vertical="center" wrapText="1"/>
    </xf>
    <xf numFmtId="0" fontId="20" fillId="0" borderId="2" xfId="0" applyFont="1" applyFill="1" applyBorder="1" applyAlignment="1">
      <alignment vertical="center"/>
    </xf>
    <xf numFmtId="0" fontId="20" fillId="0" borderId="2" xfId="0" applyFont="1" applyFill="1" applyBorder="1" applyAlignment="1">
      <alignment vertical="center" wrapText="1"/>
    </xf>
    <xf numFmtId="0" fontId="20" fillId="0" borderId="4" xfId="0" applyFont="1" applyFill="1" applyBorder="1" applyAlignment="1">
      <alignment vertical="center" wrapText="1"/>
    </xf>
    <xf numFmtId="0" fontId="20" fillId="0" borderId="0" xfId="0" applyFont="1" applyFill="1" applyBorder="1" applyAlignment="1">
      <alignment horizontal="center" vertical="center"/>
    </xf>
    <xf numFmtId="0" fontId="19" fillId="0" borderId="0" xfId="0" applyFont="1" applyFill="1" applyBorder="1" applyAlignment="1">
      <alignment horizontal="center"/>
    </xf>
    <xf numFmtId="165" fontId="6" fillId="0" borderId="3" xfId="0" applyNumberFormat="1" applyFont="1" applyFill="1" applyBorder="1" applyAlignment="1">
      <alignment horizontal="center" vertical="center" wrapText="1"/>
    </xf>
    <xf numFmtId="1" fontId="6" fillId="0" borderId="2" xfId="0" applyNumberFormat="1" applyFont="1" applyFill="1" applyBorder="1" applyAlignment="1">
      <alignment horizontal="center" vertical="center" wrapText="1"/>
    </xf>
    <xf numFmtId="165" fontId="6" fillId="0" borderId="14" xfId="0" applyNumberFormat="1" applyFont="1" applyFill="1" applyBorder="1" applyAlignment="1">
      <alignment horizontal="center" vertical="center" wrapText="1"/>
    </xf>
    <xf numFmtId="0" fontId="8" fillId="0" borderId="12" xfId="0" applyFont="1" applyFill="1" applyBorder="1" applyAlignment="1" applyProtection="1">
      <alignment horizontal="center" vertical="center" wrapText="1"/>
      <protection locked="0"/>
    </xf>
    <xf numFmtId="165" fontId="6" fillId="0" borderId="2" xfId="0" applyNumberFormat="1" applyFont="1" applyFill="1" applyBorder="1" applyAlignment="1">
      <alignment horizontal="center" vertical="center" wrapText="1"/>
    </xf>
    <xf numFmtId="0" fontId="8" fillId="0" borderId="9" xfId="0" applyFont="1" applyFill="1" applyBorder="1" applyAlignment="1" applyProtection="1">
      <alignment horizontal="right"/>
      <protection locked="0"/>
    </xf>
    <xf numFmtId="1" fontId="6" fillId="0" borderId="2" xfId="0" applyNumberFormat="1" applyFont="1" applyFill="1" applyBorder="1" applyAlignment="1">
      <alignment vertical="center" wrapText="1"/>
    </xf>
    <xf numFmtId="0" fontId="6" fillId="0" borderId="2" xfId="0" applyFont="1" applyBorder="1" applyAlignment="1">
      <alignment vertical="center" wrapText="1"/>
    </xf>
    <xf numFmtId="0" fontId="6" fillId="0" borderId="0" xfId="0" applyFont="1" applyAlignment="1">
      <alignment vertical="center" wrapText="1"/>
    </xf>
    <xf numFmtId="0" fontId="6" fillId="0" borderId="12" xfId="0" applyFont="1" applyBorder="1" applyAlignment="1">
      <alignment vertical="center" wrapText="1"/>
    </xf>
    <xf numFmtId="0" fontId="6" fillId="0" borderId="4" xfId="0" applyFont="1" applyBorder="1" applyAlignment="1">
      <alignment vertical="center" wrapText="1"/>
    </xf>
    <xf numFmtId="0" fontId="6" fillId="0" borderId="5" xfId="0" applyFont="1" applyBorder="1" applyAlignment="1">
      <alignment horizontal="left" vertical="center" wrapText="1"/>
    </xf>
    <xf numFmtId="0" fontId="6" fillId="0" borderId="2" xfId="0" applyFont="1" applyFill="1" applyBorder="1" applyAlignment="1">
      <alignment vertical="center" wrapText="1"/>
    </xf>
    <xf numFmtId="0" fontId="6" fillId="0" borderId="2" xfId="0" applyFont="1" applyFill="1" applyBorder="1" applyAlignment="1">
      <alignment horizontal="center" vertical="center" wrapText="1"/>
    </xf>
    <xf numFmtId="0" fontId="3" fillId="0" borderId="2" xfId="0" applyFont="1" applyBorder="1" applyAlignment="1">
      <alignment horizontal="center" vertical="center" wrapText="1"/>
    </xf>
    <xf numFmtId="4" fontId="3" fillId="0" borderId="2" xfId="0" applyNumberFormat="1" applyFont="1" applyBorder="1" applyAlignment="1">
      <alignment horizontal="center" vertical="center" wrapText="1"/>
    </xf>
    <xf numFmtId="0" fontId="9" fillId="0" borderId="3" xfId="0" applyFont="1" applyBorder="1"/>
    <xf numFmtId="0" fontId="9" fillId="0" borderId="3" xfId="0" applyFont="1" applyBorder="1" applyAlignment="1">
      <alignment horizontal="center"/>
    </xf>
    <xf numFmtId="4" fontId="9" fillId="0" borderId="3" xfId="0" applyNumberFormat="1" applyFont="1" applyBorder="1" applyAlignment="1">
      <alignment horizontal="center"/>
    </xf>
    <xf numFmtId="0" fontId="9" fillId="0" borderId="2" xfId="0" applyFont="1" applyBorder="1" applyAlignment="1">
      <alignment vertical="center" wrapText="1"/>
    </xf>
    <xf numFmtId="0" fontId="9" fillId="0" borderId="2" xfId="0" applyFont="1" applyBorder="1" applyAlignment="1">
      <alignment horizontal="center" vertical="center" wrapText="1"/>
    </xf>
    <xf numFmtId="4" fontId="8" fillId="0" borderId="2" xfId="0" applyNumberFormat="1" applyFont="1" applyBorder="1" applyAlignment="1">
      <alignment horizontal="center" vertical="center" wrapText="1"/>
    </xf>
    <xf numFmtId="0" fontId="19" fillId="0" borderId="2" xfId="0" applyFont="1" applyFill="1" applyBorder="1" applyAlignment="1">
      <alignment horizontal="center" vertical="center" wrapText="1"/>
    </xf>
    <xf numFmtId="1" fontId="19" fillId="0" borderId="2" xfId="0" applyNumberFormat="1"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0" xfId="0" applyFont="1" applyFill="1" applyBorder="1" applyAlignment="1">
      <alignment vertical="center" wrapText="1"/>
    </xf>
    <xf numFmtId="0" fontId="6" fillId="0" borderId="12" xfId="0" applyFont="1" applyFill="1" applyBorder="1" applyAlignment="1">
      <alignment vertical="center" wrapText="1"/>
    </xf>
    <xf numFmtId="0" fontId="0" fillId="0" borderId="2" xfId="0" applyFill="1" applyBorder="1" applyAlignment="1">
      <alignment horizontal="center" vertical="center" wrapText="1"/>
    </xf>
    <xf numFmtId="0" fontId="19" fillId="0" borderId="12" xfId="0" applyFont="1" applyFill="1" applyBorder="1" applyAlignment="1">
      <alignment horizontal="center" vertical="center" wrapText="1"/>
    </xf>
    <xf numFmtId="0" fontId="21" fillId="0" borderId="3" xfId="0" applyFont="1" applyFill="1" applyBorder="1"/>
    <xf numFmtId="0" fontId="0" fillId="0" borderId="2" xfId="0" applyBorder="1"/>
    <xf numFmtId="0" fontId="23" fillId="0" borderId="15" xfId="0" applyFont="1" applyFill="1" applyBorder="1" applyAlignment="1">
      <alignment vertical="center"/>
    </xf>
    <xf numFmtId="0" fontId="24" fillId="0" borderId="16" xfId="0" applyFont="1" applyFill="1" applyBorder="1" applyAlignment="1">
      <alignment vertical="center"/>
    </xf>
    <xf numFmtId="0" fontId="23" fillId="0" borderId="16" xfId="0" applyFont="1" applyFill="1" applyBorder="1" applyAlignment="1">
      <alignment vertical="center"/>
    </xf>
    <xf numFmtId="0" fontId="23" fillId="4" borderId="0" xfId="0" applyFont="1" applyFill="1" applyBorder="1" applyAlignment="1">
      <alignment vertical="center"/>
    </xf>
    <xf numFmtId="0" fontId="7" fillId="4" borderId="0" xfId="2" applyFont="1" applyFill="1" applyBorder="1" applyAlignment="1">
      <alignment horizontal="center" vertical="center" wrapText="1"/>
    </xf>
    <xf numFmtId="0" fontId="6" fillId="4" borderId="0" xfId="0" applyFont="1" applyFill="1" applyBorder="1"/>
    <xf numFmtId="0" fontId="0" fillId="0" borderId="0" xfId="0" applyFill="1"/>
    <xf numFmtId="0" fontId="8" fillId="0" borderId="19" xfId="0" applyFont="1" applyFill="1" applyBorder="1" applyAlignment="1">
      <alignment horizontal="right"/>
    </xf>
    <xf numFmtId="0" fontId="8" fillId="0" borderId="20" xfId="0" applyFont="1" applyFill="1" applyBorder="1" applyAlignment="1">
      <alignment horizontal="right"/>
    </xf>
    <xf numFmtId="165" fontId="6" fillId="0" borderId="21" xfId="0" applyNumberFormat="1" applyFont="1" applyFill="1" applyBorder="1" applyAlignment="1">
      <alignment horizontal="center" vertical="center" wrapText="1"/>
    </xf>
    <xf numFmtId="165" fontId="6" fillId="0" borderId="5" xfId="0" applyNumberFormat="1" applyFont="1" applyFill="1" applyBorder="1" applyAlignment="1">
      <alignment horizontal="center" vertical="center" wrapText="1"/>
    </xf>
    <xf numFmtId="0" fontId="25" fillId="0" borderId="2" xfId="0" applyFont="1" applyFill="1" applyBorder="1" applyAlignment="1">
      <alignment vertical="center" wrapText="1"/>
    </xf>
    <xf numFmtId="0" fontId="23" fillId="0" borderId="2" xfId="0" applyFont="1" applyFill="1" applyBorder="1" applyAlignment="1">
      <alignment horizontal="center" vertical="center" wrapText="1"/>
    </xf>
    <xf numFmtId="0" fontId="0" fillId="0" borderId="2" xfId="0" applyFill="1" applyBorder="1"/>
    <xf numFmtId="0" fontId="24" fillId="0" borderId="17" xfId="0" applyFont="1" applyFill="1" applyBorder="1" applyAlignment="1">
      <alignment vertical="center"/>
    </xf>
    <xf numFmtId="0" fontId="24" fillId="0" borderId="18" xfId="0" applyFont="1" applyFill="1" applyBorder="1" applyAlignment="1">
      <alignment vertical="center"/>
    </xf>
    <xf numFmtId="0" fontId="0" fillId="0" borderId="2" xfId="0" applyFill="1" applyBorder="1" applyAlignment="1">
      <alignment wrapText="1"/>
    </xf>
    <xf numFmtId="0" fontId="6" fillId="0" borderId="0"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0" fillId="4" borderId="2" xfId="0" applyFill="1" applyBorder="1" applyAlignment="1">
      <alignment horizontal="center" vertical="center"/>
    </xf>
    <xf numFmtId="0" fontId="6" fillId="5" borderId="0" xfId="0" applyFont="1" applyFill="1" applyBorder="1"/>
    <xf numFmtId="0" fontId="23" fillId="5" borderId="15" xfId="0" applyFont="1" applyFill="1" applyBorder="1" applyAlignment="1">
      <alignment vertical="center"/>
    </xf>
    <xf numFmtId="3" fontId="6" fillId="0" borderId="3" xfId="0" applyNumberFormat="1" applyFont="1" applyFill="1" applyBorder="1" applyAlignment="1">
      <alignment horizontal="center" vertical="center" wrapText="1"/>
    </xf>
    <xf numFmtId="0" fontId="24" fillId="5" borderId="16" xfId="0" applyFont="1" applyFill="1" applyBorder="1" applyAlignment="1">
      <alignment vertical="center"/>
    </xf>
    <xf numFmtId="0" fontId="9" fillId="5" borderId="0" xfId="0" applyFont="1" applyFill="1" applyBorder="1"/>
    <xf numFmtId="166" fontId="6" fillId="0" borderId="3" xfId="0" applyNumberFormat="1" applyFont="1" applyFill="1" applyBorder="1" applyAlignment="1">
      <alignment horizontal="center" vertical="center" wrapText="1"/>
    </xf>
    <xf numFmtId="166" fontId="4" fillId="0" borderId="2" xfId="0" applyNumberFormat="1" applyFont="1" applyFill="1" applyBorder="1" applyAlignment="1">
      <alignment horizontal="center" vertical="center" wrapText="1"/>
    </xf>
    <xf numFmtId="0" fontId="18" fillId="0" borderId="0" xfId="0" applyFont="1" applyFill="1" applyBorder="1"/>
    <xf numFmtId="0" fontId="27" fillId="0" borderId="0" xfId="0" applyFont="1" applyFill="1"/>
    <xf numFmtId="0" fontId="28" fillId="0" borderId="16" xfId="0" applyFont="1" applyFill="1" applyBorder="1" applyAlignment="1">
      <alignment vertical="center"/>
    </xf>
    <xf numFmtId="0" fontId="6" fillId="0" borderId="0" xfId="0" applyFont="1" applyFill="1" applyBorder="1" applyAlignment="1">
      <alignment horizontal="center" vertical="center" wrapText="1"/>
    </xf>
    <xf numFmtId="0" fontId="9" fillId="6" borderId="0" xfId="0" applyFont="1" applyFill="1" applyBorder="1"/>
    <xf numFmtId="0" fontId="6" fillId="6" borderId="0" xfId="0" applyFont="1" applyFill="1" applyBorder="1"/>
    <xf numFmtId="0" fontId="6" fillId="0" borderId="0"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165" fontId="6" fillId="3" borderId="3" xfId="0" applyNumberFormat="1" applyFont="1" applyFill="1" applyBorder="1" applyAlignment="1">
      <alignment horizontal="center" vertical="center" wrapText="1"/>
    </xf>
    <xf numFmtId="0" fontId="6" fillId="0" borderId="10" xfId="0" applyFont="1" applyFill="1" applyBorder="1" applyAlignment="1">
      <alignment horizontal="left" vertical="center" wrapText="1"/>
    </xf>
    <xf numFmtId="0" fontId="6" fillId="0" borderId="0" xfId="0" applyFont="1" applyFill="1" applyBorder="1" applyAlignment="1">
      <alignment horizontal="left" vertical="center" wrapText="1"/>
    </xf>
    <xf numFmtId="0" fontId="6" fillId="0" borderId="1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2" xfId="0" applyFont="1" applyBorder="1" applyAlignment="1">
      <alignment horizontal="center" vertical="center" wrapText="1"/>
    </xf>
    <xf numFmtId="0" fontId="9" fillId="0" borderId="0" xfId="0" applyFont="1" applyAlignment="1">
      <alignment horizontal="center"/>
    </xf>
    <xf numFmtId="0" fontId="9" fillId="0" borderId="2" xfId="0" applyFont="1" applyBorder="1" applyAlignment="1">
      <alignment horizontal="center" vertical="top" wrapText="1"/>
    </xf>
    <xf numFmtId="0" fontId="19" fillId="0" borderId="2" xfId="0" applyFont="1" applyBorder="1" applyAlignment="1">
      <alignment horizontal="center" vertical="center" wrapText="1"/>
    </xf>
    <xf numFmtId="2" fontId="6" fillId="0" borderId="2" xfId="0" applyNumberFormat="1" applyFont="1" applyBorder="1" applyAlignment="1">
      <alignment horizontal="center" vertical="center" wrapText="1"/>
    </xf>
    <xf numFmtId="1" fontId="6" fillId="0" borderId="2" xfId="0" applyNumberFormat="1" applyFont="1" applyBorder="1" applyAlignment="1">
      <alignment horizontal="center" vertical="center" wrapText="1"/>
    </xf>
    <xf numFmtId="0" fontId="6" fillId="0" borderId="3" xfId="0" applyFont="1" applyBorder="1" applyAlignment="1">
      <alignment horizontal="center" vertical="center" wrapText="1"/>
    </xf>
    <xf numFmtId="0" fontId="8" fillId="0" borderId="6" xfId="0" applyFont="1" applyBorder="1" applyAlignment="1">
      <alignment vertical="center" wrapText="1"/>
    </xf>
    <xf numFmtId="1" fontId="6" fillId="3" borderId="2" xfId="0" applyNumberFormat="1" applyFont="1" applyFill="1" applyBorder="1" applyAlignment="1">
      <alignment horizontal="center" vertical="center" wrapText="1"/>
    </xf>
    <xf numFmtId="1" fontId="19" fillId="0" borderId="2" xfId="0" applyNumberFormat="1" applyFont="1" applyBorder="1" applyAlignment="1">
      <alignment horizontal="center" vertical="center" wrapText="1"/>
    </xf>
    <xf numFmtId="0" fontId="5" fillId="0" borderId="2" xfId="0" applyFont="1" applyBorder="1" applyAlignment="1">
      <alignment horizontal="center" vertical="top" wrapText="1"/>
    </xf>
    <xf numFmtId="0" fontId="8"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6" fillId="7" borderId="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9" fillId="0" borderId="0" xfId="0" applyFont="1" applyFill="1" applyAlignment="1">
      <alignment horizontal="center"/>
    </xf>
    <xf numFmtId="0" fontId="8" fillId="0" borderId="6" xfId="0" applyFont="1" applyFill="1" applyBorder="1" applyAlignment="1">
      <alignment horizontal="right"/>
    </xf>
    <xf numFmtId="0" fontId="5" fillId="0" borderId="3" xfId="0" applyFont="1" applyBorder="1" applyAlignment="1" applyProtection="1">
      <alignment horizontal="center" vertical="top" wrapText="1"/>
      <protection locked="0"/>
    </xf>
    <xf numFmtId="165" fontId="6" fillId="0" borderId="2" xfId="0" applyNumberFormat="1" applyFont="1" applyBorder="1" applyAlignment="1">
      <alignment horizontal="center" vertical="center" wrapText="1"/>
    </xf>
    <xf numFmtId="0" fontId="6" fillId="0" borderId="2" xfId="0" applyFont="1" applyBorder="1"/>
    <xf numFmtId="0" fontId="6" fillId="0" borderId="7"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9" fillId="0" borderId="2" xfId="0" applyFont="1" applyBorder="1" applyAlignment="1" applyProtection="1">
      <alignment horizontal="center"/>
      <protection locked="0"/>
    </xf>
    <xf numFmtId="0" fontId="6" fillId="0" borderId="2" xfId="0" applyFont="1" applyBorder="1" applyAlignment="1" applyProtection="1">
      <alignment horizontal="center" vertical="center" wrapText="1"/>
      <protection locked="0"/>
    </xf>
    <xf numFmtId="0" fontId="9" fillId="0" borderId="2" xfId="0" applyFont="1" applyBorder="1" applyAlignment="1" applyProtection="1">
      <alignment horizontal="center" vertical="center" wrapText="1"/>
      <protection locked="0"/>
    </xf>
  </cellXfs>
  <cellStyles count="4">
    <cellStyle name="Currency" xfId="1" builtinId="4"/>
    <cellStyle name="Currency 2" xfId="3" xr:uid="{0CE27DB3-506B-4774-9E6D-0AFD415535A0}"/>
    <cellStyle name="Input" xfId="2" builtinId="20"/>
    <cellStyle name="Normal" xfId="0" builtinId="0"/>
  </cellStyles>
  <dxfs count="1">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5.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6.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7.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8.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9.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10.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1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12.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13.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14.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15.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16.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17.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3885-C9AE-42F0-9F49-7C0C8BE461D1}">
  <dimension ref="A2:Y83"/>
  <sheetViews>
    <sheetView view="pageBreakPreview" zoomScale="80" zoomScaleNormal="100" zoomScaleSheetLayoutView="80" workbookViewId="0">
      <selection activeCell="G10" sqref="G1:R1048576"/>
    </sheetView>
  </sheetViews>
  <sheetFormatPr defaultRowHeight="14.5" x14ac:dyDescent="0.35"/>
  <cols>
    <col min="1" max="1" width="9.1796875" style="16"/>
    <col min="2" max="2" width="35.54296875" style="16" customWidth="1"/>
    <col min="3" max="3" width="11.81640625" style="21" customWidth="1"/>
    <col min="4" max="4" width="11.453125" style="204" customWidth="1"/>
    <col min="5" max="5" width="11.453125" style="22" customWidth="1"/>
    <col min="6" max="6" width="11.453125" style="23" customWidth="1"/>
    <col min="7" max="8" width="9.1796875" style="16"/>
    <col min="10" max="25" width="8.81640625" style="154"/>
  </cols>
  <sheetData>
    <row r="2" spans="1:8" s="16" customFormat="1" ht="12.5" x14ac:dyDescent="0.25">
      <c r="A2" s="1" t="s">
        <v>0</v>
      </c>
      <c r="B2" s="1" t="s">
        <v>1</v>
      </c>
      <c r="C2" s="1" t="s">
        <v>2</v>
      </c>
      <c r="D2" s="1" t="s">
        <v>3</v>
      </c>
      <c r="E2" s="2" t="s">
        <v>4</v>
      </c>
      <c r="F2" s="3" t="s">
        <v>5</v>
      </c>
    </row>
    <row r="3" spans="1:8" s="16" customFormat="1" ht="12.5" x14ac:dyDescent="0.25">
      <c r="A3" s="17"/>
      <c r="B3" s="17"/>
      <c r="C3" s="18"/>
      <c r="D3" s="18"/>
      <c r="E3" s="19" t="s">
        <v>6</v>
      </c>
      <c r="F3" s="20" t="s">
        <v>6</v>
      </c>
    </row>
    <row r="4" spans="1:8" s="8" customFormat="1" ht="26" x14ac:dyDescent="0.25">
      <c r="A4" s="4" t="s">
        <v>7</v>
      </c>
      <c r="B4" s="4" t="s">
        <v>8</v>
      </c>
      <c r="C4" s="5"/>
      <c r="D4" s="5"/>
      <c r="E4" s="6"/>
      <c r="F4" s="7"/>
    </row>
    <row r="5" spans="1:8" s="8" customFormat="1" ht="13" x14ac:dyDescent="0.25">
      <c r="A5" s="9" t="s">
        <v>9</v>
      </c>
      <c r="B5" s="10" t="s">
        <v>10</v>
      </c>
      <c r="C5" s="9" t="s">
        <v>11</v>
      </c>
      <c r="D5" s="130">
        <v>1</v>
      </c>
      <c r="E5" s="206">
        <v>25000</v>
      </c>
      <c r="F5" s="117">
        <f>IFERROR(IF(ISNUMBER(D5),D5*E5,"-"),"")</f>
        <v>25000</v>
      </c>
    </row>
    <row r="6" spans="1:8" s="8" customFormat="1" ht="37.5" x14ac:dyDescent="0.25">
      <c r="A6" s="9" t="s">
        <v>12</v>
      </c>
      <c r="B6" s="10" t="s">
        <v>13</v>
      </c>
      <c r="C6" s="130" t="s">
        <v>1370</v>
      </c>
      <c r="D6" s="130" t="s">
        <v>1370</v>
      </c>
      <c r="E6" s="189" t="str">
        <f t="shared" ref="E6:E12" si="0">IF(ISNUMBER(D6),"","N/A")</f>
        <v>N/A</v>
      </c>
      <c r="F6" s="117"/>
      <c r="H6" s="175"/>
    </row>
    <row r="7" spans="1:8" s="8" customFormat="1" ht="51" x14ac:dyDescent="0.25">
      <c r="A7" s="9" t="s">
        <v>14</v>
      </c>
      <c r="B7" s="10" t="s">
        <v>1215</v>
      </c>
      <c r="C7" s="9" t="s">
        <v>11</v>
      </c>
      <c r="D7" s="130">
        <v>1</v>
      </c>
      <c r="E7" s="189">
        <v>5000</v>
      </c>
      <c r="F7" s="117">
        <f t="shared" ref="F7:F28" si="1">IFERROR(IF(ISNUMBER(D7),D7*E7,"-"),"")</f>
        <v>5000</v>
      </c>
    </row>
    <row r="8" spans="1:8" s="8" customFormat="1" ht="51" x14ac:dyDescent="0.25">
      <c r="A8" s="129" t="s">
        <v>1214</v>
      </c>
      <c r="B8" s="10" t="s">
        <v>1216</v>
      </c>
      <c r="C8" s="129" t="s">
        <v>11</v>
      </c>
      <c r="D8" s="130">
        <v>1</v>
      </c>
      <c r="E8" s="189">
        <v>5000</v>
      </c>
      <c r="F8" s="117">
        <f t="shared" si="1"/>
        <v>5000</v>
      </c>
    </row>
    <row r="9" spans="1:8" s="8" customFormat="1" ht="51" x14ac:dyDescent="0.25">
      <c r="A9" s="129" t="s">
        <v>1201</v>
      </c>
      <c r="B9" s="10" t="s">
        <v>1291</v>
      </c>
      <c r="C9" s="129" t="s">
        <v>11</v>
      </c>
      <c r="D9" s="130">
        <v>1</v>
      </c>
      <c r="E9" s="189">
        <v>25000</v>
      </c>
      <c r="F9" s="117">
        <f t="shared" si="1"/>
        <v>25000</v>
      </c>
      <c r="H9" s="148"/>
    </row>
    <row r="10" spans="1:8" s="8" customFormat="1" ht="38" x14ac:dyDescent="0.25">
      <c r="A10" s="9" t="s">
        <v>15</v>
      </c>
      <c r="B10" s="10" t="s">
        <v>1292</v>
      </c>
      <c r="C10" s="9" t="s">
        <v>11</v>
      </c>
      <c r="D10" s="130">
        <v>1</v>
      </c>
      <c r="E10" s="189">
        <v>5000</v>
      </c>
      <c r="F10" s="117">
        <f t="shared" si="1"/>
        <v>5000</v>
      </c>
    </row>
    <row r="11" spans="1:8" s="8" customFormat="1" ht="38" x14ac:dyDescent="0.25">
      <c r="A11" s="129" t="s">
        <v>1293</v>
      </c>
      <c r="B11" s="10" t="s">
        <v>1294</v>
      </c>
      <c r="C11" s="129" t="s">
        <v>11</v>
      </c>
      <c r="D11" s="130">
        <v>1</v>
      </c>
      <c r="E11" s="189">
        <v>5000</v>
      </c>
      <c r="F11" s="117">
        <f t="shared" si="1"/>
        <v>5000</v>
      </c>
    </row>
    <row r="12" spans="1:8" s="8" customFormat="1" ht="38" x14ac:dyDescent="0.25">
      <c r="A12" s="129" t="s">
        <v>1202</v>
      </c>
      <c r="B12" s="10" t="s">
        <v>1295</v>
      </c>
      <c r="C12" s="129" t="s">
        <v>11</v>
      </c>
      <c r="D12" s="130">
        <v>1</v>
      </c>
      <c r="E12" s="189">
        <v>25000</v>
      </c>
      <c r="F12" s="117">
        <f t="shared" si="1"/>
        <v>25000</v>
      </c>
    </row>
    <row r="13" spans="1:8" s="8" customFormat="1" ht="37.5" x14ac:dyDescent="0.25">
      <c r="A13" s="9" t="s">
        <v>16</v>
      </c>
      <c r="B13" s="10" t="s">
        <v>1203</v>
      </c>
      <c r="C13" s="9" t="s">
        <v>11</v>
      </c>
      <c r="D13" s="130">
        <v>1</v>
      </c>
      <c r="E13" s="130">
        <v>2500</v>
      </c>
      <c r="F13" s="117">
        <f t="shared" si="1"/>
        <v>2500</v>
      </c>
    </row>
    <row r="14" spans="1:8" s="8" customFormat="1" ht="38" x14ac:dyDescent="0.25">
      <c r="A14" s="129" t="s">
        <v>1381</v>
      </c>
      <c r="B14" s="10" t="s">
        <v>1382</v>
      </c>
      <c r="C14" s="129" t="s">
        <v>11</v>
      </c>
      <c r="D14" s="130">
        <v>1</v>
      </c>
      <c r="E14" s="130">
        <v>2500</v>
      </c>
      <c r="F14" s="117">
        <f t="shared" si="1"/>
        <v>2500</v>
      </c>
    </row>
    <row r="15" spans="1:8" s="8" customFormat="1" ht="51" x14ac:dyDescent="0.25">
      <c r="A15" s="9" t="s">
        <v>17</v>
      </c>
      <c r="B15" s="10" t="s">
        <v>1296</v>
      </c>
      <c r="C15" s="9" t="s">
        <v>11</v>
      </c>
      <c r="D15" s="130">
        <v>1</v>
      </c>
      <c r="E15" s="189">
        <v>25000</v>
      </c>
      <c r="F15" s="117">
        <f t="shared" si="1"/>
        <v>25000</v>
      </c>
    </row>
    <row r="16" spans="1:8" s="8" customFormat="1" ht="38" x14ac:dyDescent="0.25">
      <c r="A16" s="9" t="s">
        <v>18</v>
      </c>
      <c r="B16" s="10" t="s">
        <v>1302</v>
      </c>
      <c r="C16" s="9" t="s">
        <v>11</v>
      </c>
      <c r="D16" s="130">
        <v>1</v>
      </c>
      <c r="E16" s="189">
        <v>7500</v>
      </c>
      <c r="F16" s="117">
        <f t="shared" si="1"/>
        <v>7500</v>
      </c>
    </row>
    <row r="17" spans="1:10" s="8" customFormat="1" ht="51" x14ac:dyDescent="0.25">
      <c r="A17" s="129" t="s">
        <v>1297</v>
      </c>
      <c r="B17" s="10" t="s">
        <v>1301</v>
      </c>
      <c r="C17" s="129" t="s">
        <v>11</v>
      </c>
      <c r="D17" s="130">
        <v>1</v>
      </c>
      <c r="E17" s="189">
        <v>15000</v>
      </c>
      <c r="F17" s="117">
        <f t="shared" si="1"/>
        <v>15000</v>
      </c>
    </row>
    <row r="18" spans="1:10" s="8" customFormat="1" ht="37.5" x14ac:dyDescent="0.25">
      <c r="A18" s="9" t="s">
        <v>19</v>
      </c>
      <c r="B18" s="10" t="s">
        <v>20</v>
      </c>
      <c r="C18" s="9" t="s">
        <v>11</v>
      </c>
      <c r="D18" s="130" t="s">
        <v>1187</v>
      </c>
      <c r="E18" s="189" t="str">
        <f t="shared" ref="E18:E81" si="2">IF(ISNUMBER(D18),"","N/A")</f>
        <v>N/A</v>
      </c>
      <c r="F18" s="7"/>
    </row>
    <row r="19" spans="1:10" s="8" customFormat="1" ht="38" x14ac:dyDescent="0.25">
      <c r="A19" s="9" t="s">
        <v>21</v>
      </c>
      <c r="B19" s="10" t="s">
        <v>1300</v>
      </c>
      <c r="C19" s="9" t="s">
        <v>11</v>
      </c>
      <c r="D19" s="130">
        <v>1</v>
      </c>
      <c r="E19" s="189">
        <v>2500</v>
      </c>
      <c r="F19" s="117">
        <f t="shared" si="1"/>
        <v>2500</v>
      </c>
    </row>
    <row r="20" spans="1:10" s="8" customFormat="1" ht="51" x14ac:dyDescent="0.25">
      <c r="A20" s="129" t="s">
        <v>1299</v>
      </c>
      <c r="B20" s="10" t="s">
        <v>1298</v>
      </c>
      <c r="C20" s="129" t="s">
        <v>11</v>
      </c>
      <c r="D20" s="130">
        <v>1</v>
      </c>
      <c r="E20" s="189">
        <v>15000</v>
      </c>
      <c r="F20" s="117">
        <f t="shared" si="1"/>
        <v>15000</v>
      </c>
    </row>
    <row r="21" spans="1:10" s="8" customFormat="1" ht="38" x14ac:dyDescent="0.25">
      <c r="A21" s="9" t="s">
        <v>22</v>
      </c>
      <c r="B21" s="10" t="s">
        <v>1303</v>
      </c>
      <c r="C21" s="9" t="s">
        <v>11</v>
      </c>
      <c r="D21" s="130">
        <v>1</v>
      </c>
      <c r="E21" s="189">
        <v>1500</v>
      </c>
      <c r="F21" s="117">
        <f t="shared" si="1"/>
        <v>1500</v>
      </c>
    </row>
    <row r="22" spans="1:10" s="8" customFormat="1" ht="38" x14ac:dyDescent="0.25">
      <c r="A22" s="9" t="s">
        <v>23</v>
      </c>
      <c r="B22" s="10" t="s">
        <v>1304</v>
      </c>
      <c r="C22" s="9" t="s">
        <v>11</v>
      </c>
      <c r="D22" s="130">
        <v>1</v>
      </c>
      <c r="E22" s="189">
        <v>2000</v>
      </c>
      <c r="F22" s="117">
        <f t="shared" si="1"/>
        <v>2000</v>
      </c>
    </row>
    <row r="23" spans="1:10" s="8" customFormat="1" ht="25" x14ac:dyDescent="0.25">
      <c r="A23" s="129" t="s">
        <v>1250</v>
      </c>
      <c r="B23" s="10" t="s">
        <v>1218</v>
      </c>
      <c r="C23" s="129" t="s">
        <v>11</v>
      </c>
      <c r="D23" s="130">
        <v>1</v>
      </c>
      <c r="E23" s="189">
        <v>25000</v>
      </c>
      <c r="F23" s="117">
        <f t="shared" si="1"/>
        <v>25000</v>
      </c>
    </row>
    <row r="24" spans="1:10" s="8" customFormat="1" ht="25" x14ac:dyDescent="0.25">
      <c r="A24" s="129" t="s">
        <v>24</v>
      </c>
      <c r="B24" s="10" t="s">
        <v>1190</v>
      </c>
      <c r="C24" s="129" t="s">
        <v>11</v>
      </c>
      <c r="D24" s="130">
        <v>1</v>
      </c>
      <c r="E24" s="189">
        <v>5000</v>
      </c>
      <c r="F24" s="117">
        <f t="shared" si="1"/>
        <v>5000</v>
      </c>
      <c r="H24" s="169"/>
      <c r="J24" s="168"/>
    </row>
    <row r="25" spans="1:10" s="8" customFormat="1" ht="29.15" customHeight="1" x14ac:dyDescent="0.25">
      <c r="A25" s="129" t="s">
        <v>26</v>
      </c>
      <c r="B25" s="10" t="s">
        <v>27</v>
      </c>
      <c r="C25" s="129" t="s">
        <v>25</v>
      </c>
      <c r="D25" s="130"/>
      <c r="E25" s="189" t="str">
        <f t="shared" si="2"/>
        <v>N/A</v>
      </c>
      <c r="F25" s="170">
        <v>1000</v>
      </c>
      <c r="H25" s="169"/>
    </row>
    <row r="26" spans="1:10" s="8" customFormat="1" ht="25" x14ac:dyDescent="0.25">
      <c r="A26" s="129" t="s">
        <v>28</v>
      </c>
      <c r="B26" s="10" t="s">
        <v>1191</v>
      </c>
      <c r="C26" s="129" t="s">
        <v>11</v>
      </c>
      <c r="D26" s="130">
        <v>1</v>
      </c>
      <c r="E26" s="189">
        <v>2500</v>
      </c>
      <c r="F26" s="117">
        <f t="shared" si="1"/>
        <v>2500</v>
      </c>
      <c r="H26" s="169"/>
    </row>
    <row r="27" spans="1:10" s="8" customFormat="1" ht="25" x14ac:dyDescent="0.25">
      <c r="A27" s="129" t="s">
        <v>29</v>
      </c>
      <c r="B27" s="10" t="s">
        <v>30</v>
      </c>
      <c r="C27" s="129" t="s">
        <v>25</v>
      </c>
      <c r="D27" s="130"/>
      <c r="E27" s="189" t="str">
        <f t="shared" si="2"/>
        <v>N/A</v>
      </c>
      <c r="F27" s="170">
        <v>1000</v>
      </c>
      <c r="H27" s="169"/>
    </row>
    <row r="28" spans="1:10" s="8" customFormat="1" ht="37.5" x14ac:dyDescent="0.25">
      <c r="A28" s="129" t="s">
        <v>31</v>
      </c>
      <c r="B28" s="10" t="s">
        <v>1192</v>
      </c>
      <c r="C28" s="129" t="s">
        <v>11</v>
      </c>
      <c r="D28" s="130">
        <v>1</v>
      </c>
      <c r="E28" s="189">
        <v>2500</v>
      </c>
      <c r="F28" s="117">
        <f t="shared" si="1"/>
        <v>2500</v>
      </c>
      <c r="H28" s="169"/>
    </row>
    <row r="29" spans="1:10" s="8" customFormat="1" ht="37.5" x14ac:dyDescent="0.25">
      <c r="A29" s="9" t="s">
        <v>32</v>
      </c>
      <c r="B29" s="10" t="s">
        <v>33</v>
      </c>
      <c r="C29" s="9" t="s">
        <v>25</v>
      </c>
      <c r="D29" s="130" t="s">
        <v>1187</v>
      </c>
      <c r="E29" s="189" t="str">
        <f t="shared" si="2"/>
        <v>N/A</v>
      </c>
      <c r="F29" s="7"/>
    </row>
    <row r="30" spans="1:10" s="8" customFormat="1" ht="150" customHeight="1" x14ac:dyDescent="0.25">
      <c r="A30" s="9" t="s">
        <v>34</v>
      </c>
      <c r="B30" s="10" t="s">
        <v>1251</v>
      </c>
      <c r="C30" s="9" t="s">
        <v>25</v>
      </c>
      <c r="D30" s="130">
        <v>1</v>
      </c>
      <c r="E30" s="189" t="str">
        <f t="shared" si="2"/>
        <v/>
      </c>
      <c r="F30" s="170">
        <v>1000</v>
      </c>
    </row>
    <row r="31" spans="1:10" s="8" customFormat="1" ht="12.5" x14ac:dyDescent="0.25">
      <c r="A31" s="9" t="s">
        <v>35</v>
      </c>
      <c r="B31" s="10" t="s">
        <v>36</v>
      </c>
      <c r="C31" s="9" t="s">
        <v>37</v>
      </c>
      <c r="D31" s="130"/>
      <c r="E31" s="189">
        <v>1000</v>
      </c>
      <c r="F31" s="170">
        <v>100</v>
      </c>
      <c r="H31" s="175"/>
    </row>
    <row r="32" spans="1:10" s="8" customFormat="1" ht="25" x14ac:dyDescent="0.25">
      <c r="A32" s="9" t="s">
        <v>38</v>
      </c>
      <c r="B32" s="10" t="s">
        <v>39</v>
      </c>
      <c r="C32" s="9" t="s">
        <v>11</v>
      </c>
      <c r="D32" s="130">
        <v>1</v>
      </c>
      <c r="E32" s="189">
        <v>5000</v>
      </c>
      <c r="F32" s="117">
        <f t="shared" ref="F32" si="3">IFERROR(IF(ISNUMBER(D32),D32*E32,"-"),"")</f>
        <v>5000</v>
      </c>
    </row>
    <row r="33" spans="1:8" s="8" customFormat="1" ht="25" x14ac:dyDescent="0.25">
      <c r="A33" s="9" t="s">
        <v>40</v>
      </c>
      <c r="B33" s="10" t="s">
        <v>41</v>
      </c>
      <c r="C33" s="9" t="s">
        <v>42</v>
      </c>
      <c r="D33" s="130" t="s">
        <v>1236</v>
      </c>
      <c r="E33" s="189" t="s">
        <v>1383</v>
      </c>
      <c r="F33" s="7"/>
    </row>
    <row r="34" spans="1:8" s="8" customFormat="1" ht="25" x14ac:dyDescent="0.25">
      <c r="A34" s="9" t="s">
        <v>43</v>
      </c>
      <c r="B34" s="10" t="s">
        <v>44</v>
      </c>
      <c r="C34" s="9" t="s">
        <v>42</v>
      </c>
      <c r="D34" s="130" t="s">
        <v>1236</v>
      </c>
      <c r="E34" s="189" t="str">
        <f t="shared" si="2"/>
        <v>N/A</v>
      </c>
      <c r="F34" s="7"/>
    </row>
    <row r="35" spans="1:8" s="8" customFormat="1" ht="25" x14ac:dyDescent="0.25">
      <c r="A35" s="9" t="s">
        <v>45</v>
      </c>
      <c r="B35" s="10" t="s">
        <v>46</v>
      </c>
      <c r="C35" s="9" t="s">
        <v>42</v>
      </c>
      <c r="D35" s="130" t="s">
        <v>1236</v>
      </c>
      <c r="E35" s="189" t="str">
        <f t="shared" si="2"/>
        <v>N/A</v>
      </c>
      <c r="F35" s="7"/>
    </row>
    <row r="36" spans="1:8" s="8" customFormat="1" ht="37.5" x14ac:dyDescent="0.25">
      <c r="A36" s="9" t="s">
        <v>47</v>
      </c>
      <c r="B36" s="10" t="s">
        <v>48</v>
      </c>
      <c r="C36" s="9" t="s">
        <v>42</v>
      </c>
      <c r="D36" s="130" t="s">
        <v>1236</v>
      </c>
      <c r="E36" s="189" t="str">
        <f t="shared" si="2"/>
        <v>N/A</v>
      </c>
      <c r="F36" s="7"/>
    </row>
    <row r="37" spans="1:8" s="8" customFormat="1" ht="37.5" x14ac:dyDescent="0.25">
      <c r="A37" s="9" t="s">
        <v>49</v>
      </c>
      <c r="B37" s="10" t="s">
        <v>50</v>
      </c>
      <c r="C37" s="9" t="s">
        <v>42</v>
      </c>
      <c r="D37" s="130" t="s">
        <v>1236</v>
      </c>
      <c r="E37" s="189" t="str">
        <f t="shared" si="2"/>
        <v>N/A</v>
      </c>
      <c r="F37" s="7"/>
    </row>
    <row r="38" spans="1:8" s="8" customFormat="1" ht="25" x14ac:dyDescent="0.25">
      <c r="A38" s="9" t="s">
        <v>51</v>
      </c>
      <c r="B38" s="10" t="s">
        <v>52</v>
      </c>
      <c r="C38" s="129" t="s">
        <v>54</v>
      </c>
      <c r="D38" s="130">
        <v>601</v>
      </c>
      <c r="E38" s="189">
        <v>10</v>
      </c>
      <c r="F38" s="117">
        <f t="shared" ref="F38:F43" si="4">IFERROR(IF(ISNUMBER(D38),D38*E38,"-"),"")</f>
        <v>6010</v>
      </c>
      <c r="H38" s="175"/>
    </row>
    <row r="39" spans="1:8" s="8" customFormat="1" ht="38" x14ac:dyDescent="0.25">
      <c r="A39" s="9" t="s">
        <v>53</v>
      </c>
      <c r="B39" s="10" t="s">
        <v>1207</v>
      </c>
      <c r="C39" s="129" t="s">
        <v>54</v>
      </c>
      <c r="D39" s="130">
        <v>90</v>
      </c>
      <c r="E39" s="189">
        <v>10</v>
      </c>
      <c r="F39" s="117">
        <f t="shared" si="4"/>
        <v>900</v>
      </c>
    </row>
    <row r="40" spans="1:8" s="8" customFormat="1" ht="51" x14ac:dyDescent="0.25">
      <c r="A40" s="129" t="s">
        <v>1193</v>
      </c>
      <c r="B40" s="10" t="s">
        <v>1204</v>
      </c>
      <c r="C40" s="129" t="s">
        <v>54</v>
      </c>
      <c r="D40" s="130">
        <v>511</v>
      </c>
      <c r="E40" s="189">
        <v>10</v>
      </c>
      <c r="F40" s="117">
        <f t="shared" si="4"/>
        <v>5110</v>
      </c>
    </row>
    <row r="41" spans="1:8" s="8" customFormat="1" ht="50.5" x14ac:dyDescent="0.25">
      <c r="A41" s="129" t="s">
        <v>55</v>
      </c>
      <c r="B41" s="10" t="s">
        <v>1371</v>
      </c>
      <c r="C41" s="129" t="s">
        <v>11</v>
      </c>
      <c r="D41" s="130">
        <v>1</v>
      </c>
      <c r="E41" s="189">
        <v>2500</v>
      </c>
      <c r="F41" s="117">
        <f t="shared" si="4"/>
        <v>2500</v>
      </c>
      <c r="H41" s="175"/>
    </row>
    <row r="42" spans="1:8" s="8" customFormat="1" ht="50.5" x14ac:dyDescent="0.25">
      <c r="A42" s="129" t="s">
        <v>1313</v>
      </c>
      <c r="B42" s="10" t="s">
        <v>1372</v>
      </c>
      <c r="C42" s="129" t="s">
        <v>11</v>
      </c>
      <c r="D42" s="130">
        <v>1</v>
      </c>
      <c r="E42" s="189">
        <v>5000</v>
      </c>
      <c r="F42" s="117">
        <f t="shared" si="4"/>
        <v>5000</v>
      </c>
      <c r="H42" s="175"/>
    </row>
    <row r="43" spans="1:8" s="8" customFormat="1" ht="25" x14ac:dyDescent="0.25">
      <c r="A43" s="129" t="s">
        <v>56</v>
      </c>
      <c r="B43" s="10" t="s">
        <v>1349</v>
      </c>
      <c r="C43" s="129" t="s">
        <v>57</v>
      </c>
      <c r="D43" s="130">
        <v>24</v>
      </c>
      <c r="E43" s="189">
        <v>1500</v>
      </c>
      <c r="F43" s="117">
        <f t="shared" si="4"/>
        <v>36000</v>
      </c>
      <c r="H43" s="168"/>
    </row>
    <row r="44" spans="1:8" s="8" customFormat="1" ht="12.5" x14ac:dyDescent="0.25">
      <c r="A44" s="129" t="s">
        <v>58</v>
      </c>
      <c r="B44" s="10" t="s">
        <v>59</v>
      </c>
      <c r="C44" s="129" t="s">
        <v>60</v>
      </c>
      <c r="D44" s="130" t="s">
        <v>1187</v>
      </c>
      <c r="E44" s="189" t="str">
        <f t="shared" si="2"/>
        <v>N/A</v>
      </c>
      <c r="F44" s="7"/>
    </row>
    <row r="45" spans="1:8" s="8" customFormat="1" ht="25" x14ac:dyDescent="0.25">
      <c r="A45" s="129" t="s">
        <v>61</v>
      </c>
      <c r="B45" s="10" t="s">
        <v>62</v>
      </c>
      <c r="C45" s="129" t="s">
        <v>25</v>
      </c>
      <c r="D45" s="130" t="s">
        <v>1187</v>
      </c>
      <c r="E45" s="189" t="str">
        <f t="shared" si="2"/>
        <v>N/A</v>
      </c>
      <c r="F45" s="7"/>
    </row>
    <row r="46" spans="1:8" s="8" customFormat="1" ht="12.5" x14ac:dyDescent="0.25">
      <c r="A46" s="9" t="s">
        <v>63</v>
      </c>
      <c r="B46" s="10" t="s">
        <v>64</v>
      </c>
      <c r="C46" s="9" t="s">
        <v>65</v>
      </c>
      <c r="D46" s="130" t="s">
        <v>1187</v>
      </c>
      <c r="E46" s="189"/>
      <c r="F46" s="170"/>
    </row>
    <row r="47" spans="1:8" s="8" customFormat="1" ht="37.5" x14ac:dyDescent="0.25">
      <c r="A47" s="9" t="s">
        <v>66</v>
      </c>
      <c r="B47" s="10" t="s">
        <v>67</v>
      </c>
      <c r="C47" s="9" t="s">
        <v>25</v>
      </c>
      <c r="D47" s="130" t="s">
        <v>1187</v>
      </c>
      <c r="E47" s="189" t="str">
        <f t="shared" si="2"/>
        <v>N/A</v>
      </c>
      <c r="F47" s="7"/>
    </row>
    <row r="48" spans="1:8" s="8" customFormat="1" ht="12.5" x14ac:dyDescent="0.25">
      <c r="A48" s="9" t="s">
        <v>68</v>
      </c>
      <c r="B48" s="10" t="s">
        <v>69</v>
      </c>
      <c r="C48" s="9" t="s">
        <v>65</v>
      </c>
      <c r="D48" s="130" t="s">
        <v>1187</v>
      </c>
      <c r="E48" s="189" t="str">
        <f t="shared" si="2"/>
        <v>N/A</v>
      </c>
      <c r="F48" s="7"/>
    </row>
    <row r="49" spans="1:8" s="8" customFormat="1" ht="37.5" x14ac:dyDescent="0.25">
      <c r="A49" s="9" t="s">
        <v>70</v>
      </c>
      <c r="B49" s="10" t="s">
        <v>71</v>
      </c>
      <c r="C49" s="9" t="s">
        <v>25</v>
      </c>
      <c r="D49" s="130" t="s">
        <v>1187</v>
      </c>
      <c r="E49" s="189" t="str">
        <f t="shared" si="2"/>
        <v>N/A</v>
      </c>
      <c r="F49" s="7"/>
    </row>
    <row r="50" spans="1:8" s="8" customFormat="1" ht="25" x14ac:dyDescent="0.25">
      <c r="A50" s="9" t="s">
        <v>72</v>
      </c>
      <c r="B50" s="10" t="s">
        <v>73</v>
      </c>
      <c r="C50" s="9" t="s">
        <v>25</v>
      </c>
      <c r="D50" s="130" t="s">
        <v>1187</v>
      </c>
      <c r="E50" s="189" t="str">
        <f t="shared" si="2"/>
        <v>N/A</v>
      </c>
      <c r="F50" s="7"/>
    </row>
    <row r="51" spans="1:8" s="8" customFormat="1" ht="86.25" customHeight="1" x14ac:dyDescent="0.25">
      <c r="A51" s="9" t="s">
        <v>74</v>
      </c>
      <c r="B51" s="10" t="s">
        <v>75</v>
      </c>
      <c r="C51" s="129" t="s">
        <v>11</v>
      </c>
      <c r="D51" s="130">
        <v>1</v>
      </c>
      <c r="E51" s="189">
        <v>10000</v>
      </c>
      <c r="F51" s="117">
        <f t="shared" ref="F51:F52" si="5">IFERROR(IF(ISNUMBER(D51),D51*E51,"-"),"")</f>
        <v>10000</v>
      </c>
    </row>
    <row r="52" spans="1:8" s="8" customFormat="1" ht="32.9" customHeight="1" x14ac:dyDescent="0.25">
      <c r="A52" s="9" t="s">
        <v>76</v>
      </c>
      <c r="B52" s="10" t="s">
        <v>77</v>
      </c>
      <c r="C52" s="129" t="s">
        <v>11</v>
      </c>
      <c r="D52" s="130">
        <v>1</v>
      </c>
      <c r="E52" s="189">
        <v>25000</v>
      </c>
      <c r="F52" s="117">
        <f t="shared" si="5"/>
        <v>25000</v>
      </c>
    </row>
    <row r="53" spans="1:8" s="8" customFormat="1" ht="12.5" x14ac:dyDescent="0.25">
      <c r="A53" s="9" t="s">
        <v>78</v>
      </c>
      <c r="B53" s="10" t="s">
        <v>79</v>
      </c>
      <c r="C53" s="9" t="s">
        <v>65</v>
      </c>
      <c r="D53" s="130"/>
      <c r="E53" s="207">
        <v>25000</v>
      </c>
      <c r="F53" s="170">
        <f>F52*0.15</f>
        <v>3750</v>
      </c>
      <c r="H53" s="168"/>
    </row>
    <row r="54" spans="1:8" s="8" customFormat="1" ht="29.9" customHeight="1" x14ac:dyDescent="0.25">
      <c r="A54" s="9" t="s">
        <v>80</v>
      </c>
      <c r="B54" s="10" t="s">
        <v>81</v>
      </c>
      <c r="C54" s="9" t="s">
        <v>11</v>
      </c>
      <c r="D54" s="130" t="s">
        <v>1187</v>
      </c>
      <c r="E54" s="189" t="str">
        <f t="shared" si="2"/>
        <v>N/A</v>
      </c>
      <c r="F54" s="7"/>
    </row>
    <row r="55" spans="1:8" s="8" customFormat="1" ht="12.5" x14ac:dyDescent="0.25">
      <c r="A55" s="9" t="s">
        <v>82</v>
      </c>
      <c r="B55" s="10" t="s">
        <v>83</v>
      </c>
      <c r="C55" s="9" t="s">
        <v>54</v>
      </c>
      <c r="D55" s="130" t="s">
        <v>1187</v>
      </c>
      <c r="E55" s="189" t="str">
        <f t="shared" si="2"/>
        <v>N/A</v>
      </c>
      <c r="F55" s="7"/>
    </row>
    <row r="56" spans="1:8" s="8" customFormat="1" ht="25" x14ac:dyDescent="0.25">
      <c r="A56" s="9" t="s">
        <v>84</v>
      </c>
      <c r="B56" s="10" t="s">
        <v>85</v>
      </c>
      <c r="C56" s="9" t="s">
        <v>11</v>
      </c>
      <c r="D56" s="130" t="s">
        <v>1187</v>
      </c>
      <c r="E56" s="189" t="str">
        <f t="shared" si="2"/>
        <v>N/A</v>
      </c>
      <c r="F56" s="7"/>
    </row>
    <row r="57" spans="1:8" s="8" customFormat="1" ht="25" x14ac:dyDescent="0.25">
      <c r="A57" s="9" t="s">
        <v>86</v>
      </c>
      <c r="B57" s="10" t="s">
        <v>87</v>
      </c>
      <c r="C57" s="9" t="s">
        <v>11</v>
      </c>
      <c r="D57" s="130">
        <v>1</v>
      </c>
      <c r="E57" s="189">
        <v>10000</v>
      </c>
      <c r="F57" s="117">
        <f t="shared" ref="F57" si="6">IFERROR(IF(ISNUMBER(D57),D57*E57,"-"),"")</f>
        <v>10000</v>
      </c>
    </row>
    <row r="58" spans="1:8" s="8" customFormat="1" ht="25" x14ac:dyDescent="0.25">
      <c r="A58" s="9" t="s">
        <v>88</v>
      </c>
      <c r="B58" s="10" t="s">
        <v>89</v>
      </c>
      <c r="C58" s="9" t="s">
        <v>54</v>
      </c>
      <c r="D58" s="130" t="s">
        <v>1187</v>
      </c>
      <c r="E58" s="189" t="str">
        <f t="shared" si="2"/>
        <v>N/A</v>
      </c>
      <c r="F58" s="7"/>
    </row>
    <row r="59" spans="1:8" s="8" customFormat="1" ht="25" x14ac:dyDescent="0.25">
      <c r="A59" s="9" t="s">
        <v>90</v>
      </c>
      <c r="B59" s="10" t="s">
        <v>91</v>
      </c>
      <c r="C59" s="9" t="s">
        <v>11</v>
      </c>
      <c r="D59" s="130">
        <v>1</v>
      </c>
      <c r="E59" s="189">
        <v>50</v>
      </c>
      <c r="F59" s="117">
        <f t="shared" ref="F59:F60" si="7">IFERROR(IF(ISNUMBER(D59),D59*E59,"-"),"")</f>
        <v>50</v>
      </c>
    </row>
    <row r="60" spans="1:8" s="8" customFormat="1" ht="28.4" customHeight="1" x14ac:dyDescent="0.25">
      <c r="A60" s="9" t="s">
        <v>92</v>
      </c>
      <c r="B60" s="10" t="s">
        <v>93</v>
      </c>
      <c r="C60" s="9" t="s">
        <v>11</v>
      </c>
      <c r="D60" s="130">
        <v>1</v>
      </c>
      <c r="E60" s="189">
        <v>500</v>
      </c>
      <c r="F60" s="117">
        <f t="shared" si="7"/>
        <v>500</v>
      </c>
    </row>
    <row r="61" spans="1:8" s="8" customFormat="1" ht="25" x14ac:dyDescent="0.25">
      <c r="A61" s="9" t="s">
        <v>94</v>
      </c>
      <c r="B61" s="10" t="s">
        <v>95</v>
      </c>
      <c r="C61" s="9" t="s">
        <v>54</v>
      </c>
      <c r="D61" s="130" t="s">
        <v>1187</v>
      </c>
      <c r="E61" s="189" t="str">
        <f t="shared" si="2"/>
        <v>N/A</v>
      </c>
      <c r="F61" s="7"/>
    </row>
    <row r="62" spans="1:8" s="8" customFormat="1" ht="25" x14ac:dyDescent="0.25">
      <c r="A62" s="9" t="s">
        <v>96</v>
      </c>
      <c r="B62" s="10" t="s">
        <v>97</v>
      </c>
      <c r="C62" s="9" t="s">
        <v>11</v>
      </c>
      <c r="D62" s="130">
        <v>1</v>
      </c>
      <c r="E62" s="189">
        <v>50</v>
      </c>
      <c r="F62" s="117">
        <f t="shared" ref="F62" si="8">IFERROR(IF(ISNUMBER(D62),D62*E62,"-"),"")</f>
        <v>50</v>
      </c>
    </row>
    <row r="63" spans="1:8" s="8" customFormat="1" ht="25" x14ac:dyDescent="0.25">
      <c r="A63" s="9" t="s">
        <v>98</v>
      </c>
      <c r="B63" s="10" t="s">
        <v>99</v>
      </c>
      <c r="C63" s="9" t="s">
        <v>11</v>
      </c>
      <c r="D63" s="130" t="s">
        <v>1187</v>
      </c>
      <c r="E63" s="189" t="str">
        <f t="shared" si="2"/>
        <v>N/A</v>
      </c>
      <c r="F63" s="7"/>
    </row>
    <row r="64" spans="1:8" s="8" customFormat="1" ht="25" x14ac:dyDescent="0.25">
      <c r="A64" s="9" t="s">
        <v>100</v>
      </c>
      <c r="B64" s="10" t="s">
        <v>101</v>
      </c>
      <c r="C64" s="9" t="s">
        <v>54</v>
      </c>
      <c r="D64" s="130" t="s">
        <v>1187</v>
      </c>
      <c r="E64" s="189" t="str">
        <f t="shared" si="2"/>
        <v>N/A</v>
      </c>
      <c r="F64" s="7"/>
    </row>
    <row r="65" spans="1:23" s="8" customFormat="1" ht="25" x14ac:dyDescent="0.25">
      <c r="A65" s="9" t="s">
        <v>102</v>
      </c>
      <c r="B65" s="10" t="s">
        <v>103</v>
      </c>
      <c r="C65" s="9" t="s">
        <v>11</v>
      </c>
      <c r="D65" s="130" t="s">
        <v>1187</v>
      </c>
      <c r="E65" s="189" t="str">
        <f t="shared" si="2"/>
        <v>N/A</v>
      </c>
      <c r="F65" s="7"/>
    </row>
    <row r="66" spans="1:23" s="8" customFormat="1" ht="25" x14ac:dyDescent="0.25">
      <c r="A66" s="9" t="s">
        <v>104</v>
      </c>
      <c r="B66" s="10" t="s">
        <v>105</v>
      </c>
      <c r="C66" s="9" t="s">
        <v>11</v>
      </c>
      <c r="D66" s="130">
        <v>1</v>
      </c>
      <c r="E66" s="189">
        <v>250</v>
      </c>
      <c r="F66" s="117">
        <f t="shared" ref="F66:F67" si="9">IFERROR(IF(ISNUMBER(D66),D66*E66,"-"),"")</f>
        <v>250</v>
      </c>
    </row>
    <row r="67" spans="1:23" s="8" customFormat="1" ht="25" x14ac:dyDescent="0.25">
      <c r="A67" s="9" t="s">
        <v>106</v>
      </c>
      <c r="B67" s="10" t="s">
        <v>107</v>
      </c>
      <c r="C67" s="9" t="s">
        <v>11</v>
      </c>
      <c r="D67" s="130">
        <v>1</v>
      </c>
      <c r="E67" s="189">
        <v>250</v>
      </c>
      <c r="F67" s="117">
        <f t="shared" si="9"/>
        <v>250</v>
      </c>
    </row>
    <row r="68" spans="1:23" s="8" customFormat="1" ht="25" x14ac:dyDescent="0.25">
      <c r="A68" s="9" t="s">
        <v>108</v>
      </c>
      <c r="B68" s="10" t="s">
        <v>109</v>
      </c>
      <c r="C68" s="9" t="s">
        <v>11</v>
      </c>
      <c r="D68" s="130">
        <v>1</v>
      </c>
      <c r="E68" s="189">
        <v>250</v>
      </c>
      <c r="F68" s="7">
        <v>10</v>
      </c>
      <c r="H68" s="175"/>
    </row>
    <row r="69" spans="1:23" s="8" customFormat="1" ht="25" x14ac:dyDescent="0.25">
      <c r="A69" s="129" t="s">
        <v>110</v>
      </c>
      <c r="B69" s="10" t="s">
        <v>1350</v>
      </c>
      <c r="C69" s="129" t="s">
        <v>111</v>
      </c>
      <c r="D69" s="130">
        <v>12</v>
      </c>
      <c r="E69" s="189">
        <v>50</v>
      </c>
      <c r="F69" s="117">
        <f t="shared" ref="F69:F70" si="10">IFERROR(IF(ISNUMBER(D69),D69*E69,"-"),"")</f>
        <v>600</v>
      </c>
    </row>
    <row r="70" spans="1:23" s="8" customFormat="1" ht="25" x14ac:dyDescent="0.25">
      <c r="A70" s="129" t="s">
        <v>112</v>
      </c>
      <c r="B70" s="10" t="s">
        <v>1351</v>
      </c>
      <c r="C70" s="129" t="s">
        <v>111</v>
      </c>
      <c r="D70" s="130">
        <v>12</v>
      </c>
      <c r="E70" s="189">
        <v>50</v>
      </c>
      <c r="F70" s="117">
        <f t="shared" si="10"/>
        <v>600</v>
      </c>
    </row>
    <row r="71" spans="1:23" s="8" customFormat="1" ht="37.5" x14ac:dyDescent="0.25">
      <c r="A71" s="9" t="s">
        <v>113</v>
      </c>
      <c r="B71" s="10" t="s">
        <v>114</v>
      </c>
      <c r="C71" s="9" t="s">
        <v>11</v>
      </c>
      <c r="D71" s="130" t="s">
        <v>1379</v>
      </c>
      <c r="E71" s="189" t="str">
        <f t="shared" si="2"/>
        <v>N/A</v>
      </c>
      <c r="F71" s="7"/>
      <c r="H71" s="175"/>
    </row>
    <row r="72" spans="1:23" s="8" customFormat="1" ht="25" x14ac:dyDescent="0.25">
      <c r="A72" s="129" t="s">
        <v>115</v>
      </c>
      <c r="B72" s="10" t="s">
        <v>1221</v>
      </c>
      <c r="C72" s="129" t="s">
        <v>11</v>
      </c>
      <c r="D72" s="130">
        <v>1</v>
      </c>
      <c r="E72" s="189">
        <v>5000</v>
      </c>
      <c r="F72" s="117">
        <f t="shared" ref="F72:F82" si="11">IFERROR(IF(ISNUMBER(D72),D72*E72,"-"),"")</f>
        <v>5000</v>
      </c>
      <c r="H72" s="149"/>
    </row>
    <row r="73" spans="1:23" s="8" customFormat="1" ht="12.5" x14ac:dyDescent="0.25">
      <c r="A73" s="129" t="s">
        <v>116</v>
      </c>
      <c r="B73" s="10" t="s">
        <v>117</v>
      </c>
      <c r="C73" s="129" t="s">
        <v>11</v>
      </c>
      <c r="D73" s="130">
        <v>1</v>
      </c>
      <c r="E73" s="189">
        <v>25000</v>
      </c>
      <c r="F73" s="117">
        <f t="shared" si="11"/>
        <v>25000</v>
      </c>
      <c r="H73" s="168"/>
      <c r="I73" s="175"/>
    </row>
    <row r="74" spans="1:23" s="8" customFormat="1" ht="12.5" x14ac:dyDescent="0.25">
      <c r="A74" s="129" t="s">
        <v>118</v>
      </c>
      <c r="B74" s="10" t="s">
        <v>119</v>
      </c>
      <c r="C74" s="129" t="s">
        <v>11</v>
      </c>
      <c r="D74" s="130">
        <v>1</v>
      </c>
      <c r="E74" s="189">
        <v>1000</v>
      </c>
      <c r="F74" s="117">
        <f t="shared" si="11"/>
        <v>1000</v>
      </c>
      <c r="H74" s="148"/>
    </row>
    <row r="75" spans="1:23" s="8" customFormat="1" ht="25" x14ac:dyDescent="0.25">
      <c r="A75" s="129" t="s">
        <v>1217</v>
      </c>
      <c r="B75" s="10" t="s">
        <v>1222</v>
      </c>
      <c r="C75" s="129" t="s">
        <v>11</v>
      </c>
      <c r="D75" s="130">
        <v>1</v>
      </c>
      <c r="E75" s="189">
        <v>500</v>
      </c>
      <c r="F75" s="117">
        <f t="shared" si="11"/>
        <v>500</v>
      </c>
      <c r="H75" s="148"/>
    </row>
    <row r="76" spans="1:23" s="8" customFormat="1" ht="61.5" customHeight="1" x14ac:dyDescent="0.25">
      <c r="A76" s="129" t="s">
        <v>120</v>
      </c>
      <c r="B76" s="10" t="s">
        <v>1374</v>
      </c>
      <c r="C76" s="129" t="s">
        <v>11</v>
      </c>
      <c r="D76" s="130">
        <v>1</v>
      </c>
      <c r="E76" s="189">
        <v>500</v>
      </c>
      <c r="F76" s="117">
        <f t="shared" si="11"/>
        <v>500</v>
      </c>
      <c r="H76" s="177"/>
    </row>
    <row r="77" spans="1:23" s="8" customFormat="1" ht="75.75" customHeight="1" x14ac:dyDescent="0.25">
      <c r="A77" s="124" t="s">
        <v>1168</v>
      </c>
      <c r="B77" s="127" t="s">
        <v>1169</v>
      </c>
      <c r="C77" s="128" t="s">
        <v>11</v>
      </c>
      <c r="D77" s="130">
        <v>1</v>
      </c>
      <c r="E77" s="189">
        <v>7500</v>
      </c>
      <c r="F77" s="117">
        <f t="shared" si="11"/>
        <v>7500</v>
      </c>
      <c r="H77" s="149"/>
    </row>
    <row r="78" spans="1:23" s="8" customFormat="1" ht="61.5" customHeight="1" x14ac:dyDescent="0.25">
      <c r="A78" s="129" t="s">
        <v>1206</v>
      </c>
      <c r="B78" s="10" t="s">
        <v>1205</v>
      </c>
      <c r="C78" s="129" t="s">
        <v>11</v>
      </c>
      <c r="D78" s="130">
        <v>1</v>
      </c>
      <c r="E78" s="189">
        <v>10000</v>
      </c>
      <c r="F78" s="117">
        <f t="shared" si="11"/>
        <v>10000</v>
      </c>
      <c r="H78" s="171"/>
      <c r="I78" s="175"/>
    </row>
    <row r="79" spans="1:23" s="16" customFormat="1" ht="25" x14ac:dyDescent="0.25">
      <c r="A79" s="129" t="s">
        <v>1232</v>
      </c>
      <c r="B79" s="10" t="s">
        <v>1219</v>
      </c>
      <c r="C79" s="129" t="s">
        <v>11</v>
      </c>
      <c r="D79" s="130">
        <v>1</v>
      </c>
      <c r="E79" s="189">
        <v>7500</v>
      </c>
      <c r="F79" s="117">
        <f t="shared" si="11"/>
        <v>7500</v>
      </c>
      <c r="H79" s="162"/>
      <c r="I79" s="175"/>
      <c r="V79" s="8"/>
    </row>
    <row r="80" spans="1:23" s="154" customFormat="1" ht="62.5" x14ac:dyDescent="0.35">
      <c r="A80" s="129" t="s">
        <v>1233</v>
      </c>
      <c r="B80" s="10" t="s">
        <v>1220</v>
      </c>
      <c r="C80" s="129" t="s">
        <v>11</v>
      </c>
      <c r="D80" s="130">
        <v>1</v>
      </c>
      <c r="E80" s="189">
        <v>2000</v>
      </c>
      <c r="F80" s="117">
        <f t="shared" si="11"/>
        <v>2000</v>
      </c>
      <c r="G80" s="16"/>
      <c r="H80" s="163"/>
      <c r="W80" s="8"/>
    </row>
    <row r="81" spans="1:17" s="154" customFormat="1" ht="62.5" x14ac:dyDescent="0.35">
      <c r="A81" s="129" t="s">
        <v>1234</v>
      </c>
      <c r="B81" s="10" t="s">
        <v>1223</v>
      </c>
      <c r="C81" s="129" t="s">
        <v>11</v>
      </c>
      <c r="D81" s="130">
        <v>1</v>
      </c>
      <c r="E81" s="189">
        <v>2500</v>
      </c>
      <c r="F81" s="117">
        <f t="shared" si="11"/>
        <v>2500</v>
      </c>
      <c r="G81" s="16"/>
      <c r="H81" s="163"/>
      <c r="Q81" s="8"/>
    </row>
    <row r="82" spans="1:17" s="154" customFormat="1" ht="37.5" x14ac:dyDescent="0.35">
      <c r="A82" s="129" t="s">
        <v>1235</v>
      </c>
      <c r="B82" s="10" t="s">
        <v>1224</v>
      </c>
      <c r="C82" s="129" t="s">
        <v>11</v>
      </c>
      <c r="D82" s="14">
        <v>1</v>
      </c>
      <c r="E82" s="182">
        <v>1000</v>
      </c>
      <c r="F82" s="117">
        <f t="shared" si="11"/>
        <v>1000</v>
      </c>
      <c r="G82" s="16"/>
      <c r="H82" s="16"/>
      <c r="I82" s="176"/>
    </row>
    <row r="83" spans="1:17" x14ac:dyDescent="0.35">
      <c r="B83" s="13" t="s">
        <v>121</v>
      </c>
      <c r="C83" s="14"/>
      <c r="E83" s="15"/>
      <c r="F83" s="121">
        <f>SUM(F5:F82)</f>
        <v>380680</v>
      </c>
    </row>
  </sheetData>
  <phoneticPr fontId="26" type="noConversion"/>
  <conditionalFormatting sqref="E5">
    <cfRule type="cellIs" dxfId="0" priority="1" operator="equal">
      <formula>0</formula>
    </cfRule>
  </conditionalFormatting>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87CB0-0662-4F6D-919D-C991E1AA7F36}">
  <dimension ref="A1:Z45"/>
  <sheetViews>
    <sheetView view="pageBreakPreview" zoomScale="70" zoomScaleNormal="30" zoomScaleSheetLayoutView="70" workbookViewId="0">
      <selection activeCell="H1" sqref="H1:V1048576"/>
    </sheetView>
  </sheetViews>
  <sheetFormatPr defaultColWidth="9.1796875" defaultRowHeight="12.5" x14ac:dyDescent="0.25"/>
  <cols>
    <col min="1" max="1" width="9.1796875" style="16"/>
    <col min="2" max="2" width="35.54296875" style="16" customWidth="1"/>
    <col min="3" max="3" width="9.1796875" style="21"/>
    <col min="4" max="4" width="11.453125" style="190" customWidth="1"/>
    <col min="5" max="5" width="11.453125" style="21" customWidth="1"/>
    <col min="6" max="6" width="11.453125" style="23" customWidth="1"/>
    <col min="7" max="7" width="1.54296875" style="21" customWidth="1"/>
    <col min="8" max="8" width="10" style="16" customWidth="1"/>
    <col min="9" max="16384" width="9.1796875" style="16"/>
  </cols>
  <sheetData>
    <row r="1" spans="1:26" s="21" customFormat="1" x14ac:dyDescent="0.25">
      <c r="D1" s="190"/>
      <c r="F1" s="23"/>
    </row>
    <row r="2" spans="1:26" s="21" customFormat="1" x14ac:dyDescent="0.25">
      <c r="A2" s="1" t="s">
        <v>0</v>
      </c>
      <c r="B2" s="1" t="s">
        <v>1</v>
      </c>
      <c r="C2" s="1" t="s">
        <v>2</v>
      </c>
      <c r="D2" s="131" t="s">
        <v>3</v>
      </c>
      <c r="E2" s="1" t="s">
        <v>4</v>
      </c>
      <c r="F2" s="3" t="s">
        <v>5</v>
      </c>
      <c r="G2" s="25"/>
    </row>
    <row r="3" spans="1:26" ht="18" x14ac:dyDescent="0.4">
      <c r="A3" s="40"/>
      <c r="B3" s="146" t="s">
        <v>1197</v>
      </c>
      <c r="C3" s="41"/>
      <c r="D3" s="134"/>
      <c r="E3" s="41" t="s">
        <v>6</v>
      </c>
      <c r="F3" s="42" t="s">
        <v>6</v>
      </c>
      <c r="I3" s="21"/>
    </row>
    <row r="4" spans="1:26" s="43" customFormat="1" ht="39" x14ac:dyDescent="0.25">
      <c r="A4" s="26" t="s">
        <v>122</v>
      </c>
      <c r="B4" s="26" t="s">
        <v>123</v>
      </c>
      <c r="C4" s="27"/>
      <c r="D4" s="191"/>
      <c r="E4" s="28"/>
      <c r="F4" s="29"/>
      <c r="G4" s="30"/>
      <c r="I4" s="21"/>
    </row>
    <row r="5" spans="1:26" s="8" customFormat="1" ht="50" x14ac:dyDescent="0.25">
      <c r="A5" s="129" t="s">
        <v>124</v>
      </c>
      <c r="B5" s="129" t="s">
        <v>125</v>
      </c>
      <c r="C5" s="130" t="s">
        <v>126</v>
      </c>
      <c r="D5" s="189" t="s">
        <v>126</v>
      </c>
      <c r="E5" s="189" t="str">
        <f>IF(ISNUMBER(D5),"","N/A")</f>
        <v>N/A</v>
      </c>
      <c r="F5" s="117" t="str">
        <f>IFERROR(IF(ISNUMBER(D5),D5*E5,"-"),"")</f>
        <v>-</v>
      </c>
      <c r="G5" s="31"/>
      <c r="I5" s="21"/>
    </row>
    <row r="6" spans="1:26" s="8" customFormat="1" ht="50" x14ac:dyDescent="0.25">
      <c r="A6" s="129" t="s">
        <v>127</v>
      </c>
      <c r="B6" s="129" t="s">
        <v>128</v>
      </c>
      <c r="C6" s="130" t="s">
        <v>54</v>
      </c>
      <c r="D6" s="189" t="s">
        <v>1187</v>
      </c>
      <c r="E6" s="189" t="str">
        <f t="shared" ref="E6:E43" si="0">IF(ISNUMBER(D6),"","N/A")</f>
        <v>N/A</v>
      </c>
      <c r="F6" s="117" t="str">
        <f t="shared" ref="F6:F44" si="1">IFERROR(IF(ISNUMBER(D6),D6*E6,"-"),"")</f>
        <v>-</v>
      </c>
      <c r="G6" s="31"/>
      <c r="I6" s="21"/>
    </row>
    <row r="7" spans="1:26" s="8" customFormat="1" ht="62.5" x14ac:dyDescent="0.25">
      <c r="A7" s="129" t="s">
        <v>129</v>
      </c>
      <c r="B7" s="129" t="s">
        <v>130</v>
      </c>
      <c r="C7" s="130" t="s">
        <v>54</v>
      </c>
      <c r="D7" s="189" t="s">
        <v>1187</v>
      </c>
      <c r="E7" s="189" t="str">
        <f t="shared" si="0"/>
        <v>N/A</v>
      </c>
      <c r="F7" s="117" t="str">
        <f t="shared" si="1"/>
        <v>-</v>
      </c>
      <c r="G7" s="31"/>
      <c r="I7" s="21"/>
      <c r="Z7" s="153" t="s">
        <v>1249</v>
      </c>
    </row>
    <row r="8" spans="1:26" s="8" customFormat="1" ht="62.5" x14ac:dyDescent="0.25">
      <c r="A8" s="129" t="s">
        <v>131</v>
      </c>
      <c r="B8" s="129" t="s">
        <v>132</v>
      </c>
      <c r="C8" s="130" t="s">
        <v>54</v>
      </c>
      <c r="D8" s="189" t="s">
        <v>1187</v>
      </c>
      <c r="E8" s="189" t="str">
        <f>IF(ISNUMBER(D8),"","N/A")</f>
        <v>N/A</v>
      </c>
      <c r="F8" s="117" t="str">
        <f t="shared" si="1"/>
        <v>-</v>
      </c>
      <c r="G8" s="31"/>
      <c r="I8" s="21"/>
    </row>
    <row r="9" spans="1:26" s="8" customFormat="1" ht="62.5" x14ac:dyDescent="0.25">
      <c r="A9" s="129" t="s">
        <v>1171</v>
      </c>
      <c r="B9" s="129" t="s">
        <v>1252</v>
      </c>
      <c r="C9" s="130" t="s">
        <v>54</v>
      </c>
      <c r="D9" s="189">
        <v>47</v>
      </c>
      <c r="E9" s="189">
        <v>250</v>
      </c>
      <c r="F9" s="117">
        <f t="shared" si="1"/>
        <v>11750</v>
      </c>
      <c r="G9" s="31"/>
      <c r="I9" s="21"/>
    </row>
    <row r="10" spans="1:26" s="8" customFormat="1" ht="75" x14ac:dyDescent="0.25">
      <c r="A10" s="129" t="s">
        <v>1246</v>
      </c>
      <c r="B10" s="129" t="s">
        <v>1247</v>
      </c>
      <c r="C10" s="130" t="s">
        <v>54</v>
      </c>
      <c r="D10" s="189">
        <v>22</v>
      </c>
      <c r="E10" s="189">
        <v>500</v>
      </c>
      <c r="F10" s="117">
        <f t="shared" si="1"/>
        <v>11000</v>
      </c>
      <c r="G10" s="31"/>
      <c r="H10" s="151"/>
      <c r="I10" s="153"/>
      <c r="J10" s="153"/>
    </row>
    <row r="11" spans="1:26" s="8" customFormat="1" ht="75" x14ac:dyDescent="0.25">
      <c r="A11" s="129" t="s">
        <v>133</v>
      </c>
      <c r="B11" s="129" t="s">
        <v>134</v>
      </c>
      <c r="C11" s="130" t="s">
        <v>54</v>
      </c>
      <c r="D11" s="189" t="s">
        <v>1187</v>
      </c>
      <c r="E11" s="189" t="str">
        <f t="shared" si="0"/>
        <v>N/A</v>
      </c>
      <c r="F11" s="117" t="str">
        <f>IFERROR(IF(ISNUMBER(D11),D11*E11,"-"),"")</f>
        <v>-</v>
      </c>
      <c r="G11" s="31"/>
      <c r="H11" s="153"/>
      <c r="I11" s="153"/>
    </row>
    <row r="12" spans="1:26" s="8" customFormat="1" ht="37.5" x14ac:dyDescent="0.25">
      <c r="A12" s="129" t="s">
        <v>1172</v>
      </c>
      <c r="B12" s="129" t="s">
        <v>1344</v>
      </c>
      <c r="C12" s="130" t="s">
        <v>54</v>
      </c>
      <c r="D12" s="192">
        <v>5</v>
      </c>
      <c r="E12" s="189">
        <v>500</v>
      </c>
      <c r="F12" s="117">
        <f t="shared" si="1"/>
        <v>2500</v>
      </c>
      <c r="G12" s="31"/>
      <c r="H12" s="175"/>
      <c r="I12" s="153"/>
    </row>
    <row r="13" spans="1:26" s="8" customFormat="1" ht="50" x14ac:dyDescent="0.25">
      <c r="A13" s="129" t="s">
        <v>135</v>
      </c>
      <c r="B13" s="129" t="s">
        <v>136</v>
      </c>
      <c r="C13" s="130" t="s">
        <v>137</v>
      </c>
      <c r="D13" s="189" t="s">
        <v>137</v>
      </c>
      <c r="E13" s="189" t="str">
        <f t="shared" si="0"/>
        <v>N/A</v>
      </c>
      <c r="F13" s="117" t="str">
        <f t="shared" si="1"/>
        <v>-</v>
      </c>
      <c r="G13" s="31"/>
      <c r="I13" s="153"/>
      <c r="J13" s="32"/>
    </row>
    <row r="14" spans="1:26" s="8" customFormat="1" ht="25" x14ac:dyDescent="0.25">
      <c r="A14" s="129" t="s">
        <v>138</v>
      </c>
      <c r="B14" s="129" t="s">
        <v>139</v>
      </c>
      <c r="C14" s="130" t="s">
        <v>54</v>
      </c>
      <c r="D14" s="189" t="s">
        <v>1187</v>
      </c>
      <c r="E14" s="189" t="str">
        <f t="shared" si="0"/>
        <v>N/A</v>
      </c>
      <c r="F14" s="117" t="str">
        <f t="shared" si="1"/>
        <v>-</v>
      </c>
      <c r="G14" s="31"/>
      <c r="I14" s="153"/>
    </row>
    <row r="15" spans="1:26" s="8" customFormat="1" ht="25" x14ac:dyDescent="0.25">
      <c r="A15" s="129" t="s">
        <v>140</v>
      </c>
      <c r="B15" s="129" t="s">
        <v>141</v>
      </c>
      <c r="C15" s="130" t="s">
        <v>54</v>
      </c>
      <c r="D15" s="189" t="s">
        <v>1187</v>
      </c>
      <c r="E15" s="189" t="str">
        <f t="shared" si="0"/>
        <v>N/A</v>
      </c>
      <c r="F15" s="117" t="str">
        <f t="shared" si="1"/>
        <v>-</v>
      </c>
      <c r="G15" s="31"/>
      <c r="H15" s="175"/>
      <c r="I15" s="153"/>
    </row>
    <row r="16" spans="1:26" s="8" customFormat="1" ht="64.5" customHeight="1" x14ac:dyDescent="0.25">
      <c r="A16" s="129" t="s">
        <v>142</v>
      </c>
      <c r="B16" s="129" t="s">
        <v>143</v>
      </c>
      <c r="C16" s="130" t="s">
        <v>54</v>
      </c>
      <c r="D16" s="189">
        <v>25</v>
      </c>
      <c r="E16" s="189">
        <v>200</v>
      </c>
      <c r="F16" s="117">
        <f t="shared" si="1"/>
        <v>5000</v>
      </c>
      <c r="G16" s="31"/>
      <c r="I16" s="153"/>
      <c r="W16" s="153"/>
    </row>
    <row r="17" spans="1:12" s="8" customFormat="1" ht="37.5" x14ac:dyDescent="0.25">
      <c r="A17" s="129" t="s">
        <v>144</v>
      </c>
      <c r="B17" s="129" t="s">
        <v>145</v>
      </c>
      <c r="C17" s="130" t="s">
        <v>146</v>
      </c>
      <c r="D17" s="189">
        <v>15</v>
      </c>
      <c r="E17" s="189">
        <v>50</v>
      </c>
      <c r="F17" s="117">
        <f t="shared" si="1"/>
        <v>750</v>
      </c>
      <c r="G17" s="31"/>
      <c r="I17" s="153"/>
      <c r="J17" s="33"/>
    </row>
    <row r="18" spans="1:12" s="8" customFormat="1" ht="62.5" x14ac:dyDescent="0.25">
      <c r="A18" s="129" t="s">
        <v>1248</v>
      </c>
      <c r="B18" s="129" t="s">
        <v>1226</v>
      </c>
      <c r="C18" s="130" t="s">
        <v>54</v>
      </c>
      <c r="D18" s="189">
        <v>22</v>
      </c>
      <c r="E18" s="189">
        <v>250</v>
      </c>
      <c r="F18" s="117">
        <f t="shared" si="1"/>
        <v>5500</v>
      </c>
      <c r="G18" s="31"/>
      <c r="I18" s="153"/>
      <c r="J18" s="152"/>
      <c r="K18" s="153"/>
    </row>
    <row r="19" spans="1:12" s="8" customFormat="1" ht="25" x14ac:dyDescent="0.25">
      <c r="A19" s="129" t="s">
        <v>147</v>
      </c>
      <c r="B19" s="129" t="s">
        <v>148</v>
      </c>
      <c r="C19" s="130" t="s">
        <v>149</v>
      </c>
      <c r="D19" s="189">
        <v>470</v>
      </c>
      <c r="E19" s="189">
        <v>30</v>
      </c>
      <c r="F19" s="117">
        <f t="shared" si="1"/>
        <v>14100</v>
      </c>
      <c r="G19" s="31"/>
      <c r="I19" s="153"/>
    </row>
    <row r="20" spans="1:12" s="8" customFormat="1" ht="25" x14ac:dyDescent="0.25">
      <c r="A20" s="129" t="s">
        <v>150</v>
      </c>
      <c r="B20" s="129" t="s">
        <v>151</v>
      </c>
      <c r="C20" s="130" t="s">
        <v>149</v>
      </c>
      <c r="D20" s="189">
        <v>165</v>
      </c>
      <c r="E20" s="189">
        <v>35</v>
      </c>
      <c r="F20" s="117">
        <f t="shared" si="1"/>
        <v>5775</v>
      </c>
      <c r="G20" s="31"/>
      <c r="I20" s="153"/>
    </row>
    <row r="21" spans="1:12" s="8" customFormat="1" ht="25" x14ac:dyDescent="0.25">
      <c r="A21" s="129" t="s">
        <v>152</v>
      </c>
      <c r="B21" s="129" t="s">
        <v>153</v>
      </c>
      <c r="C21" s="130" t="s">
        <v>149</v>
      </c>
      <c r="D21" s="189">
        <v>20</v>
      </c>
      <c r="E21" s="189">
        <v>40</v>
      </c>
      <c r="F21" s="117">
        <f t="shared" si="1"/>
        <v>800</v>
      </c>
      <c r="G21" s="31"/>
      <c r="I21" s="153"/>
    </row>
    <row r="22" spans="1:12" s="8" customFormat="1" ht="25" x14ac:dyDescent="0.25">
      <c r="A22" s="129" t="s">
        <v>154</v>
      </c>
      <c r="B22" s="129" t="s">
        <v>155</v>
      </c>
      <c r="C22" s="130" t="s">
        <v>149</v>
      </c>
      <c r="D22" s="189" t="s">
        <v>1187</v>
      </c>
      <c r="E22" s="189" t="str">
        <f t="shared" si="0"/>
        <v>N/A</v>
      </c>
      <c r="F22" s="117" t="str">
        <f t="shared" si="1"/>
        <v>-</v>
      </c>
      <c r="G22" s="31"/>
      <c r="I22" s="153"/>
    </row>
    <row r="23" spans="1:12" s="8" customFormat="1" ht="25" x14ac:dyDescent="0.25">
      <c r="A23" s="129" t="s">
        <v>156</v>
      </c>
      <c r="B23" s="129" t="s">
        <v>157</v>
      </c>
      <c r="C23" s="130" t="s">
        <v>149</v>
      </c>
      <c r="D23" s="189" t="s">
        <v>1187</v>
      </c>
      <c r="E23" s="189" t="str">
        <f t="shared" si="0"/>
        <v>N/A</v>
      </c>
      <c r="F23" s="117" t="str">
        <f t="shared" si="1"/>
        <v>-</v>
      </c>
      <c r="G23" s="34"/>
      <c r="I23" s="153"/>
    </row>
    <row r="24" spans="1:12" s="8" customFormat="1" ht="25" x14ac:dyDescent="0.25">
      <c r="A24" s="129" t="s">
        <v>158</v>
      </c>
      <c r="B24" s="129" t="s">
        <v>159</v>
      </c>
      <c r="C24" s="130" t="s">
        <v>160</v>
      </c>
      <c r="D24" s="189">
        <v>108</v>
      </c>
      <c r="E24" s="189">
        <v>50</v>
      </c>
      <c r="F24" s="117">
        <f t="shared" si="1"/>
        <v>5400</v>
      </c>
      <c r="G24" s="31"/>
      <c r="I24" s="153"/>
      <c r="L24" s="31"/>
    </row>
    <row r="25" spans="1:12" s="8" customFormat="1" ht="50" x14ac:dyDescent="0.25">
      <c r="A25" s="129" t="s">
        <v>161</v>
      </c>
      <c r="B25" s="129" t="s">
        <v>162</v>
      </c>
      <c r="C25" s="130" t="s">
        <v>54</v>
      </c>
      <c r="D25" s="189" t="s">
        <v>1237</v>
      </c>
      <c r="E25" s="189" t="str">
        <f t="shared" si="0"/>
        <v>N/A</v>
      </c>
      <c r="F25" s="117" t="str">
        <f t="shared" si="1"/>
        <v>-</v>
      </c>
      <c r="G25" s="31"/>
      <c r="I25" s="153"/>
      <c r="J25" s="31"/>
    </row>
    <row r="26" spans="1:12" s="8" customFormat="1" ht="37.5" x14ac:dyDescent="0.25">
      <c r="A26" s="129" t="s">
        <v>163</v>
      </c>
      <c r="B26" s="129" t="s">
        <v>164</v>
      </c>
      <c r="C26" s="130" t="s">
        <v>165</v>
      </c>
      <c r="D26" s="193" t="s">
        <v>1237</v>
      </c>
      <c r="E26" s="189" t="str">
        <f t="shared" si="0"/>
        <v>N/A</v>
      </c>
      <c r="F26" s="117" t="str">
        <f t="shared" si="1"/>
        <v>-</v>
      </c>
      <c r="G26" s="31"/>
      <c r="I26" s="153"/>
    </row>
    <row r="27" spans="1:12" s="8" customFormat="1" ht="37.5" x14ac:dyDescent="0.25">
      <c r="A27" s="129" t="s">
        <v>166</v>
      </c>
      <c r="B27" s="129" t="s">
        <v>1314</v>
      </c>
      <c r="C27" s="130" t="s">
        <v>160</v>
      </c>
      <c r="D27" s="189">
        <v>47</v>
      </c>
      <c r="E27" s="189">
        <v>75</v>
      </c>
      <c r="F27" s="117">
        <f t="shared" si="1"/>
        <v>3525</v>
      </c>
      <c r="G27" s="31"/>
      <c r="I27" s="153"/>
      <c r="L27" s="31"/>
    </row>
    <row r="28" spans="1:12" s="8" customFormat="1" ht="29.15" customHeight="1" x14ac:dyDescent="0.25">
      <c r="A28" s="4"/>
      <c r="B28" s="35" t="s">
        <v>1122</v>
      </c>
      <c r="C28" s="130"/>
      <c r="D28" s="189"/>
      <c r="E28" s="195"/>
      <c r="F28" s="117"/>
      <c r="G28" s="31"/>
      <c r="I28" s="153"/>
    </row>
    <row r="29" spans="1:12" s="8" customFormat="1" ht="25" x14ac:dyDescent="0.25">
      <c r="A29" s="129" t="s">
        <v>167</v>
      </c>
      <c r="B29" s="129" t="s">
        <v>168</v>
      </c>
      <c r="C29" s="130" t="s">
        <v>54</v>
      </c>
      <c r="D29" s="189">
        <v>9</v>
      </c>
      <c r="E29" s="208">
        <v>250</v>
      </c>
      <c r="F29" s="117">
        <f t="shared" si="1"/>
        <v>2250</v>
      </c>
      <c r="G29" s="31"/>
      <c r="I29" s="153"/>
    </row>
    <row r="30" spans="1:12" s="8" customFormat="1" ht="25" x14ac:dyDescent="0.25">
      <c r="A30" s="129" t="s">
        <v>169</v>
      </c>
      <c r="B30" s="129" t="s">
        <v>170</v>
      </c>
      <c r="C30" s="130" t="s">
        <v>54</v>
      </c>
      <c r="D30" s="189" t="s">
        <v>1187</v>
      </c>
      <c r="E30" s="189" t="str">
        <f t="shared" si="0"/>
        <v>N/A</v>
      </c>
      <c r="F30" s="117" t="str">
        <f t="shared" si="1"/>
        <v>-</v>
      </c>
      <c r="G30" s="31"/>
      <c r="I30" s="153"/>
    </row>
    <row r="31" spans="1:12" s="8" customFormat="1" ht="62.5" x14ac:dyDescent="0.25">
      <c r="A31" s="129" t="s">
        <v>171</v>
      </c>
      <c r="B31" s="129" t="s">
        <v>172</v>
      </c>
      <c r="C31" s="130" t="s">
        <v>54</v>
      </c>
      <c r="D31" s="189">
        <v>9</v>
      </c>
      <c r="E31" s="189">
        <v>250</v>
      </c>
      <c r="F31" s="184">
        <f t="shared" si="1"/>
        <v>2250</v>
      </c>
      <c r="G31" s="34"/>
      <c r="I31" s="153"/>
    </row>
    <row r="32" spans="1:12" s="8" customFormat="1" ht="25" x14ac:dyDescent="0.25">
      <c r="A32" s="129" t="s">
        <v>173</v>
      </c>
      <c r="B32" s="129" t="s">
        <v>174</v>
      </c>
      <c r="C32" s="130" t="s">
        <v>160</v>
      </c>
      <c r="D32" s="189">
        <v>3</v>
      </c>
      <c r="E32" s="189">
        <v>75</v>
      </c>
      <c r="F32" s="117">
        <f t="shared" si="1"/>
        <v>225</v>
      </c>
      <c r="G32" s="31"/>
      <c r="I32" s="153"/>
    </row>
    <row r="33" spans="1:9" s="8" customFormat="1" ht="25" x14ac:dyDescent="0.25">
      <c r="A33" s="129" t="s">
        <v>175</v>
      </c>
      <c r="B33" s="129" t="s">
        <v>176</v>
      </c>
      <c r="C33" s="130" t="s">
        <v>149</v>
      </c>
      <c r="D33" s="189">
        <v>45</v>
      </c>
      <c r="E33" s="189">
        <v>15</v>
      </c>
      <c r="F33" s="117">
        <f t="shared" si="1"/>
        <v>675</v>
      </c>
      <c r="G33" s="31"/>
      <c r="I33" s="153"/>
    </row>
    <row r="34" spans="1:9" s="8" customFormat="1" ht="25" x14ac:dyDescent="0.25">
      <c r="A34" s="129" t="s">
        <v>177</v>
      </c>
      <c r="B34" s="129" t="s">
        <v>178</v>
      </c>
      <c r="C34" s="130" t="s">
        <v>149</v>
      </c>
      <c r="D34" s="189">
        <v>45</v>
      </c>
      <c r="E34" s="189">
        <v>20</v>
      </c>
      <c r="F34" s="117">
        <f t="shared" si="1"/>
        <v>900</v>
      </c>
      <c r="G34" s="34"/>
      <c r="I34" s="153"/>
    </row>
    <row r="35" spans="1:9" s="8" customFormat="1" ht="37.5" customHeight="1" x14ac:dyDescent="0.25">
      <c r="A35" s="129" t="s">
        <v>179</v>
      </c>
      <c r="B35" s="129" t="s">
        <v>1319</v>
      </c>
      <c r="C35" s="130" t="s">
        <v>149</v>
      </c>
      <c r="D35" s="189" t="s">
        <v>1187</v>
      </c>
      <c r="E35" s="189" t="str">
        <f t="shared" si="0"/>
        <v>N/A</v>
      </c>
      <c r="F35" s="117" t="str">
        <f t="shared" si="1"/>
        <v>-</v>
      </c>
      <c r="G35" s="31"/>
      <c r="I35" s="153"/>
    </row>
    <row r="36" spans="1:9" s="8" customFormat="1" ht="37.5" x14ac:dyDescent="0.25">
      <c r="A36" s="129" t="s">
        <v>180</v>
      </c>
      <c r="B36" s="129" t="s">
        <v>1315</v>
      </c>
      <c r="C36" s="130" t="s">
        <v>181</v>
      </c>
      <c r="D36" s="189">
        <v>3</v>
      </c>
      <c r="E36" s="189">
        <v>75</v>
      </c>
      <c r="F36" s="117">
        <f t="shared" si="1"/>
        <v>225</v>
      </c>
      <c r="G36" s="31"/>
      <c r="I36" s="153"/>
    </row>
    <row r="37" spans="1:9" s="8" customFormat="1" ht="50" x14ac:dyDescent="0.25">
      <c r="A37" s="129" t="s">
        <v>182</v>
      </c>
      <c r="B37" s="129" t="s">
        <v>183</v>
      </c>
      <c r="C37" s="130" t="s">
        <v>165</v>
      </c>
      <c r="D37" s="194">
        <v>1</v>
      </c>
      <c r="E37" s="189">
        <v>25</v>
      </c>
      <c r="F37" s="117">
        <f t="shared" si="1"/>
        <v>25</v>
      </c>
      <c r="G37" s="34"/>
      <c r="I37" s="153"/>
    </row>
    <row r="38" spans="1:9" s="8" customFormat="1" ht="39.75" customHeight="1" x14ac:dyDescent="0.25">
      <c r="A38" s="129"/>
      <c r="B38" s="35" t="s">
        <v>184</v>
      </c>
      <c r="C38" s="130"/>
      <c r="D38" s="189"/>
      <c r="E38" s="189"/>
      <c r="F38" s="117"/>
      <c r="G38" s="31"/>
      <c r="I38" s="153"/>
    </row>
    <row r="39" spans="1:9" s="8" customFormat="1" ht="25" x14ac:dyDescent="0.25">
      <c r="A39" s="129" t="s">
        <v>185</v>
      </c>
      <c r="B39" s="129" t="s">
        <v>186</v>
      </c>
      <c r="C39" s="130" t="s">
        <v>187</v>
      </c>
      <c r="D39" s="189" t="s">
        <v>1238</v>
      </c>
      <c r="E39" s="189" t="str">
        <f t="shared" si="0"/>
        <v>N/A</v>
      </c>
      <c r="F39" s="117" t="str">
        <f t="shared" si="1"/>
        <v>-</v>
      </c>
      <c r="G39" s="34"/>
      <c r="I39" s="153"/>
    </row>
    <row r="40" spans="1:9" s="8" customFormat="1" ht="25" x14ac:dyDescent="0.25">
      <c r="A40" s="129" t="s">
        <v>188</v>
      </c>
      <c r="B40" s="129" t="s">
        <v>189</v>
      </c>
      <c r="C40" s="130" t="s">
        <v>187</v>
      </c>
      <c r="D40" s="189" t="s">
        <v>1239</v>
      </c>
      <c r="E40" s="189" t="str">
        <f t="shared" si="0"/>
        <v>N/A</v>
      </c>
      <c r="F40" s="117" t="str">
        <f t="shared" si="1"/>
        <v>-</v>
      </c>
      <c r="G40" s="31"/>
      <c r="I40" s="153"/>
    </row>
    <row r="41" spans="1:9" s="8" customFormat="1" ht="25" x14ac:dyDescent="0.25">
      <c r="A41" s="129" t="s">
        <v>190</v>
      </c>
      <c r="B41" s="129" t="s">
        <v>191</v>
      </c>
      <c r="C41" s="130" t="s">
        <v>187</v>
      </c>
      <c r="D41" s="189" t="s">
        <v>1238</v>
      </c>
      <c r="E41" s="189" t="str">
        <f t="shared" si="0"/>
        <v>N/A</v>
      </c>
      <c r="F41" s="117" t="str">
        <f t="shared" si="1"/>
        <v>-</v>
      </c>
      <c r="G41" s="31"/>
      <c r="I41" s="153"/>
    </row>
    <row r="42" spans="1:9" s="8" customFormat="1" ht="25" x14ac:dyDescent="0.25">
      <c r="A42" s="129" t="s">
        <v>192</v>
      </c>
      <c r="B42" s="129" t="s">
        <v>193</v>
      </c>
      <c r="C42" s="130" t="s">
        <v>54</v>
      </c>
      <c r="D42" s="189" t="s">
        <v>1187</v>
      </c>
      <c r="E42" s="189" t="str">
        <f t="shared" si="0"/>
        <v>N/A</v>
      </c>
      <c r="F42" s="117" t="str">
        <f t="shared" si="1"/>
        <v>-</v>
      </c>
      <c r="G42" s="31"/>
      <c r="I42" s="153"/>
    </row>
    <row r="43" spans="1:9" s="8" customFormat="1" ht="50" x14ac:dyDescent="0.25">
      <c r="A43" s="129" t="s">
        <v>194</v>
      </c>
      <c r="B43" s="129" t="s">
        <v>195</v>
      </c>
      <c r="C43" s="130" t="s">
        <v>165</v>
      </c>
      <c r="D43" s="193" t="s">
        <v>1237</v>
      </c>
      <c r="E43" s="189" t="str">
        <f t="shared" si="0"/>
        <v>N/A</v>
      </c>
      <c r="F43" s="117" t="str">
        <f t="shared" si="1"/>
        <v>-</v>
      </c>
      <c r="G43" s="31"/>
    </row>
    <row r="44" spans="1:9" s="8" customFormat="1" ht="25" x14ac:dyDescent="0.25">
      <c r="A44" s="56" t="s">
        <v>1155</v>
      </c>
      <c r="B44" s="56" t="s">
        <v>1156</v>
      </c>
      <c r="C44" s="129" t="s">
        <v>165</v>
      </c>
      <c r="D44" s="195">
        <v>25</v>
      </c>
      <c r="E44" s="209">
        <v>50</v>
      </c>
      <c r="F44" s="117">
        <f t="shared" si="1"/>
        <v>1250</v>
      </c>
      <c r="G44" s="31"/>
      <c r="I44" s="177"/>
    </row>
    <row r="45" spans="1:9" ht="12.75" customHeight="1" x14ac:dyDescent="0.25">
      <c r="A45" s="37"/>
      <c r="B45" s="38" t="s">
        <v>196</v>
      </c>
      <c r="C45" s="38"/>
      <c r="D45" s="196"/>
      <c r="E45" s="39"/>
      <c r="F45" s="117">
        <f>IF(SUM(F5:F43)=0,"",SUM(F5:F44))</f>
        <v>73900</v>
      </c>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6816F-ECC3-42D4-BA80-DBCD56FC6A03}">
  <dimension ref="A1:L44"/>
  <sheetViews>
    <sheetView view="pageBreakPreview" zoomScale="80" zoomScaleNormal="100" zoomScaleSheetLayoutView="80" workbookViewId="0">
      <selection activeCell="H1" sqref="H1:R1048576"/>
    </sheetView>
  </sheetViews>
  <sheetFormatPr defaultColWidth="9.1796875" defaultRowHeight="12.5" x14ac:dyDescent="0.25"/>
  <cols>
    <col min="1" max="1" width="9.1796875" style="16"/>
    <col min="2" max="2" width="35.54296875" style="16" customWidth="1"/>
    <col min="3" max="3" width="9.1796875" style="21"/>
    <col min="4" max="4" width="11.453125" style="190" customWidth="1"/>
    <col min="5" max="5" width="11.453125" style="21" customWidth="1"/>
    <col min="6" max="6" width="11.453125" style="23" customWidth="1"/>
    <col min="7" max="7" width="1.54296875" style="21" customWidth="1"/>
    <col min="8" max="16384" width="9.1796875" style="16"/>
  </cols>
  <sheetData>
    <row r="1" spans="1:10" s="21" customFormat="1" x14ac:dyDescent="0.25">
      <c r="D1" s="190"/>
      <c r="F1" s="23"/>
    </row>
    <row r="2" spans="1:10" s="21" customFormat="1" x14ac:dyDescent="0.25">
      <c r="A2" s="1" t="s">
        <v>0</v>
      </c>
      <c r="B2" s="1" t="s">
        <v>1</v>
      </c>
      <c r="C2" s="1" t="s">
        <v>2</v>
      </c>
      <c r="D2" s="131" t="s">
        <v>3</v>
      </c>
      <c r="E2" s="1" t="s">
        <v>4</v>
      </c>
      <c r="F2" s="3" t="s">
        <v>5</v>
      </c>
      <c r="G2" s="25"/>
    </row>
    <row r="3" spans="1:10" ht="18" x14ac:dyDescent="0.4">
      <c r="A3" s="40"/>
      <c r="B3" s="146" t="s">
        <v>1198</v>
      </c>
      <c r="C3" s="41"/>
      <c r="D3" s="134"/>
      <c r="E3" s="41" t="s">
        <v>6</v>
      </c>
      <c r="F3" s="42" t="s">
        <v>6</v>
      </c>
    </row>
    <row r="4" spans="1:10" s="43" customFormat="1" ht="39" x14ac:dyDescent="0.35">
      <c r="A4" s="26" t="s">
        <v>122</v>
      </c>
      <c r="B4" s="26" t="s">
        <v>123</v>
      </c>
      <c r="C4" s="27"/>
      <c r="D4" s="191"/>
      <c r="E4" s="28"/>
      <c r="F4" s="29"/>
      <c r="G4" s="30"/>
    </row>
    <row r="5" spans="1:10" s="8" customFormat="1" ht="50" x14ac:dyDescent="0.25">
      <c r="A5" s="129" t="s">
        <v>124</v>
      </c>
      <c r="B5" s="129" t="s">
        <v>125</v>
      </c>
      <c r="C5" s="130" t="s">
        <v>126</v>
      </c>
      <c r="D5" s="189" t="s">
        <v>126</v>
      </c>
      <c r="E5" s="189" t="str">
        <f>IF(ISNUMBER(D5),"","N/A")</f>
        <v>N/A</v>
      </c>
      <c r="F5" s="117" t="str">
        <f>IFERROR(IF(ISNUMBER(D5),D5*E5,"-"),"")</f>
        <v>-</v>
      </c>
      <c r="G5" s="31"/>
    </row>
    <row r="6" spans="1:10" s="8" customFormat="1" ht="50" x14ac:dyDescent="0.25">
      <c r="A6" s="129" t="s">
        <v>127</v>
      </c>
      <c r="B6" s="129" t="s">
        <v>128</v>
      </c>
      <c r="C6" s="130" t="s">
        <v>54</v>
      </c>
      <c r="D6" s="189" t="s">
        <v>1187</v>
      </c>
      <c r="E6" s="189" t="str">
        <f t="shared" ref="E6:E41" si="0">IF(ISNUMBER(D6),"","N/A")</f>
        <v>N/A</v>
      </c>
      <c r="F6" s="117" t="str">
        <f t="shared" ref="F6:F43" si="1">IFERROR(IF(ISNUMBER(D6),D6*E6,"-"),"")</f>
        <v>-</v>
      </c>
      <c r="G6" s="31"/>
    </row>
    <row r="7" spans="1:10" s="8" customFormat="1" ht="62.5" x14ac:dyDescent="0.25">
      <c r="A7" s="129" t="s">
        <v>129</v>
      </c>
      <c r="B7" s="129" t="s">
        <v>130</v>
      </c>
      <c r="C7" s="130" t="s">
        <v>54</v>
      </c>
      <c r="D7" s="189" t="s">
        <v>1187</v>
      </c>
      <c r="E7" s="189" t="str">
        <f t="shared" si="0"/>
        <v>N/A</v>
      </c>
      <c r="F7" s="117" t="str">
        <f t="shared" si="1"/>
        <v>-</v>
      </c>
      <c r="G7" s="31"/>
    </row>
    <row r="8" spans="1:10" s="8" customFormat="1" ht="62.5" x14ac:dyDescent="0.25">
      <c r="A8" s="129" t="s">
        <v>1171</v>
      </c>
      <c r="B8" s="129" t="s">
        <v>132</v>
      </c>
      <c r="C8" s="130" t="s">
        <v>54</v>
      </c>
      <c r="D8" s="189">
        <v>12</v>
      </c>
      <c r="E8" s="189">
        <v>1500</v>
      </c>
      <c r="F8" s="117">
        <f t="shared" si="1"/>
        <v>18000</v>
      </c>
      <c r="G8" s="31"/>
    </row>
    <row r="9" spans="1:10" s="8" customFormat="1" ht="62.5" x14ac:dyDescent="0.25">
      <c r="A9" s="129" t="s">
        <v>1246</v>
      </c>
      <c r="B9" s="129" t="s">
        <v>1225</v>
      </c>
      <c r="C9" s="130" t="s">
        <v>54</v>
      </c>
      <c r="D9" s="189">
        <v>12</v>
      </c>
      <c r="E9" s="189">
        <v>1500</v>
      </c>
      <c r="F9" s="117">
        <f t="shared" si="1"/>
        <v>18000</v>
      </c>
      <c r="G9" s="31"/>
    </row>
    <row r="10" spans="1:10" s="8" customFormat="1" ht="75" x14ac:dyDescent="0.25">
      <c r="A10" s="129" t="s">
        <v>133</v>
      </c>
      <c r="B10" s="129" t="s">
        <v>134</v>
      </c>
      <c r="C10" s="130" t="s">
        <v>54</v>
      </c>
      <c r="D10" s="189" t="s">
        <v>1187</v>
      </c>
      <c r="E10" s="189" t="str">
        <f t="shared" si="0"/>
        <v>N/A</v>
      </c>
      <c r="F10" s="117" t="str">
        <f>IFERROR(IF(ISNUMBER(D10),D10*E10,"-"),"")</f>
        <v>-</v>
      </c>
      <c r="G10" s="31"/>
    </row>
    <row r="11" spans="1:10" s="8" customFormat="1" ht="50" x14ac:dyDescent="0.25">
      <c r="A11" s="129" t="s">
        <v>135</v>
      </c>
      <c r="B11" s="129" t="s">
        <v>136</v>
      </c>
      <c r="C11" s="130" t="s">
        <v>137</v>
      </c>
      <c r="D11" s="189" t="s">
        <v>137</v>
      </c>
      <c r="E11" s="189" t="str">
        <f t="shared" si="0"/>
        <v>N/A</v>
      </c>
      <c r="F11" s="117" t="str">
        <f t="shared" si="1"/>
        <v>-</v>
      </c>
      <c r="G11" s="31"/>
      <c r="J11" s="32"/>
    </row>
    <row r="12" spans="1:10" s="8" customFormat="1" ht="25" x14ac:dyDescent="0.25">
      <c r="A12" s="129" t="s">
        <v>138</v>
      </c>
      <c r="B12" s="129" t="s">
        <v>139</v>
      </c>
      <c r="C12" s="130" t="s">
        <v>54</v>
      </c>
      <c r="D12" s="189" t="s">
        <v>1187</v>
      </c>
      <c r="E12" s="189" t="str">
        <f t="shared" si="0"/>
        <v>N/A</v>
      </c>
      <c r="F12" s="117" t="str">
        <f t="shared" si="1"/>
        <v>-</v>
      </c>
      <c r="G12" s="31"/>
    </row>
    <row r="13" spans="1:10" s="8" customFormat="1" ht="25" x14ac:dyDescent="0.25">
      <c r="A13" s="129" t="s">
        <v>140</v>
      </c>
      <c r="B13" s="129" t="s">
        <v>141</v>
      </c>
      <c r="C13" s="130" t="s">
        <v>54</v>
      </c>
      <c r="D13" s="189" t="s">
        <v>1187</v>
      </c>
      <c r="E13" s="189" t="str">
        <f t="shared" si="0"/>
        <v>N/A</v>
      </c>
      <c r="F13" s="117" t="str">
        <f t="shared" si="1"/>
        <v>-</v>
      </c>
      <c r="G13" s="31"/>
    </row>
    <row r="14" spans="1:10" s="8" customFormat="1" ht="64.5" customHeight="1" x14ac:dyDescent="0.25">
      <c r="A14" s="129" t="s">
        <v>142</v>
      </c>
      <c r="B14" s="129" t="s">
        <v>143</v>
      </c>
      <c r="C14" s="130" t="s">
        <v>54</v>
      </c>
      <c r="D14" s="189" t="s">
        <v>1187</v>
      </c>
      <c r="E14" s="189" t="str">
        <f t="shared" si="0"/>
        <v>N/A</v>
      </c>
      <c r="F14" s="117" t="str">
        <f t="shared" si="1"/>
        <v>-</v>
      </c>
      <c r="G14" s="31"/>
    </row>
    <row r="15" spans="1:10" s="8" customFormat="1" ht="37.5" x14ac:dyDescent="0.25">
      <c r="A15" s="129" t="s">
        <v>144</v>
      </c>
      <c r="B15" s="129" t="s">
        <v>145</v>
      </c>
      <c r="C15" s="130" t="s">
        <v>146</v>
      </c>
      <c r="D15" s="189" t="s">
        <v>1187</v>
      </c>
      <c r="E15" s="189" t="str">
        <f t="shared" si="0"/>
        <v>N/A</v>
      </c>
      <c r="F15" s="117" t="str">
        <f t="shared" si="1"/>
        <v>-</v>
      </c>
      <c r="G15" s="31"/>
      <c r="J15" s="33"/>
    </row>
    <row r="16" spans="1:10" s="8" customFormat="1" ht="62.5" x14ac:dyDescent="0.25">
      <c r="A16" s="129" t="s">
        <v>1248</v>
      </c>
      <c r="B16" s="129" t="s">
        <v>1227</v>
      </c>
      <c r="C16" s="130" t="s">
        <v>54</v>
      </c>
      <c r="D16" s="189">
        <v>12</v>
      </c>
      <c r="E16" s="189">
        <v>500</v>
      </c>
      <c r="F16" s="117">
        <f t="shared" si="1"/>
        <v>6000</v>
      </c>
      <c r="G16" s="31"/>
      <c r="J16" s="33"/>
    </row>
    <row r="17" spans="1:12" s="8" customFormat="1" ht="25" x14ac:dyDescent="0.25">
      <c r="A17" s="129" t="s">
        <v>147</v>
      </c>
      <c r="B17" s="129" t="s">
        <v>148</v>
      </c>
      <c r="C17" s="130" t="s">
        <v>149</v>
      </c>
      <c r="D17" s="189">
        <v>120</v>
      </c>
      <c r="E17" s="189">
        <v>30</v>
      </c>
      <c r="F17" s="117">
        <f t="shared" si="1"/>
        <v>3600</v>
      </c>
      <c r="G17" s="31"/>
    </row>
    <row r="18" spans="1:12" s="8" customFormat="1" ht="25" x14ac:dyDescent="0.25">
      <c r="A18" s="129" t="s">
        <v>150</v>
      </c>
      <c r="B18" s="129" t="s">
        <v>151</v>
      </c>
      <c r="C18" s="130" t="s">
        <v>149</v>
      </c>
      <c r="D18" s="189">
        <v>20</v>
      </c>
      <c r="E18" s="189">
        <v>35</v>
      </c>
      <c r="F18" s="117">
        <f t="shared" si="1"/>
        <v>700</v>
      </c>
      <c r="G18" s="31"/>
      <c r="I18" s="175"/>
    </row>
    <row r="19" spans="1:12" s="8" customFormat="1" ht="25" x14ac:dyDescent="0.25">
      <c r="A19" s="129" t="s">
        <v>152</v>
      </c>
      <c r="B19" s="129" t="s">
        <v>153</v>
      </c>
      <c r="C19" s="130" t="s">
        <v>149</v>
      </c>
      <c r="D19" s="189" t="s">
        <v>1187</v>
      </c>
      <c r="E19" s="189" t="str">
        <f t="shared" si="0"/>
        <v>N/A</v>
      </c>
      <c r="F19" s="117" t="str">
        <f t="shared" si="1"/>
        <v>-</v>
      </c>
      <c r="G19" s="31"/>
    </row>
    <row r="20" spans="1:12" s="8" customFormat="1" ht="25" x14ac:dyDescent="0.25">
      <c r="A20" s="129" t="s">
        <v>154</v>
      </c>
      <c r="B20" s="129" t="s">
        <v>155</v>
      </c>
      <c r="C20" s="130" t="s">
        <v>149</v>
      </c>
      <c r="D20" s="189" t="s">
        <v>1187</v>
      </c>
      <c r="E20" s="189" t="str">
        <f t="shared" si="0"/>
        <v>N/A</v>
      </c>
      <c r="F20" s="117" t="str">
        <f t="shared" si="1"/>
        <v>-</v>
      </c>
      <c r="G20" s="31"/>
    </row>
    <row r="21" spans="1:12" s="8" customFormat="1" ht="25" x14ac:dyDescent="0.25">
      <c r="A21" s="129" t="s">
        <v>156</v>
      </c>
      <c r="B21" s="129" t="s">
        <v>157</v>
      </c>
      <c r="C21" s="130" t="s">
        <v>149</v>
      </c>
      <c r="D21" s="189" t="s">
        <v>1187</v>
      </c>
      <c r="E21" s="189" t="str">
        <f t="shared" si="0"/>
        <v>N/A</v>
      </c>
      <c r="F21" s="117" t="str">
        <f t="shared" si="1"/>
        <v>-</v>
      </c>
      <c r="G21" s="34"/>
    </row>
    <row r="22" spans="1:12" s="8" customFormat="1" ht="25" x14ac:dyDescent="0.25">
      <c r="A22" s="129" t="s">
        <v>158</v>
      </c>
      <c r="B22" s="129" t="s">
        <v>159</v>
      </c>
      <c r="C22" s="130" t="s">
        <v>160</v>
      </c>
      <c r="D22" s="189">
        <v>12</v>
      </c>
      <c r="E22" s="189">
        <v>50</v>
      </c>
      <c r="F22" s="117">
        <f t="shared" si="1"/>
        <v>600</v>
      </c>
      <c r="G22" s="31"/>
      <c r="L22" s="31"/>
    </row>
    <row r="23" spans="1:12" s="8" customFormat="1" ht="50" x14ac:dyDescent="0.25">
      <c r="A23" s="129" t="s">
        <v>161</v>
      </c>
      <c r="B23" s="129" t="s">
        <v>162</v>
      </c>
      <c r="C23" s="130" t="s">
        <v>54</v>
      </c>
      <c r="D23" s="189" t="s">
        <v>1237</v>
      </c>
      <c r="E23" s="189" t="str">
        <f t="shared" si="0"/>
        <v>N/A</v>
      </c>
      <c r="F23" s="117" t="str">
        <f t="shared" si="1"/>
        <v>-</v>
      </c>
      <c r="G23" s="31"/>
      <c r="J23" s="31"/>
    </row>
    <row r="24" spans="1:12" s="8" customFormat="1" ht="37.5" x14ac:dyDescent="0.25">
      <c r="A24" s="129" t="s">
        <v>163</v>
      </c>
      <c r="B24" s="129" t="s">
        <v>164</v>
      </c>
      <c r="C24" s="130" t="s">
        <v>165</v>
      </c>
      <c r="D24" s="193" t="s">
        <v>1237</v>
      </c>
      <c r="E24" s="189" t="str">
        <f t="shared" si="0"/>
        <v>N/A</v>
      </c>
      <c r="F24" s="117" t="str">
        <f t="shared" si="1"/>
        <v>-</v>
      </c>
      <c r="G24" s="31"/>
    </row>
    <row r="25" spans="1:12" s="8" customFormat="1" ht="37.5" x14ac:dyDescent="0.25">
      <c r="A25" s="129" t="s">
        <v>166</v>
      </c>
      <c r="B25" s="129" t="s">
        <v>1314</v>
      </c>
      <c r="C25" s="130" t="s">
        <v>160</v>
      </c>
      <c r="D25" s="189">
        <v>12</v>
      </c>
      <c r="E25" s="189">
        <v>150</v>
      </c>
      <c r="F25" s="117">
        <f t="shared" si="1"/>
        <v>1800</v>
      </c>
      <c r="G25" s="31"/>
      <c r="I25" s="175"/>
      <c r="L25" s="31"/>
    </row>
    <row r="26" spans="1:12" s="8" customFormat="1" ht="39" x14ac:dyDescent="0.25">
      <c r="A26" s="4"/>
      <c r="B26" s="35" t="s">
        <v>1208</v>
      </c>
      <c r="C26" s="130"/>
      <c r="D26" s="189"/>
      <c r="E26" s="195"/>
      <c r="F26" s="117"/>
      <c r="G26" s="31"/>
    </row>
    <row r="27" spans="1:12" s="8" customFormat="1" ht="38.15" customHeight="1" x14ac:dyDescent="0.25">
      <c r="A27" s="129" t="s">
        <v>167</v>
      </c>
      <c r="B27" s="129" t="s">
        <v>168</v>
      </c>
      <c r="C27" s="130" t="s">
        <v>54</v>
      </c>
      <c r="D27" s="183">
        <v>144</v>
      </c>
      <c r="E27" s="208">
        <v>500</v>
      </c>
      <c r="F27" s="117">
        <f t="shared" ref="F27" si="2">IFERROR(IF(ISNUMBER(D27),D27*E27,"-"),"")</f>
        <v>72000</v>
      </c>
      <c r="G27" s="31"/>
    </row>
    <row r="28" spans="1:12" s="8" customFormat="1" ht="25" x14ac:dyDescent="0.25">
      <c r="A28" s="129" t="s">
        <v>169</v>
      </c>
      <c r="B28" s="129" t="s">
        <v>170</v>
      </c>
      <c r="C28" s="130" t="s">
        <v>54</v>
      </c>
      <c r="D28" s="189" t="s">
        <v>1187</v>
      </c>
      <c r="E28" s="189"/>
      <c r="F28" s="117" t="str">
        <f t="shared" si="1"/>
        <v>-</v>
      </c>
      <c r="G28" s="31"/>
    </row>
    <row r="29" spans="1:12" s="8" customFormat="1" ht="100" x14ac:dyDescent="0.25">
      <c r="A29" s="129" t="s">
        <v>171</v>
      </c>
      <c r="B29" s="124" t="s">
        <v>1378</v>
      </c>
      <c r="C29" s="130" t="s">
        <v>54</v>
      </c>
      <c r="D29" s="183">
        <v>144</v>
      </c>
      <c r="E29" s="189">
        <v>250</v>
      </c>
      <c r="F29" s="117">
        <f t="shared" si="1"/>
        <v>36000</v>
      </c>
      <c r="G29" s="34"/>
    </row>
    <row r="30" spans="1:12" s="8" customFormat="1" ht="25" x14ac:dyDescent="0.25">
      <c r="A30" s="129" t="s">
        <v>173</v>
      </c>
      <c r="B30" s="129" t="s">
        <v>174</v>
      </c>
      <c r="C30" s="130" t="s">
        <v>160</v>
      </c>
      <c r="D30" s="183">
        <v>65</v>
      </c>
      <c r="E30" s="189">
        <v>50</v>
      </c>
      <c r="F30" s="117">
        <f t="shared" si="1"/>
        <v>3250</v>
      </c>
      <c r="G30" s="31"/>
    </row>
    <row r="31" spans="1:12" s="8" customFormat="1" ht="25" x14ac:dyDescent="0.25">
      <c r="A31" s="129" t="s">
        <v>175</v>
      </c>
      <c r="B31" s="129" t="s">
        <v>176</v>
      </c>
      <c r="C31" s="130" t="s">
        <v>149</v>
      </c>
      <c r="D31" s="183">
        <v>720</v>
      </c>
      <c r="E31" s="189">
        <v>20</v>
      </c>
      <c r="F31" s="117">
        <f t="shared" si="1"/>
        <v>14400</v>
      </c>
      <c r="G31" s="31"/>
    </row>
    <row r="32" spans="1:12" s="8" customFormat="1" ht="25" x14ac:dyDescent="0.25">
      <c r="A32" s="129" t="s">
        <v>177</v>
      </c>
      <c r="B32" s="129" t="s">
        <v>178</v>
      </c>
      <c r="C32" s="130" t="s">
        <v>149</v>
      </c>
      <c r="D32" s="183">
        <v>270</v>
      </c>
      <c r="E32" s="189">
        <v>25</v>
      </c>
      <c r="F32" s="117">
        <f t="shared" si="1"/>
        <v>6750</v>
      </c>
      <c r="G32" s="34"/>
    </row>
    <row r="33" spans="1:9" s="8" customFormat="1" ht="37.5" customHeight="1" x14ac:dyDescent="0.25">
      <c r="A33" s="129" t="s">
        <v>179</v>
      </c>
      <c r="B33" s="129" t="s">
        <v>1319</v>
      </c>
      <c r="C33" s="130" t="s">
        <v>149</v>
      </c>
      <c r="D33" s="189" t="s">
        <v>1187</v>
      </c>
      <c r="E33" s="189" t="str">
        <f t="shared" si="0"/>
        <v>N/A</v>
      </c>
      <c r="F33" s="117" t="str">
        <f t="shared" si="1"/>
        <v>-</v>
      </c>
      <c r="G33" s="31"/>
    </row>
    <row r="34" spans="1:9" s="8" customFormat="1" ht="37.5" x14ac:dyDescent="0.25">
      <c r="A34" s="129" t="s">
        <v>180</v>
      </c>
      <c r="B34" s="129" t="s">
        <v>1315</v>
      </c>
      <c r="C34" s="130" t="s">
        <v>181</v>
      </c>
      <c r="D34" s="197">
        <v>85</v>
      </c>
      <c r="E34" s="189">
        <v>250</v>
      </c>
      <c r="F34" s="117">
        <f t="shared" si="1"/>
        <v>21250</v>
      </c>
      <c r="G34" s="31"/>
      <c r="I34" s="150"/>
    </row>
    <row r="35" spans="1:9" s="8" customFormat="1" ht="50" x14ac:dyDescent="0.25">
      <c r="A35" s="129" t="s">
        <v>182</v>
      </c>
      <c r="B35" s="129" t="s">
        <v>183</v>
      </c>
      <c r="C35" s="130" t="s">
        <v>165</v>
      </c>
      <c r="D35" s="197">
        <v>12</v>
      </c>
      <c r="E35" s="189">
        <v>25</v>
      </c>
      <c r="F35" s="117">
        <f t="shared" si="1"/>
        <v>300</v>
      </c>
      <c r="G35" s="34"/>
    </row>
    <row r="36" spans="1:9" s="8" customFormat="1" ht="39.75" customHeight="1" x14ac:dyDescent="0.25">
      <c r="A36" s="129"/>
      <c r="B36" s="35" t="s">
        <v>184</v>
      </c>
      <c r="C36" s="130"/>
      <c r="D36" s="189"/>
      <c r="E36" s="189"/>
      <c r="F36" s="117"/>
      <c r="G36" s="31"/>
    </row>
    <row r="37" spans="1:9" s="8" customFormat="1" ht="25" x14ac:dyDescent="0.25">
      <c r="A37" s="129" t="s">
        <v>185</v>
      </c>
      <c r="B37" s="129" t="s">
        <v>186</v>
      </c>
      <c r="C37" s="130" t="s">
        <v>187</v>
      </c>
      <c r="D37" s="189" t="s">
        <v>1238</v>
      </c>
      <c r="E37" s="189" t="str">
        <f t="shared" si="0"/>
        <v>N/A</v>
      </c>
      <c r="F37" s="117" t="str">
        <f t="shared" si="1"/>
        <v>-</v>
      </c>
      <c r="G37" s="34"/>
    </row>
    <row r="38" spans="1:9" s="8" customFormat="1" ht="25" x14ac:dyDescent="0.25">
      <c r="A38" s="129" t="s">
        <v>188</v>
      </c>
      <c r="B38" s="129" t="s">
        <v>189</v>
      </c>
      <c r="C38" s="130" t="s">
        <v>187</v>
      </c>
      <c r="D38" s="189" t="s">
        <v>1239</v>
      </c>
      <c r="E38" s="189" t="str">
        <f t="shared" si="0"/>
        <v>N/A</v>
      </c>
      <c r="F38" s="117" t="str">
        <f t="shared" si="1"/>
        <v>-</v>
      </c>
      <c r="G38" s="31"/>
    </row>
    <row r="39" spans="1:9" s="8" customFormat="1" ht="25" x14ac:dyDescent="0.25">
      <c r="A39" s="129" t="s">
        <v>190</v>
      </c>
      <c r="B39" s="129" t="s">
        <v>191</v>
      </c>
      <c r="C39" s="130" t="s">
        <v>187</v>
      </c>
      <c r="D39" s="189" t="s">
        <v>1238</v>
      </c>
      <c r="E39" s="189" t="str">
        <f t="shared" si="0"/>
        <v>N/A</v>
      </c>
      <c r="F39" s="117" t="str">
        <f t="shared" si="1"/>
        <v>-</v>
      </c>
      <c r="G39" s="31"/>
    </row>
    <row r="40" spans="1:9" s="8" customFormat="1" ht="25" x14ac:dyDescent="0.25">
      <c r="A40" s="129" t="s">
        <v>192</v>
      </c>
      <c r="B40" s="129" t="s">
        <v>193</v>
      </c>
      <c r="C40" s="130" t="s">
        <v>54</v>
      </c>
      <c r="D40" s="189" t="s">
        <v>1187</v>
      </c>
      <c r="E40" s="189" t="str">
        <f t="shared" si="0"/>
        <v>N/A</v>
      </c>
      <c r="F40" s="117" t="str">
        <f t="shared" si="1"/>
        <v>-</v>
      </c>
      <c r="G40" s="31"/>
    </row>
    <row r="41" spans="1:9" s="8" customFormat="1" ht="50" x14ac:dyDescent="0.25">
      <c r="A41" s="129" t="s">
        <v>194</v>
      </c>
      <c r="B41" s="129" t="s">
        <v>195</v>
      </c>
      <c r="C41" s="130" t="s">
        <v>165</v>
      </c>
      <c r="D41" s="193" t="s">
        <v>1237</v>
      </c>
      <c r="E41" s="189" t="str">
        <f t="shared" si="0"/>
        <v>N/A</v>
      </c>
      <c r="F41" s="117" t="str">
        <f t="shared" si="1"/>
        <v>-</v>
      </c>
      <c r="G41" s="31"/>
    </row>
    <row r="42" spans="1:9" s="8" customFormat="1" ht="25" x14ac:dyDescent="0.25">
      <c r="A42" s="56" t="s">
        <v>1155</v>
      </c>
      <c r="B42" s="56" t="s">
        <v>1156</v>
      </c>
      <c r="C42" s="130" t="s">
        <v>165</v>
      </c>
      <c r="D42" s="195">
        <v>15</v>
      </c>
      <c r="E42" s="209">
        <v>100</v>
      </c>
      <c r="F42" s="117">
        <f t="shared" si="1"/>
        <v>1500</v>
      </c>
      <c r="G42" s="31"/>
      <c r="I42" s="175"/>
    </row>
    <row r="43" spans="1:9" s="8" customFormat="1" ht="62.5" x14ac:dyDescent="0.25">
      <c r="A43" s="129" t="s">
        <v>1253</v>
      </c>
      <c r="B43" s="129" t="s">
        <v>1352</v>
      </c>
      <c r="C43" s="130" t="s">
        <v>54</v>
      </c>
      <c r="D43" s="183">
        <v>156</v>
      </c>
      <c r="E43" s="189">
        <v>50</v>
      </c>
      <c r="F43" s="117">
        <f t="shared" si="1"/>
        <v>7800</v>
      </c>
      <c r="G43" s="31"/>
      <c r="H43" s="16"/>
    </row>
    <row r="44" spans="1:9" ht="12.75" customHeight="1" x14ac:dyDescent="0.25">
      <c r="A44" s="37"/>
      <c r="B44" s="38" t="s">
        <v>1196</v>
      </c>
      <c r="C44" s="38"/>
      <c r="D44" s="196"/>
      <c r="E44" s="39"/>
      <c r="F44" s="117">
        <f>IF(SUM(F5:F41)=0,"",SUM(F5:F43))</f>
        <v>211950</v>
      </c>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7FF05-3D94-4BEA-AF3B-59AB52612154}">
  <dimension ref="A2:I120"/>
  <sheetViews>
    <sheetView view="pageBreakPreview" topLeftCell="A25" zoomScale="90" zoomScaleNormal="100" zoomScaleSheetLayoutView="90" workbookViewId="0">
      <selection activeCell="H25" sqref="H1:Q1048576"/>
    </sheetView>
  </sheetViews>
  <sheetFormatPr defaultColWidth="9.1796875" defaultRowHeight="12.5" x14ac:dyDescent="0.25"/>
  <cols>
    <col min="1" max="1" width="9.1796875" style="16"/>
    <col min="2" max="2" width="35.54296875" style="16" customWidth="1"/>
    <col min="3" max="3" width="8.81640625" style="21" customWidth="1"/>
    <col min="4" max="4" width="11.453125" style="204" customWidth="1"/>
    <col min="5" max="5" width="11.453125" style="21" customWidth="1"/>
    <col min="6" max="6" width="11.453125" style="23" customWidth="1"/>
    <col min="7" max="7" width="1.54296875" style="21" customWidth="1"/>
    <col min="8" max="16384" width="9.1796875" style="16"/>
  </cols>
  <sheetData>
    <row r="2" spans="1:7" x14ac:dyDescent="0.25">
      <c r="A2" s="1" t="s">
        <v>0</v>
      </c>
      <c r="B2" s="1" t="s">
        <v>1</v>
      </c>
      <c r="C2" s="1" t="s">
        <v>2</v>
      </c>
      <c r="D2" s="1" t="s">
        <v>3</v>
      </c>
      <c r="E2" s="1" t="s">
        <v>4</v>
      </c>
      <c r="F2" s="3" t="s">
        <v>5</v>
      </c>
      <c r="G2" s="25"/>
    </row>
    <row r="3" spans="1:7" ht="18" x14ac:dyDescent="0.4">
      <c r="A3" s="40"/>
      <c r="B3" s="146" t="s">
        <v>1197</v>
      </c>
      <c r="C3" s="41"/>
      <c r="D3" s="41"/>
      <c r="E3" s="41" t="s">
        <v>6</v>
      </c>
      <c r="F3" s="20" t="s">
        <v>6</v>
      </c>
    </row>
    <row r="4" spans="1:7" ht="13" x14ac:dyDescent="0.25">
      <c r="A4" s="44" t="s">
        <v>197</v>
      </c>
      <c r="B4" s="45" t="s">
        <v>198</v>
      </c>
      <c r="C4" s="46"/>
      <c r="D4" s="46"/>
      <c r="E4" s="46"/>
      <c r="F4" s="47"/>
      <c r="G4" s="48"/>
    </row>
    <row r="5" spans="1:7" ht="13" x14ac:dyDescent="0.25">
      <c r="A5" s="44"/>
      <c r="B5" s="45" t="s">
        <v>199</v>
      </c>
      <c r="C5" s="46"/>
      <c r="D5" s="46"/>
      <c r="E5" s="46"/>
      <c r="F5" s="47"/>
      <c r="G5" s="48"/>
    </row>
    <row r="6" spans="1:7" s="8" customFormat="1" ht="25" x14ac:dyDescent="0.25">
      <c r="A6" s="129" t="s">
        <v>200</v>
      </c>
      <c r="B6" s="129" t="s">
        <v>201</v>
      </c>
      <c r="C6" s="129" t="s">
        <v>54</v>
      </c>
      <c r="D6" s="130" t="s">
        <v>1187</v>
      </c>
      <c r="E6" s="130" t="str">
        <f>IF(ISNUMBER(D6),"","N/A")</f>
        <v>N/A</v>
      </c>
      <c r="F6" s="117" t="str">
        <f t="shared" ref="F6:F69" si="0">IFERROR(IF(ISNUMBER(D6),D6*E6,"-"),"")</f>
        <v>-</v>
      </c>
      <c r="G6" s="31"/>
    </row>
    <row r="7" spans="1:7" s="8" customFormat="1" ht="25" x14ac:dyDescent="0.25">
      <c r="A7" s="129" t="s">
        <v>202</v>
      </c>
      <c r="B7" s="129" t="s">
        <v>203</v>
      </c>
      <c r="C7" s="129" t="s">
        <v>149</v>
      </c>
      <c r="D7" s="130" t="s">
        <v>1187</v>
      </c>
      <c r="E7" s="130" t="str">
        <f t="shared" ref="E7:E77" si="1">IF(ISNUMBER(D7),"","N/A")</f>
        <v>N/A</v>
      </c>
      <c r="F7" s="117" t="str">
        <f t="shared" si="0"/>
        <v>-</v>
      </c>
      <c r="G7" s="31"/>
    </row>
    <row r="8" spans="1:7" s="8" customFormat="1" x14ac:dyDescent="0.25">
      <c r="A8" s="129" t="s">
        <v>204</v>
      </c>
      <c r="B8" s="129" t="s">
        <v>205</v>
      </c>
      <c r="C8" s="129" t="s">
        <v>149</v>
      </c>
      <c r="D8" s="130" t="s">
        <v>1187</v>
      </c>
      <c r="E8" s="130" t="str">
        <f t="shared" si="1"/>
        <v>N/A</v>
      </c>
      <c r="F8" s="117" t="str">
        <f t="shared" si="0"/>
        <v>-</v>
      </c>
      <c r="G8" s="31"/>
    </row>
    <row r="9" spans="1:7" s="8" customFormat="1" ht="25" x14ac:dyDescent="0.25">
      <c r="A9" s="129" t="s">
        <v>206</v>
      </c>
      <c r="B9" s="129" t="s">
        <v>207</v>
      </c>
      <c r="C9" s="129" t="s">
        <v>160</v>
      </c>
      <c r="D9" s="130" t="s">
        <v>1187</v>
      </c>
      <c r="E9" s="130" t="str">
        <f t="shared" si="1"/>
        <v>N/A</v>
      </c>
      <c r="F9" s="117" t="str">
        <f t="shared" si="0"/>
        <v>-</v>
      </c>
      <c r="G9" s="31"/>
    </row>
    <row r="10" spans="1:7" s="8" customFormat="1" ht="50" x14ac:dyDescent="0.25">
      <c r="A10" s="129" t="s">
        <v>208</v>
      </c>
      <c r="B10" s="129" t="s">
        <v>209</v>
      </c>
      <c r="C10" s="129" t="s">
        <v>210</v>
      </c>
      <c r="D10" s="130" t="s">
        <v>1187</v>
      </c>
      <c r="E10" s="130" t="str">
        <f t="shared" si="1"/>
        <v>N/A</v>
      </c>
      <c r="F10" s="117" t="str">
        <f t="shared" si="0"/>
        <v>-</v>
      </c>
      <c r="G10" s="31"/>
    </row>
    <row r="11" spans="1:7" s="8" customFormat="1" ht="25" x14ac:dyDescent="0.25">
      <c r="A11" s="129" t="s">
        <v>211</v>
      </c>
      <c r="B11" s="129" t="s">
        <v>212</v>
      </c>
      <c r="C11" s="129" t="s">
        <v>149</v>
      </c>
      <c r="D11" s="130" t="s">
        <v>1187</v>
      </c>
      <c r="E11" s="130" t="str">
        <f t="shared" si="1"/>
        <v>N/A</v>
      </c>
      <c r="F11" s="117" t="str">
        <f t="shared" si="0"/>
        <v>-</v>
      </c>
      <c r="G11" s="31"/>
    </row>
    <row r="12" spans="1:7" s="8" customFormat="1" x14ac:dyDescent="0.25">
      <c r="A12" s="129"/>
      <c r="B12" s="129"/>
      <c r="C12" s="129"/>
      <c r="D12" s="130"/>
      <c r="E12" s="130"/>
      <c r="F12" s="117" t="str">
        <f t="shared" si="0"/>
        <v>-</v>
      </c>
      <c r="G12" s="31"/>
    </row>
    <row r="13" spans="1:7" s="8" customFormat="1" ht="26" x14ac:dyDescent="0.25">
      <c r="A13" s="129"/>
      <c r="B13" s="35" t="s">
        <v>213</v>
      </c>
      <c r="C13" s="129"/>
      <c r="D13" s="130"/>
      <c r="E13" s="130"/>
      <c r="F13" s="117" t="str">
        <f t="shared" si="0"/>
        <v>-</v>
      </c>
      <c r="G13" s="31"/>
    </row>
    <row r="14" spans="1:7" s="8" customFormat="1" ht="37.5" x14ac:dyDescent="0.25">
      <c r="A14" s="129" t="s">
        <v>214</v>
      </c>
      <c r="B14" s="129" t="s">
        <v>215</v>
      </c>
      <c r="C14" s="129" t="s">
        <v>54</v>
      </c>
      <c r="D14" s="130" t="s">
        <v>1187</v>
      </c>
      <c r="E14" s="130" t="str">
        <f t="shared" si="1"/>
        <v>N/A</v>
      </c>
      <c r="F14" s="117" t="str">
        <f t="shared" si="0"/>
        <v>-</v>
      </c>
      <c r="G14" s="31"/>
    </row>
    <row r="15" spans="1:7" s="8" customFormat="1" ht="62.5" x14ac:dyDescent="0.25">
      <c r="A15" s="129" t="s">
        <v>216</v>
      </c>
      <c r="B15" s="129" t="s">
        <v>217</v>
      </c>
      <c r="C15" s="129" t="s">
        <v>54</v>
      </c>
      <c r="D15" s="130" t="s">
        <v>1187</v>
      </c>
      <c r="E15" s="130" t="str">
        <f t="shared" si="1"/>
        <v>N/A</v>
      </c>
      <c r="F15" s="117" t="str">
        <f t="shared" si="0"/>
        <v>-</v>
      </c>
      <c r="G15" s="31"/>
    </row>
    <row r="16" spans="1:7" s="8" customFormat="1" ht="25" x14ac:dyDescent="0.25">
      <c r="A16" s="129" t="s">
        <v>218</v>
      </c>
      <c r="B16" s="129" t="s">
        <v>219</v>
      </c>
      <c r="C16" s="129" t="s">
        <v>54</v>
      </c>
      <c r="D16" s="130" t="s">
        <v>1187</v>
      </c>
      <c r="E16" s="130" t="str">
        <f t="shared" si="1"/>
        <v>N/A</v>
      </c>
      <c r="F16" s="117" t="str">
        <f t="shared" si="0"/>
        <v>-</v>
      </c>
      <c r="G16" s="31"/>
    </row>
    <row r="17" spans="1:9" s="8" customFormat="1" ht="37.5" x14ac:dyDescent="0.25">
      <c r="A17" s="129" t="s">
        <v>220</v>
      </c>
      <c r="B17" s="129" t="s">
        <v>221</v>
      </c>
      <c r="C17" s="129" t="s">
        <v>146</v>
      </c>
      <c r="D17" s="118" t="s">
        <v>1187</v>
      </c>
      <c r="E17" s="130" t="str">
        <f t="shared" si="1"/>
        <v>N/A</v>
      </c>
      <c r="F17" s="117" t="str">
        <f t="shared" si="0"/>
        <v>-</v>
      </c>
      <c r="G17" s="31"/>
    </row>
    <row r="18" spans="1:9" s="8" customFormat="1" ht="25" x14ac:dyDescent="0.25">
      <c r="A18" s="129" t="s">
        <v>222</v>
      </c>
      <c r="B18" s="129" t="s">
        <v>223</v>
      </c>
      <c r="C18" s="129" t="s">
        <v>160</v>
      </c>
      <c r="D18" s="130" t="s">
        <v>1187</v>
      </c>
      <c r="E18" s="130" t="str">
        <f t="shared" si="1"/>
        <v>N/A</v>
      </c>
      <c r="F18" s="117" t="str">
        <f t="shared" si="0"/>
        <v>-</v>
      </c>
      <c r="G18" s="31"/>
    </row>
    <row r="19" spans="1:9" s="8" customFormat="1" ht="37.5" x14ac:dyDescent="0.25">
      <c r="A19" s="129" t="s">
        <v>224</v>
      </c>
      <c r="B19" s="129" t="s">
        <v>225</v>
      </c>
      <c r="C19" s="129" t="s">
        <v>149</v>
      </c>
      <c r="D19" s="130" t="s">
        <v>1187</v>
      </c>
      <c r="E19" s="130" t="str">
        <f t="shared" si="1"/>
        <v>N/A</v>
      </c>
      <c r="F19" s="117" t="str">
        <f t="shared" si="0"/>
        <v>-</v>
      </c>
      <c r="G19" s="31"/>
    </row>
    <row r="20" spans="1:9" s="8" customFormat="1" ht="25" x14ac:dyDescent="0.25">
      <c r="A20" s="129" t="s">
        <v>226</v>
      </c>
      <c r="B20" s="129" t="s">
        <v>227</v>
      </c>
      <c r="C20" s="129" t="s">
        <v>149</v>
      </c>
      <c r="D20" s="130" t="s">
        <v>1187</v>
      </c>
      <c r="E20" s="130" t="str">
        <f t="shared" si="1"/>
        <v>N/A</v>
      </c>
      <c r="F20" s="117" t="str">
        <f t="shared" si="0"/>
        <v>-</v>
      </c>
      <c r="G20" s="31"/>
    </row>
    <row r="21" spans="1:9" s="8" customFormat="1" ht="25" x14ac:dyDescent="0.25">
      <c r="A21" s="129" t="s">
        <v>228</v>
      </c>
      <c r="B21" s="129" t="s">
        <v>229</v>
      </c>
      <c r="C21" s="129" t="s">
        <v>149</v>
      </c>
      <c r="D21" s="130" t="s">
        <v>1187</v>
      </c>
      <c r="E21" s="130" t="str">
        <f t="shared" si="1"/>
        <v>N/A</v>
      </c>
      <c r="F21" s="117" t="str">
        <f t="shared" si="0"/>
        <v>-</v>
      </c>
      <c r="G21" s="31"/>
    </row>
    <row r="22" spans="1:9" s="8" customFormat="1" ht="25" x14ac:dyDescent="0.25">
      <c r="A22" s="129" t="s">
        <v>230</v>
      </c>
      <c r="B22" s="129" t="s">
        <v>1358</v>
      </c>
      <c r="C22" s="129" t="s">
        <v>149</v>
      </c>
      <c r="D22" s="130" t="s">
        <v>1187</v>
      </c>
      <c r="E22" s="130" t="str">
        <f t="shared" si="1"/>
        <v>N/A</v>
      </c>
      <c r="F22" s="117" t="str">
        <f t="shared" si="0"/>
        <v>-</v>
      </c>
      <c r="G22" s="31"/>
    </row>
    <row r="23" spans="1:9" s="8" customFormat="1" x14ac:dyDescent="0.25">
      <c r="A23" s="129"/>
      <c r="B23" s="129"/>
      <c r="C23" s="129"/>
      <c r="D23" s="130"/>
      <c r="E23" s="130"/>
      <c r="F23" s="117" t="str">
        <f t="shared" si="0"/>
        <v>-</v>
      </c>
      <c r="G23" s="31"/>
    </row>
    <row r="24" spans="1:9" s="8" customFormat="1" ht="26" x14ac:dyDescent="0.25">
      <c r="A24" s="129"/>
      <c r="B24" s="35" t="s">
        <v>231</v>
      </c>
      <c r="C24" s="129"/>
      <c r="D24" s="130"/>
      <c r="E24" s="130"/>
      <c r="F24" s="117" t="str">
        <f t="shared" si="0"/>
        <v>-</v>
      </c>
      <c r="G24" s="31"/>
    </row>
    <row r="25" spans="1:9" s="8" customFormat="1" ht="50" x14ac:dyDescent="0.25">
      <c r="A25" s="129" t="s">
        <v>232</v>
      </c>
      <c r="B25" s="129" t="s">
        <v>233</v>
      </c>
      <c r="C25" s="129" t="s">
        <v>54</v>
      </c>
      <c r="D25" s="130" t="s">
        <v>1240</v>
      </c>
      <c r="E25" s="130" t="str">
        <f t="shared" si="1"/>
        <v>N/A</v>
      </c>
      <c r="F25" s="117" t="str">
        <f t="shared" si="0"/>
        <v>-</v>
      </c>
      <c r="G25" s="31"/>
    </row>
    <row r="26" spans="1:9" s="8" customFormat="1" ht="50" x14ac:dyDescent="0.25">
      <c r="A26" s="129" t="s">
        <v>234</v>
      </c>
      <c r="B26" s="129" t="s">
        <v>1255</v>
      </c>
      <c r="C26" s="129" t="s">
        <v>54</v>
      </c>
      <c r="D26" s="130">
        <v>47</v>
      </c>
      <c r="E26" s="130">
        <v>300</v>
      </c>
      <c r="F26" s="117">
        <f>IFERROR(IF(ISNUMBER(D26),D26*E26,"-"),"")</f>
        <v>14100</v>
      </c>
      <c r="G26" s="31"/>
      <c r="I26" s="175"/>
    </row>
    <row r="27" spans="1:9" s="8" customFormat="1" ht="62.5" x14ac:dyDescent="0.25">
      <c r="A27" s="129" t="s">
        <v>235</v>
      </c>
      <c r="B27" s="129" t="s">
        <v>236</v>
      </c>
      <c r="C27" s="129" t="s">
        <v>54</v>
      </c>
      <c r="D27" s="130" t="s">
        <v>1187</v>
      </c>
      <c r="E27" s="130" t="s">
        <v>1373</v>
      </c>
      <c r="F27" s="117" t="str">
        <f t="shared" si="0"/>
        <v>-</v>
      </c>
      <c r="G27" s="31"/>
    </row>
    <row r="28" spans="1:9" s="8" customFormat="1" ht="62.5" x14ac:dyDescent="0.25">
      <c r="A28" s="129" t="s">
        <v>1173</v>
      </c>
      <c r="B28" s="129" t="s">
        <v>1256</v>
      </c>
      <c r="C28" s="129" t="s">
        <v>54</v>
      </c>
      <c r="D28" s="130" t="s">
        <v>1187</v>
      </c>
      <c r="E28" s="130" t="s">
        <v>1373</v>
      </c>
      <c r="F28" s="117" t="str">
        <f t="shared" si="0"/>
        <v>-</v>
      </c>
      <c r="G28" s="31"/>
    </row>
    <row r="29" spans="1:9" s="8" customFormat="1" ht="50" x14ac:dyDescent="0.25">
      <c r="A29" s="129" t="s">
        <v>237</v>
      </c>
      <c r="B29" s="129" t="s">
        <v>238</v>
      </c>
      <c r="C29" s="129" t="s">
        <v>54</v>
      </c>
      <c r="D29" s="130">
        <v>3</v>
      </c>
      <c r="E29" s="130">
        <v>300</v>
      </c>
      <c r="F29" s="117">
        <f>IFERROR(IF(ISNUMBER(D29),D29*E29,"-"),"")</f>
        <v>900</v>
      </c>
      <c r="G29" s="31"/>
    </row>
    <row r="30" spans="1:9" s="8" customFormat="1" ht="62.5" x14ac:dyDescent="0.25">
      <c r="A30" s="129" t="s">
        <v>239</v>
      </c>
      <c r="B30" s="129" t="s">
        <v>240</v>
      </c>
      <c r="C30" s="129" t="s">
        <v>54</v>
      </c>
      <c r="D30" s="130" t="s">
        <v>1187</v>
      </c>
      <c r="E30" s="130" t="s">
        <v>1373</v>
      </c>
      <c r="F30" s="117" t="str">
        <f t="shared" si="0"/>
        <v>-</v>
      </c>
      <c r="G30" s="31"/>
    </row>
    <row r="31" spans="1:9" s="8" customFormat="1" ht="75" x14ac:dyDescent="0.25">
      <c r="A31" s="129" t="s">
        <v>1375</v>
      </c>
      <c r="B31" s="129" t="s">
        <v>1247</v>
      </c>
      <c r="C31" s="130" t="s">
        <v>54</v>
      </c>
      <c r="D31" s="130" t="s">
        <v>1187</v>
      </c>
      <c r="E31" s="130" t="s">
        <v>1373</v>
      </c>
      <c r="F31" s="117" t="str">
        <f t="shared" si="0"/>
        <v>-</v>
      </c>
      <c r="G31" s="178"/>
    </row>
    <row r="32" spans="1:9" s="8" customFormat="1" ht="62.5" x14ac:dyDescent="0.25">
      <c r="A32" s="129" t="s">
        <v>241</v>
      </c>
      <c r="B32" s="129" t="s">
        <v>242</v>
      </c>
      <c r="C32" s="129" t="s">
        <v>54</v>
      </c>
      <c r="D32" s="130" t="s">
        <v>1187</v>
      </c>
      <c r="E32" s="130" t="str">
        <f t="shared" si="1"/>
        <v>N/A</v>
      </c>
      <c r="F32" s="117" t="str">
        <f t="shared" si="0"/>
        <v>-</v>
      </c>
      <c r="G32" s="31"/>
    </row>
    <row r="33" spans="1:9" s="8" customFormat="1" ht="35.15" customHeight="1" x14ac:dyDescent="0.25">
      <c r="A33" s="129" t="s">
        <v>243</v>
      </c>
      <c r="B33" s="129" t="s">
        <v>244</v>
      </c>
      <c r="C33" s="129" t="s">
        <v>54</v>
      </c>
      <c r="D33" s="130" t="s">
        <v>1187</v>
      </c>
      <c r="E33" s="130" t="s">
        <v>1373</v>
      </c>
      <c r="F33" s="117" t="str">
        <f t="shared" si="0"/>
        <v>-</v>
      </c>
      <c r="G33" s="31"/>
    </row>
    <row r="34" spans="1:9" s="8" customFormat="1" ht="25" x14ac:dyDescent="0.25">
      <c r="A34" s="129" t="s">
        <v>245</v>
      </c>
      <c r="B34" s="129" t="s">
        <v>246</v>
      </c>
      <c r="C34" s="129" t="s">
        <v>54</v>
      </c>
      <c r="E34" s="130" t="str">
        <f>IF(ISNUMBER(D35),"","N/A")</f>
        <v/>
      </c>
      <c r="F34" s="117" t="str">
        <f t="shared" si="0"/>
        <v>-</v>
      </c>
      <c r="G34" s="31"/>
    </row>
    <row r="35" spans="1:9" s="8" customFormat="1" ht="37.5" x14ac:dyDescent="0.25">
      <c r="A35" s="129" t="s">
        <v>247</v>
      </c>
      <c r="B35" s="129" t="s">
        <v>248</v>
      </c>
      <c r="C35" s="129" t="s">
        <v>146</v>
      </c>
      <c r="D35" s="118">
        <v>3.5</v>
      </c>
      <c r="E35" s="130">
        <v>50</v>
      </c>
      <c r="F35" s="117">
        <f t="shared" si="0"/>
        <v>175</v>
      </c>
      <c r="G35" s="31"/>
      <c r="I35" s="31"/>
    </row>
    <row r="36" spans="1:9" s="8" customFormat="1" ht="37.5" x14ac:dyDescent="0.25">
      <c r="A36" s="129" t="s">
        <v>249</v>
      </c>
      <c r="B36" s="129" t="s">
        <v>1316</v>
      </c>
      <c r="C36" s="129" t="s">
        <v>160</v>
      </c>
      <c r="D36" s="118">
        <v>50</v>
      </c>
      <c r="E36" s="130">
        <v>75</v>
      </c>
      <c r="F36" s="117">
        <f t="shared" si="0"/>
        <v>3750</v>
      </c>
      <c r="G36" s="31"/>
      <c r="I36" s="150"/>
    </row>
    <row r="37" spans="1:9" s="8" customFormat="1" ht="37.5" x14ac:dyDescent="0.25">
      <c r="A37" s="129" t="s">
        <v>250</v>
      </c>
      <c r="B37" s="129" t="s">
        <v>251</v>
      </c>
      <c r="C37" s="129" t="s">
        <v>54</v>
      </c>
      <c r="D37" s="130" t="s">
        <v>1187</v>
      </c>
      <c r="E37" s="130" t="str">
        <f t="shared" si="1"/>
        <v>N/A</v>
      </c>
      <c r="F37" s="117" t="str">
        <f t="shared" si="0"/>
        <v>-</v>
      </c>
      <c r="G37" s="31"/>
    </row>
    <row r="38" spans="1:9" s="8" customFormat="1" x14ac:dyDescent="0.25">
      <c r="A38" s="129"/>
      <c r="B38" s="129"/>
      <c r="C38" s="129"/>
      <c r="D38" s="130"/>
      <c r="E38" s="130"/>
      <c r="F38" s="117"/>
      <c r="G38" s="31"/>
    </row>
    <row r="39" spans="1:9" s="8" customFormat="1" ht="13" x14ac:dyDescent="0.25">
      <c r="A39" s="129"/>
      <c r="B39" s="35" t="s">
        <v>252</v>
      </c>
      <c r="C39" s="49"/>
      <c r="D39" s="130"/>
      <c r="E39" s="130"/>
      <c r="F39" s="117"/>
      <c r="G39" s="31"/>
    </row>
    <row r="40" spans="1:9" s="8" customFormat="1" ht="50" x14ac:dyDescent="0.25">
      <c r="A40" s="129" t="s">
        <v>253</v>
      </c>
      <c r="B40" s="129" t="s">
        <v>1357</v>
      </c>
      <c r="C40" s="129" t="s">
        <v>149</v>
      </c>
      <c r="D40" s="130" t="s">
        <v>1187</v>
      </c>
      <c r="E40" s="130" t="str">
        <f t="shared" si="1"/>
        <v>N/A</v>
      </c>
      <c r="F40" s="117" t="str">
        <f t="shared" si="0"/>
        <v>-</v>
      </c>
      <c r="G40" s="31"/>
    </row>
    <row r="41" spans="1:9" s="8" customFormat="1" ht="25" x14ac:dyDescent="0.25">
      <c r="A41" s="129" t="s">
        <v>254</v>
      </c>
      <c r="B41" s="129" t="s">
        <v>255</v>
      </c>
      <c r="C41" s="129" t="s">
        <v>149</v>
      </c>
      <c r="D41" s="130" t="s">
        <v>1187</v>
      </c>
      <c r="E41" s="130" t="str">
        <f t="shared" si="1"/>
        <v>N/A</v>
      </c>
      <c r="F41" s="117" t="str">
        <f t="shared" si="0"/>
        <v>-</v>
      </c>
      <c r="G41" s="31"/>
    </row>
    <row r="42" spans="1:9" s="8" customFormat="1" ht="25" x14ac:dyDescent="0.25">
      <c r="A42" s="129" t="s">
        <v>256</v>
      </c>
      <c r="B42" s="129" t="s">
        <v>257</v>
      </c>
      <c r="C42" s="129" t="s">
        <v>149</v>
      </c>
      <c r="D42" s="130" t="s">
        <v>1187</v>
      </c>
      <c r="E42" s="130" t="str">
        <f t="shared" si="1"/>
        <v>N/A</v>
      </c>
      <c r="F42" s="117" t="str">
        <f t="shared" si="0"/>
        <v>-</v>
      </c>
      <c r="G42" s="31"/>
    </row>
    <row r="43" spans="1:9" s="8" customFormat="1" ht="25" x14ac:dyDescent="0.25">
      <c r="A43" s="129" t="s">
        <v>258</v>
      </c>
      <c r="B43" s="129" t="s">
        <v>259</v>
      </c>
      <c r="C43" s="129" t="s">
        <v>149</v>
      </c>
      <c r="D43" s="130" t="s">
        <v>1187</v>
      </c>
      <c r="E43" s="130" t="str">
        <f t="shared" si="1"/>
        <v>N/A</v>
      </c>
      <c r="F43" s="117" t="str">
        <f t="shared" si="0"/>
        <v>-</v>
      </c>
      <c r="G43" s="31"/>
    </row>
    <row r="44" spans="1:9" s="8" customFormat="1" ht="25" x14ac:dyDescent="0.25">
      <c r="A44" s="129" t="s">
        <v>260</v>
      </c>
      <c r="B44" s="129" t="s">
        <v>261</v>
      </c>
      <c r="C44" s="129" t="s">
        <v>149</v>
      </c>
      <c r="D44" s="130" t="s">
        <v>1187</v>
      </c>
      <c r="E44" s="130" t="str">
        <f t="shared" si="1"/>
        <v>N/A</v>
      </c>
      <c r="F44" s="117" t="str">
        <f t="shared" si="0"/>
        <v>-</v>
      </c>
      <c r="G44" s="31"/>
    </row>
    <row r="45" spans="1:9" s="8" customFormat="1" ht="25" x14ac:dyDescent="0.25">
      <c r="A45" s="129" t="s">
        <v>262</v>
      </c>
      <c r="B45" s="129" t="s">
        <v>263</v>
      </c>
      <c r="C45" s="129" t="s">
        <v>149</v>
      </c>
      <c r="D45" s="130" t="s">
        <v>1187</v>
      </c>
      <c r="E45" s="130" t="str">
        <f t="shared" si="1"/>
        <v>N/A</v>
      </c>
      <c r="F45" s="117" t="str">
        <f t="shared" si="0"/>
        <v>-</v>
      </c>
      <c r="G45" s="31"/>
    </row>
    <row r="46" spans="1:9" s="8" customFormat="1" ht="50" x14ac:dyDescent="0.25">
      <c r="A46" s="129" t="s">
        <v>264</v>
      </c>
      <c r="B46" s="129" t="s">
        <v>265</v>
      </c>
      <c r="C46" s="129" t="s">
        <v>149</v>
      </c>
      <c r="D46" s="130" t="s">
        <v>1187</v>
      </c>
      <c r="E46" s="130" t="str">
        <f t="shared" si="1"/>
        <v>N/A</v>
      </c>
      <c r="F46" s="117" t="str">
        <f t="shared" si="0"/>
        <v>-</v>
      </c>
      <c r="G46" s="31"/>
    </row>
    <row r="47" spans="1:9" s="8" customFormat="1" ht="25" x14ac:dyDescent="0.25">
      <c r="A47" s="129" t="s">
        <v>266</v>
      </c>
      <c r="B47" s="129" t="s">
        <v>267</v>
      </c>
      <c r="C47" s="129" t="s">
        <v>149</v>
      </c>
      <c r="D47" s="130" t="s">
        <v>1187</v>
      </c>
      <c r="E47" s="130" t="str">
        <f t="shared" si="1"/>
        <v>N/A</v>
      </c>
      <c r="F47" s="117" t="str">
        <f t="shared" si="0"/>
        <v>-</v>
      </c>
      <c r="G47" s="31"/>
    </row>
    <row r="48" spans="1:9" s="8" customFormat="1" ht="25" x14ac:dyDescent="0.25">
      <c r="A48" s="129" t="s">
        <v>268</v>
      </c>
      <c r="B48" s="129" t="s">
        <v>269</v>
      </c>
      <c r="C48" s="129" t="s">
        <v>149</v>
      </c>
      <c r="D48" s="130" t="s">
        <v>1187</v>
      </c>
      <c r="E48" s="130" t="str">
        <f t="shared" si="1"/>
        <v>N/A</v>
      </c>
      <c r="F48" s="117" t="str">
        <f t="shared" si="0"/>
        <v>-</v>
      </c>
      <c r="G48" s="31"/>
    </row>
    <row r="49" spans="1:7" s="8" customFormat="1" ht="25" x14ac:dyDescent="0.25">
      <c r="A49" s="129" t="s">
        <v>270</v>
      </c>
      <c r="B49" s="129" t="s">
        <v>271</v>
      </c>
      <c r="C49" s="129" t="s">
        <v>149</v>
      </c>
      <c r="D49" s="130" t="s">
        <v>1187</v>
      </c>
      <c r="E49" s="130" t="str">
        <f t="shared" si="1"/>
        <v>N/A</v>
      </c>
      <c r="F49" s="117" t="str">
        <f t="shared" si="0"/>
        <v>-</v>
      </c>
      <c r="G49" s="31"/>
    </row>
    <row r="50" spans="1:7" s="8" customFormat="1" ht="25" x14ac:dyDescent="0.25">
      <c r="A50" s="129" t="s">
        <v>272</v>
      </c>
      <c r="B50" s="129" t="s">
        <v>273</v>
      </c>
      <c r="C50" s="129" t="s">
        <v>149</v>
      </c>
      <c r="D50" s="130" t="s">
        <v>1187</v>
      </c>
      <c r="E50" s="130" t="str">
        <f t="shared" si="1"/>
        <v>N/A</v>
      </c>
      <c r="F50" s="117" t="str">
        <f t="shared" si="0"/>
        <v>-</v>
      </c>
      <c r="G50" s="31"/>
    </row>
    <row r="51" spans="1:7" s="8" customFormat="1" ht="37.5" x14ac:dyDescent="0.25">
      <c r="A51" s="129" t="s">
        <v>274</v>
      </c>
      <c r="B51" s="129" t="s">
        <v>275</v>
      </c>
      <c r="C51" s="129" t="s">
        <v>149</v>
      </c>
      <c r="D51" s="130" t="s">
        <v>1241</v>
      </c>
      <c r="E51" s="130" t="str">
        <f t="shared" si="1"/>
        <v>N/A</v>
      </c>
      <c r="F51" s="117" t="str">
        <f t="shared" si="0"/>
        <v>-</v>
      </c>
      <c r="G51" s="31"/>
    </row>
    <row r="52" spans="1:7" s="8" customFormat="1" ht="50" x14ac:dyDescent="0.25">
      <c r="A52" s="129" t="s">
        <v>276</v>
      </c>
      <c r="B52" s="129" t="s">
        <v>277</v>
      </c>
      <c r="C52" s="129" t="s">
        <v>146</v>
      </c>
      <c r="D52" s="130"/>
      <c r="E52" s="130" t="str">
        <f t="shared" si="1"/>
        <v>N/A</v>
      </c>
      <c r="F52" s="117" t="str">
        <f t="shared" si="0"/>
        <v>-</v>
      </c>
      <c r="G52" s="31"/>
    </row>
    <row r="53" spans="1:7" s="8" customFormat="1" x14ac:dyDescent="0.25">
      <c r="A53" s="129"/>
      <c r="B53" s="129"/>
      <c r="C53" s="129"/>
      <c r="D53" s="130"/>
      <c r="E53" s="130"/>
      <c r="F53" s="117"/>
      <c r="G53" s="31"/>
    </row>
    <row r="54" spans="1:7" s="8" customFormat="1" ht="13" x14ac:dyDescent="0.25">
      <c r="A54" s="129"/>
      <c r="B54" s="35" t="s">
        <v>278</v>
      </c>
      <c r="C54" s="129"/>
      <c r="D54" s="130"/>
      <c r="E54" s="130"/>
      <c r="F54" s="117"/>
      <c r="G54" s="31"/>
    </row>
    <row r="55" spans="1:7" s="8" customFormat="1" ht="56.9" customHeight="1" x14ac:dyDescent="0.25">
      <c r="A55" s="129" t="s">
        <v>279</v>
      </c>
      <c r="B55" s="129" t="s">
        <v>280</v>
      </c>
      <c r="C55" s="129" t="s">
        <v>149</v>
      </c>
      <c r="D55" s="130">
        <v>30</v>
      </c>
      <c r="E55" s="130">
        <v>150</v>
      </c>
      <c r="F55" s="117">
        <f t="shared" si="0"/>
        <v>4500</v>
      </c>
      <c r="G55" s="31"/>
    </row>
    <row r="56" spans="1:7" s="8" customFormat="1" ht="25" x14ac:dyDescent="0.25">
      <c r="A56" s="129" t="s">
        <v>281</v>
      </c>
      <c r="B56" s="129" t="s">
        <v>282</v>
      </c>
      <c r="C56" s="129" t="s">
        <v>149</v>
      </c>
      <c r="D56" s="130" t="s">
        <v>1187</v>
      </c>
      <c r="E56" s="130" t="str">
        <f t="shared" si="1"/>
        <v>N/A</v>
      </c>
      <c r="F56" s="117" t="str">
        <f>IFERROR(IF(ISNUMBER(D56),D56*E55,"-"),"")</f>
        <v>-</v>
      </c>
      <c r="G56" s="31"/>
    </row>
    <row r="57" spans="1:7" s="8" customFormat="1" ht="25" x14ac:dyDescent="0.25">
      <c r="A57" s="129" t="s">
        <v>283</v>
      </c>
      <c r="B57" s="129" t="s">
        <v>284</v>
      </c>
      <c r="C57" s="129" t="s">
        <v>149</v>
      </c>
      <c r="D57" s="130" t="s">
        <v>1187</v>
      </c>
      <c r="E57" s="130" t="str">
        <f t="shared" si="1"/>
        <v>N/A</v>
      </c>
      <c r="F57" s="117" t="str">
        <f t="shared" si="0"/>
        <v>-</v>
      </c>
      <c r="G57" s="31"/>
    </row>
    <row r="58" spans="1:7" s="8" customFormat="1" ht="25" x14ac:dyDescent="0.25">
      <c r="A58" s="129" t="s">
        <v>285</v>
      </c>
      <c r="B58" s="129" t="s">
        <v>286</v>
      </c>
      <c r="C58" s="129" t="s">
        <v>149</v>
      </c>
      <c r="D58" s="130" t="s">
        <v>1187</v>
      </c>
      <c r="E58" s="130" t="str">
        <f t="shared" si="1"/>
        <v>N/A</v>
      </c>
      <c r="F58" s="117" t="str">
        <f t="shared" si="0"/>
        <v>-</v>
      </c>
      <c r="G58" s="31"/>
    </row>
    <row r="59" spans="1:7" s="8" customFormat="1" ht="25" x14ac:dyDescent="0.25">
      <c r="A59" s="129" t="s">
        <v>287</v>
      </c>
      <c r="B59" s="129" t="s">
        <v>288</v>
      </c>
      <c r="C59" s="129" t="s">
        <v>149</v>
      </c>
      <c r="D59" s="130" t="s">
        <v>1187</v>
      </c>
      <c r="E59" s="130" t="str">
        <f t="shared" si="1"/>
        <v>N/A</v>
      </c>
      <c r="F59" s="117" t="str">
        <f t="shared" si="0"/>
        <v>-</v>
      </c>
      <c r="G59" s="31"/>
    </row>
    <row r="60" spans="1:7" s="8" customFormat="1" ht="25" x14ac:dyDescent="0.25">
      <c r="A60" s="129" t="s">
        <v>289</v>
      </c>
      <c r="B60" s="129" t="s">
        <v>290</v>
      </c>
      <c r="C60" s="129" t="s">
        <v>149</v>
      </c>
      <c r="D60" s="130" t="s">
        <v>1187</v>
      </c>
      <c r="E60" s="130" t="str">
        <f t="shared" si="1"/>
        <v>N/A</v>
      </c>
      <c r="F60" s="117" t="str">
        <f t="shared" si="0"/>
        <v>-</v>
      </c>
      <c r="G60" s="31"/>
    </row>
    <row r="61" spans="1:7" s="8" customFormat="1" ht="25" x14ac:dyDescent="0.25">
      <c r="A61" s="129" t="s">
        <v>291</v>
      </c>
      <c r="B61" s="129" t="s">
        <v>292</v>
      </c>
      <c r="C61" s="129" t="s">
        <v>149</v>
      </c>
      <c r="D61" s="130" t="s">
        <v>1187</v>
      </c>
      <c r="E61" s="130" t="str">
        <f t="shared" ref="E61" si="2">IF(ISNUMBER(D61),"","N/A")</f>
        <v>N/A</v>
      </c>
      <c r="F61" s="117" t="str">
        <f t="shared" si="0"/>
        <v>-</v>
      </c>
      <c r="G61" s="31"/>
    </row>
    <row r="62" spans="1:7" s="8" customFormat="1" ht="54" customHeight="1" x14ac:dyDescent="0.25">
      <c r="A62" s="129" t="s">
        <v>293</v>
      </c>
      <c r="B62" s="129" t="s">
        <v>294</v>
      </c>
      <c r="C62" s="129" t="s">
        <v>149</v>
      </c>
      <c r="D62" s="130">
        <v>30</v>
      </c>
      <c r="E62" s="130">
        <v>100</v>
      </c>
      <c r="F62" s="117">
        <f t="shared" si="0"/>
        <v>3000</v>
      </c>
      <c r="G62" s="31"/>
    </row>
    <row r="63" spans="1:7" s="8" customFormat="1" ht="25" x14ac:dyDescent="0.25">
      <c r="A63" s="129" t="s">
        <v>295</v>
      </c>
      <c r="B63" s="129" t="s">
        <v>296</v>
      </c>
      <c r="C63" s="129" t="s">
        <v>149</v>
      </c>
      <c r="D63" s="130">
        <v>258</v>
      </c>
      <c r="E63" s="130">
        <v>100</v>
      </c>
      <c r="F63" s="117">
        <f t="shared" si="0"/>
        <v>25800</v>
      </c>
      <c r="G63" s="31"/>
    </row>
    <row r="64" spans="1:7" s="8" customFormat="1" ht="25" x14ac:dyDescent="0.25">
      <c r="A64" s="129" t="s">
        <v>297</v>
      </c>
      <c r="B64" s="129" t="s">
        <v>298</v>
      </c>
      <c r="C64" s="129" t="s">
        <v>149</v>
      </c>
      <c r="D64" s="130">
        <v>155</v>
      </c>
      <c r="E64" s="130">
        <v>150</v>
      </c>
      <c r="F64" s="117">
        <f t="shared" si="0"/>
        <v>23250</v>
      </c>
      <c r="G64" s="31"/>
    </row>
    <row r="65" spans="1:7" s="8" customFormat="1" ht="25" x14ac:dyDescent="0.25">
      <c r="A65" s="129" t="s">
        <v>299</v>
      </c>
      <c r="B65" s="129" t="s">
        <v>300</v>
      </c>
      <c r="C65" s="129" t="s">
        <v>149</v>
      </c>
      <c r="D65" s="130" t="s">
        <v>1187</v>
      </c>
      <c r="E65" s="130" t="str">
        <f t="shared" ref="E65" si="3">IF(ISNUMBER(D65),"","N/A")</f>
        <v>N/A</v>
      </c>
      <c r="F65" s="117" t="str">
        <f t="shared" si="0"/>
        <v>-</v>
      </c>
      <c r="G65" s="31"/>
    </row>
    <row r="66" spans="1:7" s="8" customFormat="1" ht="25" x14ac:dyDescent="0.25">
      <c r="A66" s="129" t="s">
        <v>301</v>
      </c>
      <c r="B66" s="129" t="s">
        <v>302</v>
      </c>
      <c r="C66" s="129" t="s">
        <v>149</v>
      </c>
      <c r="D66" s="130" t="s">
        <v>1187</v>
      </c>
      <c r="E66" s="130" t="str">
        <f t="shared" si="1"/>
        <v>N/A</v>
      </c>
      <c r="F66" s="117" t="str">
        <f t="shared" si="0"/>
        <v>-</v>
      </c>
      <c r="G66" s="31"/>
    </row>
    <row r="67" spans="1:7" s="8" customFormat="1" ht="25" x14ac:dyDescent="0.25">
      <c r="A67" s="129" t="s">
        <v>303</v>
      </c>
      <c r="B67" s="129" t="s">
        <v>304</v>
      </c>
      <c r="C67" s="129" t="s">
        <v>149</v>
      </c>
      <c r="D67" s="130" t="s">
        <v>1187</v>
      </c>
      <c r="E67" s="130" t="str">
        <f t="shared" si="1"/>
        <v>N/A</v>
      </c>
      <c r="F67" s="117" t="str">
        <f t="shared" si="0"/>
        <v>-</v>
      </c>
      <c r="G67" s="31"/>
    </row>
    <row r="68" spans="1:7" s="8" customFormat="1" ht="37.5" x14ac:dyDescent="0.25">
      <c r="A68" s="129" t="s">
        <v>305</v>
      </c>
      <c r="B68" s="129" t="s">
        <v>306</v>
      </c>
      <c r="C68" s="129" t="s">
        <v>149</v>
      </c>
      <c r="D68" s="130" t="s">
        <v>1241</v>
      </c>
      <c r="E68" s="130" t="str">
        <f t="shared" si="1"/>
        <v>N/A</v>
      </c>
      <c r="F68" s="117" t="str">
        <f t="shared" si="0"/>
        <v>-</v>
      </c>
      <c r="G68" s="31"/>
    </row>
    <row r="69" spans="1:7" s="8" customFormat="1" ht="50" x14ac:dyDescent="0.25">
      <c r="A69" s="129" t="s">
        <v>307</v>
      </c>
      <c r="B69" s="129" t="s">
        <v>308</v>
      </c>
      <c r="C69" s="129" t="s">
        <v>146</v>
      </c>
      <c r="D69" s="130" t="s">
        <v>1187</v>
      </c>
      <c r="E69" s="130" t="str">
        <f t="shared" si="1"/>
        <v>N/A</v>
      </c>
      <c r="F69" s="117" t="str">
        <f t="shared" si="0"/>
        <v>-</v>
      </c>
      <c r="G69" s="31"/>
    </row>
    <row r="70" spans="1:7" s="8" customFormat="1" x14ac:dyDescent="0.25">
      <c r="A70" s="129" t="s">
        <v>309</v>
      </c>
      <c r="B70" s="129" t="s">
        <v>310</v>
      </c>
      <c r="C70" s="129" t="s">
        <v>54</v>
      </c>
      <c r="D70" s="130"/>
      <c r="E70" s="130" t="str">
        <f t="shared" si="1"/>
        <v>N/A</v>
      </c>
      <c r="F70" s="117" t="str">
        <f t="shared" ref="F70:F117" si="4">IFERROR(IF(ISNUMBER(D70),D70*E70,"-"),"")</f>
        <v>-</v>
      </c>
      <c r="G70" s="31"/>
    </row>
    <row r="71" spans="1:7" s="8" customFormat="1" x14ac:dyDescent="0.25">
      <c r="A71" s="129"/>
      <c r="B71" s="129"/>
      <c r="C71" s="129"/>
      <c r="D71" s="130"/>
      <c r="E71" s="130"/>
      <c r="F71" s="117" t="str">
        <f t="shared" si="4"/>
        <v>-</v>
      </c>
      <c r="G71" s="31"/>
    </row>
    <row r="72" spans="1:7" s="8" customFormat="1" ht="26" x14ac:dyDescent="0.25">
      <c r="A72" s="129"/>
      <c r="B72" s="35" t="s">
        <v>311</v>
      </c>
      <c r="C72" s="129"/>
      <c r="D72" s="130" t="s">
        <v>1187</v>
      </c>
      <c r="E72" s="130"/>
      <c r="F72" s="117" t="str">
        <f t="shared" si="4"/>
        <v>-</v>
      </c>
      <c r="G72" s="31"/>
    </row>
    <row r="73" spans="1:7" s="8" customFormat="1" ht="37.5" x14ac:dyDescent="0.25">
      <c r="A73" s="129" t="s">
        <v>312</v>
      </c>
      <c r="B73" s="129" t="s">
        <v>313</v>
      </c>
      <c r="C73" s="129" t="s">
        <v>54</v>
      </c>
      <c r="D73" s="130" t="s">
        <v>1187</v>
      </c>
      <c r="E73" s="130" t="str">
        <f t="shared" si="1"/>
        <v>N/A</v>
      </c>
      <c r="F73" s="117" t="str">
        <f t="shared" si="4"/>
        <v>-</v>
      </c>
      <c r="G73" s="31"/>
    </row>
    <row r="74" spans="1:7" s="8" customFormat="1" ht="25" x14ac:dyDescent="0.25">
      <c r="A74" s="129" t="s">
        <v>314</v>
      </c>
      <c r="B74" s="129" t="s">
        <v>315</v>
      </c>
      <c r="C74" s="129" t="s">
        <v>54</v>
      </c>
      <c r="D74" s="130" t="s">
        <v>1187</v>
      </c>
      <c r="E74" s="130" t="str">
        <f t="shared" si="1"/>
        <v>N/A</v>
      </c>
      <c r="F74" s="117" t="str">
        <f t="shared" si="4"/>
        <v>-</v>
      </c>
      <c r="G74" s="31"/>
    </row>
    <row r="75" spans="1:7" s="8" customFormat="1" ht="37.5" x14ac:dyDescent="0.25">
      <c r="A75" s="129" t="s">
        <v>316</v>
      </c>
      <c r="B75" s="129" t="s">
        <v>317</v>
      </c>
      <c r="C75" s="129" t="s">
        <v>149</v>
      </c>
      <c r="D75" s="130" t="s">
        <v>1187</v>
      </c>
      <c r="E75" s="130" t="str">
        <f t="shared" si="1"/>
        <v>N/A</v>
      </c>
      <c r="F75" s="117" t="str">
        <f t="shared" si="4"/>
        <v>-</v>
      </c>
      <c r="G75" s="31"/>
    </row>
    <row r="76" spans="1:7" s="8" customFormat="1" ht="25" x14ac:dyDescent="0.25">
      <c r="A76" s="129" t="s">
        <v>318</v>
      </c>
      <c r="B76" s="129" t="s">
        <v>319</v>
      </c>
      <c r="C76" s="129" t="s">
        <v>149</v>
      </c>
      <c r="D76" s="130" t="s">
        <v>1187</v>
      </c>
      <c r="E76" s="130" t="str">
        <f t="shared" si="1"/>
        <v>N/A</v>
      </c>
      <c r="F76" s="117" t="str">
        <f t="shared" si="4"/>
        <v>-</v>
      </c>
      <c r="G76" s="31"/>
    </row>
    <row r="77" spans="1:7" s="8" customFormat="1" ht="25" x14ac:dyDescent="0.25">
      <c r="A77" s="129" t="s">
        <v>320</v>
      </c>
      <c r="B77" s="129" t="s">
        <v>321</v>
      </c>
      <c r="C77" s="129" t="s">
        <v>149</v>
      </c>
      <c r="D77" s="130" t="s">
        <v>1187</v>
      </c>
      <c r="E77" s="130" t="str">
        <f t="shared" si="1"/>
        <v>N/A</v>
      </c>
      <c r="F77" s="117" t="str">
        <f t="shared" si="4"/>
        <v>-</v>
      </c>
      <c r="G77" s="31"/>
    </row>
    <row r="78" spans="1:7" s="8" customFormat="1" ht="25" x14ac:dyDescent="0.25">
      <c r="A78" s="129" t="s">
        <v>322</v>
      </c>
      <c r="B78" s="129" t="s">
        <v>323</v>
      </c>
      <c r="C78" s="129" t="s">
        <v>149</v>
      </c>
      <c r="D78" s="130" t="s">
        <v>1187</v>
      </c>
      <c r="E78" s="130" t="str">
        <f t="shared" ref="E78:E117" si="5">IF(ISNUMBER(D78),"","N/A")</f>
        <v>N/A</v>
      </c>
      <c r="F78" s="117" t="str">
        <f t="shared" si="4"/>
        <v>-</v>
      </c>
      <c r="G78" s="31"/>
    </row>
    <row r="79" spans="1:7" s="8" customFormat="1" ht="25" x14ac:dyDescent="0.25">
      <c r="A79" s="129" t="s">
        <v>324</v>
      </c>
      <c r="B79" s="129" t="s">
        <v>325</v>
      </c>
      <c r="C79" s="129" t="s">
        <v>149</v>
      </c>
      <c r="D79" s="130" t="s">
        <v>1187</v>
      </c>
      <c r="E79" s="130" t="str">
        <f t="shared" si="5"/>
        <v>N/A</v>
      </c>
      <c r="F79" s="117" t="str">
        <f t="shared" si="4"/>
        <v>-</v>
      </c>
      <c r="G79" s="31"/>
    </row>
    <row r="80" spans="1:7" s="8" customFormat="1" ht="37.5" x14ac:dyDescent="0.25">
      <c r="A80" s="129" t="s">
        <v>326</v>
      </c>
      <c r="B80" s="129" t="s">
        <v>1317</v>
      </c>
      <c r="C80" s="129" t="s">
        <v>160</v>
      </c>
      <c r="D80" s="130" t="s">
        <v>1187</v>
      </c>
      <c r="E80" s="130" t="str">
        <f t="shared" si="5"/>
        <v>N/A</v>
      </c>
      <c r="F80" s="117" t="str">
        <f t="shared" si="4"/>
        <v>-</v>
      </c>
      <c r="G80" s="31"/>
    </row>
    <row r="81" spans="1:7" s="8" customFormat="1" ht="53.15" customHeight="1" x14ac:dyDescent="0.25">
      <c r="A81" s="129" t="s">
        <v>327</v>
      </c>
      <c r="B81" s="129" t="s">
        <v>328</v>
      </c>
      <c r="C81" s="129" t="s">
        <v>149</v>
      </c>
      <c r="D81" s="130" t="s">
        <v>1187</v>
      </c>
      <c r="E81" s="130" t="str">
        <f t="shared" si="5"/>
        <v>N/A</v>
      </c>
      <c r="F81" s="117" t="str">
        <f t="shared" si="4"/>
        <v>-</v>
      </c>
      <c r="G81" s="31"/>
    </row>
    <row r="82" spans="1:7" s="8" customFormat="1" ht="19.5" customHeight="1" x14ac:dyDescent="0.25">
      <c r="A82" s="129"/>
      <c r="B82" s="129"/>
      <c r="C82" s="129"/>
      <c r="D82" s="130"/>
      <c r="E82" s="130"/>
      <c r="F82" s="117" t="str">
        <f t="shared" si="4"/>
        <v>-</v>
      </c>
      <c r="G82" s="31"/>
    </row>
    <row r="83" spans="1:7" s="8" customFormat="1" ht="13" x14ac:dyDescent="0.25">
      <c r="A83" s="129"/>
      <c r="B83" s="35" t="s">
        <v>329</v>
      </c>
      <c r="C83" s="129"/>
      <c r="E83" s="130"/>
      <c r="F83" s="117">
        <f>IFERROR(IF(ISNUMBER(D84),D84*E83,"-"),"")</f>
        <v>0</v>
      </c>
      <c r="G83" s="31"/>
    </row>
    <row r="84" spans="1:7" s="8" customFormat="1" ht="50" x14ac:dyDescent="0.25">
      <c r="A84" s="129" t="s">
        <v>330</v>
      </c>
      <c r="B84" s="129" t="s">
        <v>331</v>
      </c>
      <c r="C84" s="129" t="s">
        <v>54</v>
      </c>
      <c r="D84" s="130">
        <v>21</v>
      </c>
      <c r="E84" s="130">
        <v>600</v>
      </c>
      <c r="F84" s="117">
        <f>IFERROR(IF(ISNUMBER(D84),D84*E84,"-"),"")</f>
        <v>12600</v>
      </c>
      <c r="G84" s="31"/>
    </row>
    <row r="85" spans="1:7" s="8" customFormat="1" ht="75" x14ac:dyDescent="0.25">
      <c r="A85" s="129" t="s">
        <v>332</v>
      </c>
      <c r="B85" s="129" t="s">
        <v>333</v>
      </c>
      <c r="C85" s="129" t="s">
        <v>54</v>
      </c>
      <c r="D85" s="130" t="s">
        <v>1187</v>
      </c>
      <c r="E85" s="130" t="str">
        <f t="shared" ref="E85" si="6">IF(ISNUMBER(D85),"","N/A")</f>
        <v>N/A</v>
      </c>
      <c r="F85" s="117" t="str">
        <f t="shared" ref="F85:F93" si="7">IFERROR(IF(ISNUMBER(D85),D85*E85,"-"),"")</f>
        <v>-</v>
      </c>
      <c r="G85" s="31"/>
    </row>
    <row r="86" spans="1:7" s="8" customFormat="1" ht="62.5" x14ac:dyDescent="0.25">
      <c r="A86" s="129" t="s">
        <v>334</v>
      </c>
      <c r="B86" s="129" t="s">
        <v>335</v>
      </c>
      <c r="C86" s="129" t="s">
        <v>54</v>
      </c>
      <c r="D86" s="130">
        <v>21</v>
      </c>
      <c r="E86" s="189">
        <v>100</v>
      </c>
      <c r="F86" s="117">
        <f>IFERROR(IF(ISNUMBER(D86),D86*E86,"-"),"")</f>
        <v>2100</v>
      </c>
      <c r="G86" s="31"/>
    </row>
    <row r="87" spans="1:7" s="8" customFormat="1" ht="25" x14ac:dyDescent="0.25">
      <c r="A87" s="129" t="s">
        <v>336</v>
      </c>
      <c r="B87" s="129" t="s">
        <v>337</v>
      </c>
      <c r="C87" s="129" t="s">
        <v>11</v>
      </c>
      <c r="E87" s="189"/>
      <c r="F87" s="117"/>
      <c r="G87" s="31"/>
    </row>
    <row r="88" spans="1:7" s="8" customFormat="1" ht="39" customHeight="1" x14ac:dyDescent="0.25">
      <c r="A88" s="129" t="s">
        <v>338</v>
      </c>
      <c r="B88" s="129" t="s">
        <v>339</v>
      </c>
      <c r="C88" s="129" t="s">
        <v>146</v>
      </c>
      <c r="D88" s="118">
        <v>1</v>
      </c>
      <c r="E88" s="130">
        <v>100</v>
      </c>
      <c r="F88" s="117">
        <f t="shared" si="7"/>
        <v>100</v>
      </c>
      <c r="G88" s="31"/>
    </row>
    <row r="89" spans="1:7" s="8" customFormat="1" ht="37.5" x14ac:dyDescent="0.25">
      <c r="A89" s="129" t="s">
        <v>340</v>
      </c>
      <c r="B89" s="129" t="s">
        <v>1318</v>
      </c>
      <c r="C89" s="129" t="s">
        <v>160</v>
      </c>
      <c r="D89" s="130">
        <v>21</v>
      </c>
      <c r="E89" s="130">
        <v>150</v>
      </c>
      <c r="F89" s="117">
        <f t="shared" si="7"/>
        <v>3150</v>
      </c>
      <c r="G89" s="31"/>
    </row>
    <row r="90" spans="1:7" s="8" customFormat="1" x14ac:dyDescent="0.25">
      <c r="A90" s="129"/>
      <c r="B90" s="129"/>
      <c r="C90" s="129"/>
      <c r="D90" s="130"/>
      <c r="E90" s="130"/>
      <c r="F90" s="117" t="str">
        <f>IFERROR(IF(ISNUMBER(D90),D90*E90,"-"),"")</f>
        <v>-</v>
      </c>
      <c r="G90" s="31"/>
    </row>
    <row r="91" spans="1:7" s="8" customFormat="1" ht="26" x14ac:dyDescent="0.25">
      <c r="A91" s="129"/>
      <c r="B91" s="35" t="s">
        <v>341</v>
      </c>
      <c r="C91" s="129"/>
      <c r="E91" s="130" t="str">
        <f>IF(ISNUMBER(D92),"","N/A")</f>
        <v/>
      </c>
      <c r="F91" s="117" t="str">
        <f t="shared" si="7"/>
        <v>-</v>
      </c>
      <c r="G91" s="31"/>
    </row>
    <row r="92" spans="1:7" s="8" customFormat="1" ht="37.5" x14ac:dyDescent="0.25">
      <c r="A92" s="129" t="s">
        <v>342</v>
      </c>
      <c r="B92" s="129" t="s">
        <v>343</v>
      </c>
      <c r="C92" s="129" t="s">
        <v>149</v>
      </c>
      <c r="D92" s="130">
        <v>32</v>
      </c>
      <c r="E92" s="130">
        <v>150</v>
      </c>
      <c r="F92" s="117">
        <f>IFERROR(IF(ISNUMBER(D92),D92*E92,"-"),"")</f>
        <v>4800</v>
      </c>
      <c r="G92" s="31"/>
    </row>
    <row r="93" spans="1:7" s="8" customFormat="1" ht="50" x14ac:dyDescent="0.25">
      <c r="A93" s="129" t="s">
        <v>344</v>
      </c>
      <c r="B93" s="129" t="s">
        <v>345</v>
      </c>
      <c r="C93" s="129" t="s">
        <v>149</v>
      </c>
      <c r="D93" s="130">
        <v>164</v>
      </c>
      <c r="E93" s="130">
        <v>150</v>
      </c>
      <c r="F93" s="117">
        <f t="shared" ref="F93:F118" si="8">IFERROR(IF(ISNUMBER(D93),D93*E93,"-"),"")</f>
        <v>24600</v>
      </c>
      <c r="G93" s="31"/>
    </row>
    <row r="94" spans="1:7" s="8" customFormat="1" ht="25" x14ac:dyDescent="0.25">
      <c r="A94" s="129" t="s">
        <v>346</v>
      </c>
      <c r="B94" s="129" t="s">
        <v>347</v>
      </c>
      <c r="C94" s="129" t="s">
        <v>149</v>
      </c>
      <c r="D94" s="130">
        <v>103</v>
      </c>
      <c r="E94" s="130">
        <v>160</v>
      </c>
      <c r="F94" s="117">
        <f t="shared" si="8"/>
        <v>16480</v>
      </c>
      <c r="G94" s="31"/>
    </row>
    <row r="95" spans="1:7" s="8" customFormat="1" ht="25" x14ac:dyDescent="0.25">
      <c r="A95" s="129" t="s">
        <v>348</v>
      </c>
      <c r="B95" s="129" t="s">
        <v>349</v>
      </c>
      <c r="C95" s="129" t="s">
        <v>149</v>
      </c>
      <c r="D95" s="130" t="s">
        <v>1187</v>
      </c>
      <c r="E95" s="130">
        <v>170</v>
      </c>
      <c r="F95" s="117" t="str">
        <f t="shared" si="8"/>
        <v>-</v>
      </c>
      <c r="G95" s="31"/>
    </row>
    <row r="96" spans="1:7" s="8" customFormat="1" ht="25" x14ac:dyDescent="0.25">
      <c r="A96" s="129" t="s">
        <v>350</v>
      </c>
      <c r="B96" s="129" t="s">
        <v>351</v>
      </c>
      <c r="C96" s="129" t="s">
        <v>149</v>
      </c>
      <c r="D96" s="130" t="s">
        <v>1187</v>
      </c>
      <c r="E96" s="130">
        <v>180</v>
      </c>
      <c r="F96" s="117" t="str">
        <f t="shared" si="8"/>
        <v>-</v>
      </c>
      <c r="G96" s="31"/>
    </row>
    <row r="97" spans="1:7" s="8" customFormat="1" ht="25" x14ac:dyDescent="0.25">
      <c r="A97" s="129" t="s">
        <v>352</v>
      </c>
      <c r="B97" s="129" t="s">
        <v>353</v>
      </c>
      <c r="C97" s="129" t="s">
        <v>149</v>
      </c>
      <c r="D97" s="130" t="s">
        <v>1187</v>
      </c>
      <c r="E97" s="130" t="str">
        <f>IF(ISNUMBER(D98),"","N/A")</f>
        <v/>
      </c>
      <c r="F97" s="117" t="str">
        <f t="shared" si="8"/>
        <v>-</v>
      </c>
      <c r="G97" s="31"/>
    </row>
    <row r="98" spans="1:7" s="8" customFormat="1" ht="50" x14ac:dyDescent="0.25">
      <c r="A98" s="129" t="s">
        <v>354</v>
      </c>
      <c r="B98" s="129" t="s">
        <v>355</v>
      </c>
      <c r="C98" s="129" t="s">
        <v>149</v>
      </c>
      <c r="D98" s="130">
        <v>14</v>
      </c>
      <c r="E98" s="130">
        <v>160</v>
      </c>
      <c r="F98" s="117">
        <f t="shared" si="8"/>
        <v>2240</v>
      </c>
      <c r="G98" s="31"/>
    </row>
    <row r="99" spans="1:7" s="8" customFormat="1" ht="25" x14ac:dyDescent="0.25">
      <c r="A99" s="129" t="s">
        <v>356</v>
      </c>
      <c r="B99" s="129" t="s">
        <v>357</v>
      </c>
      <c r="C99" s="129" t="s">
        <v>149</v>
      </c>
      <c r="D99" s="130">
        <v>97</v>
      </c>
      <c r="E99" s="130">
        <v>170</v>
      </c>
      <c r="F99" s="117">
        <f t="shared" si="8"/>
        <v>16490</v>
      </c>
      <c r="G99" s="31"/>
    </row>
    <row r="100" spans="1:7" s="8" customFormat="1" ht="25" x14ac:dyDescent="0.25">
      <c r="A100" s="129" t="s">
        <v>358</v>
      </c>
      <c r="B100" s="129" t="s">
        <v>349</v>
      </c>
      <c r="C100" s="129" t="s">
        <v>149</v>
      </c>
      <c r="D100" s="130">
        <v>190</v>
      </c>
      <c r="E100" s="130">
        <v>180</v>
      </c>
      <c r="F100" s="117">
        <f t="shared" si="8"/>
        <v>34200</v>
      </c>
      <c r="G100" s="31"/>
    </row>
    <row r="101" spans="1:7" s="8" customFormat="1" ht="25" x14ac:dyDescent="0.25">
      <c r="A101" s="129" t="s">
        <v>359</v>
      </c>
      <c r="B101" s="129" t="s">
        <v>351</v>
      </c>
      <c r="C101" s="129" t="s">
        <v>149</v>
      </c>
      <c r="D101" s="130" t="s">
        <v>1187</v>
      </c>
      <c r="E101" s="130">
        <v>190</v>
      </c>
      <c r="F101" s="117" t="str">
        <f t="shared" si="8"/>
        <v>-</v>
      </c>
      <c r="G101" s="31"/>
    </row>
    <row r="102" spans="1:7" s="8" customFormat="1" ht="25" x14ac:dyDescent="0.25">
      <c r="A102" s="129" t="s">
        <v>360</v>
      </c>
      <c r="B102" s="129" t="s">
        <v>353</v>
      </c>
      <c r="C102" s="129" t="s">
        <v>149</v>
      </c>
      <c r="D102" s="130" t="s">
        <v>1187</v>
      </c>
      <c r="E102" s="130" t="str">
        <f t="shared" si="5"/>
        <v>N/A</v>
      </c>
      <c r="F102" s="117" t="str">
        <f t="shared" si="8"/>
        <v>-</v>
      </c>
      <c r="G102" s="31"/>
    </row>
    <row r="103" spans="1:7" s="8" customFormat="1" ht="37.5" x14ac:dyDescent="0.25">
      <c r="A103" s="129" t="s">
        <v>361</v>
      </c>
      <c r="B103" s="129" t="s">
        <v>362</v>
      </c>
      <c r="C103" s="129" t="s">
        <v>149</v>
      </c>
      <c r="D103" s="130" t="s">
        <v>1187</v>
      </c>
      <c r="E103" s="130" t="str">
        <f t="shared" si="5"/>
        <v>N/A</v>
      </c>
      <c r="F103" s="117" t="str">
        <f t="shared" si="8"/>
        <v>-</v>
      </c>
      <c r="G103" s="31"/>
    </row>
    <row r="104" spans="1:7" s="8" customFormat="1" x14ac:dyDescent="0.25">
      <c r="A104" s="129"/>
      <c r="B104" s="129"/>
      <c r="C104" s="129"/>
      <c r="D104" s="130"/>
      <c r="E104" s="130"/>
      <c r="F104" s="117" t="str">
        <f t="shared" si="8"/>
        <v>-</v>
      </c>
      <c r="G104" s="31"/>
    </row>
    <row r="105" spans="1:7" s="8" customFormat="1" ht="26" x14ac:dyDescent="0.25">
      <c r="A105" s="129"/>
      <c r="B105" s="35" t="s">
        <v>363</v>
      </c>
      <c r="C105" s="129"/>
      <c r="E105" s="130"/>
      <c r="F105" s="117" t="str">
        <f>IFERROR(IF(ISNUMBER(D106),D106*E105,"-"),"")</f>
        <v>-</v>
      </c>
      <c r="G105" s="31"/>
    </row>
    <row r="106" spans="1:7" s="8" customFormat="1" ht="50" x14ac:dyDescent="0.25">
      <c r="A106" s="129" t="s">
        <v>364</v>
      </c>
      <c r="B106" s="129" t="s">
        <v>365</v>
      </c>
      <c r="C106" s="129" t="s">
        <v>165</v>
      </c>
      <c r="D106" s="118" t="s">
        <v>1187</v>
      </c>
      <c r="E106" s="130">
        <v>50</v>
      </c>
      <c r="F106" s="117" t="str">
        <f>IFERROR(IF(ISNUMBER(D107),D107*E106,"-"),"")</f>
        <v>-</v>
      </c>
      <c r="G106" s="31"/>
    </row>
    <row r="107" spans="1:7" s="8" customFormat="1" ht="25" x14ac:dyDescent="0.25">
      <c r="A107" s="129" t="s">
        <v>366</v>
      </c>
      <c r="B107" s="129" t="s">
        <v>367</v>
      </c>
      <c r="C107" s="129" t="s">
        <v>149</v>
      </c>
      <c r="D107" s="130" t="s">
        <v>1187</v>
      </c>
      <c r="E107" s="130">
        <v>8</v>
      </c>
      <c r="F107" s="117">
        <f>IFERROR(IF(ISNUMBER(D108),D108*E107,"-"),"")</f>
        <v>1200</v>
      </c>
      <c r="G107" s="31"/>
    </row>
    <row r="108" spans="1:7" s="8" customFormat="1" ht="25" x14ac:dyDescent="0.25">
      <c r="A108" s="129" t="s">
        <v>368</v>
      </c>
      <c r="B108" s="129" t="s">
        <v>369</v>
      </c>
      <c r="C108" s="129" t="s">
        <v>54</v>
      </c>
      <c r="D108" s="130">
        <v>150</v>
      </c>
      <c r="E108" s="130">
        <v>20</v>
      </c>
      <c r="F108" s="117">
        <f>IFERROR(IF(ISNUMBER(D108),D108*E108,"-"),"")</f>
        <v>3000</v>
      </c>
      <c r="G108" s="31"/>
    </row>
    <row r="109" spans="1:7" s="8" customFormat="1" ht="62.5" x14ac:dyDescent="0.25">
      <c r="A109" s="129" t="s">
        <v>370</v>
      </c>
      <c r="B109" s="129" t="s">
        <v>371</v>
      </c>
      <c r="C109" s="129" t="s">
        <v>165</v>
      </c>
      <c r="D109" s="118" t="s">
        <v>1187</v>
      </c>
      <c r="E109" s="130" t="str">
        <f t="shared" si="5"/>
        <v>N/A</v>
      </c>
      <c r="F109" s="117">
        <f>IFERROR(IF(ISNUMBER(D110),D110*E110,"-"),"")</f>
        <v>150</v>
      </c>
      <c r="G109" s="31"/>
    </row>
    <row r="110" spans="1:7" s="8" customFormat="1" ht="75" x14ac:dyDescent="0.25">
      <c r="A110" s="129" t="s">
        <v>372</v>
      </c>
      <c r="B110" s="129" t="s">
        <v>373</v>
      </c>
      <c r="C110" s="129" t="s">
        <v>165</v>
      </c>
      <c r="D110" s="118">
        <v>3</v>
      </c>
      <c r="E110" s="130">
        <v>50</v>
      </c>
      <c r="F110" s="117">
        <f>IFERROR(IF(ISNUMBER(D110),D110*E110,"-"),"")</f>
        <v>150</v>
      </c>
      <c r="G110" s="31"/>
    </row>
    <row r="111" spans="1:7" s="8" customFormat="1" x14ac:dyDescent="0.25">
      <c r="A111" s="129"/>
      <c r="B111" s="129"/>
      <c r="C111" s="129"/>
      <c r="D111" s="130"/>
      <c r="E111" s="130"/>
      <c r="F111" s="117" t="str">
        <f t="shared" si="8"/>
        <v>-</v>
      </c>
      <c r="G111" s="31"/>
    </row>
    <row r="112" spans="1:7" s="8" customFormat="1" ht="13" x14ac:dyDescent="0.25">
      <c r="A112" s="129"/>
      <c r="B112" s="35" t="s">
        <v>374</v>
      </c>
      <c r="C112" s="129"/>
      <c r="E112" s="130"/>
      <c r="F112" s="117" t="str">
        <f>IFERROR(IF(ISNUMBER(D113),D113*E112,"-"),"")</f>
        <v>-</v>
      </c>
      <c r="G112" s="31"/>
    </row>
    <row r="113" spans="1:9" s="8" customFormat="1" ht="37.5" x14ac:dyDescent="0.25">
      <c r="A113" s="129" t="s">
        <v>375</v>
      </c>
      <c r="B113" s="129" t="s">
        <v>186</v>
      </c>
      <c r="C113" s="129" t="s">
        <v>187</v>
      </c>
      <c r="D113" s="130" t="s">
        <v>1241</v>
      </c>
      <c r="E113" s="130" t="str">
        <f>IF(ISNUMBER(D114),"","N/A")</f>
        <v>N/A</v>
      </c>
      <c r="F113" s="117" t="str">
        <f>IFERROR(IF(ISNUMBER(D114),D114*E113,"-"),"")</f>
        <v>-</v>
      </c>
      <c r="G113" s="31"/>
    </row>
    <row r="114" spans="1:9" s="8" customFormat="1" ht="25" x14ac:dyDescent="0.25">
      <c r="A114" s="129" t="s">
        <v>376</v>
      </c>
      <c r="B114" s="129" t="s">
        <v>189</v>
      </c>
      <c r="C114" s="129" t="s">
        <v>187</v>
      </c>
      <c r="D114" s="130" t="s">
        <v>1239</v>
      </c>
      <c r="E114" s="130" t="str">
        <f>IF(ISNUMBER(D115),"","N/A")</f>
        <v>N/A</v>
      </c>
      <c r="F114" s="117" t="str">
        <f>IFERROR(IF(ISNUMBER(D115),D115*E114,"-"),"")</f>
        <v>-</v>
      </c>
      <c r="G114" s="31"/>
    </row>
    <row r="115" spans="1:9" s="8" customFormat="1" ht="37.5" x14ac:dyDescent="0.25">
      <c r="A115" s="129" t="s">
        <v>377</v>
      </c>
      <c r="B115" s="129" t="s">
        <v>191</v>
      </c>
      <c r="C115" s="129" t="s">
        <v>187</v>
      </c>
      <c r="D115" s="130" t="s">
        <v>1380</v>
      </c>
      <c r="E115" s="130" t="str">
        <f>IF(ISNUMBER(D116),"","N/A")</f>
        <v>N/A</v>
      </c>
      <c r="F115" s="117" t="str">
        <f>IFERROR(IF(ISNUMBER(D116),D116*E115,"-"),"")</f>
        <v>-</v>
      </c>
      <c r="G115" s="31"/>
    </row>
    <row r="116" spans="1:9" s="8" customFormat="1" ht="25" x14ac:dyDescent="0.25">
      <c r="A116" s="129" t="s">
        <v>378</v>
      </c>
      <c r="B116" s="129" t="s">
        <v>379</v>
      </c>
      <c r="C116" s="129" t="s">
        <v>149</v>
      </c>
      <c r="D116" s="130" t="s">
        <v>1187</v>
      </c>
      <c r="E116" s="130" t="str">
        <f>IF(ISNUMBER(D117),"","N/A")</f>
        <v>N/A</v>
      </c>
      <c r="F116" s="117" t="str">
        <f>IFERROR(IF(ISNUMBER(D117),D117*E116,"-"),"")</f>
        <v>-</v>
      </c>
      <c r="G116" s="31"/>
    </row>
    <row r="117" spans="1:9" s="8" customFormat="1" ht="48" customHeight="1" x14ac:dyDescent="0.25">
      <c r="A117" s="129" t="s">
        <v>380</v>
      </c>
      <c r="B117" s="129" t="s">
        <v>1257</v>
      </c>
      <c r="C117" s="129" t="s">
        <v>165</v>
      </c>
      <c r="D117" s="130" t="s">
        <v>1241</v>
      </c>
      <c r="E117" s="130" t="str">
        <f>IF(ISNUMBER(D118),"","N/A")</f>
        <v/>
      </c>
      <c r="F117" s="117" t="str">
        <f>IFERROR(IF(ISNUMBER(#REF!),#REF!*E117,"-"),"")</f>
        <v>-</v>
      </c>
      <c r="G117" s="31"/>
      <c r="I117" s="31"/>
    </row>
    <row r="118" spans="1:9" ht="25.5" thickBot="1" x14ac:dyDescent="0.3">
      <c r="A118" s="56" t="s">
        <v>1157</v>
      </c>
      <c r="B118" s="56" t="s">
        <v>1156</v>
      </c>
      <c r="C118" s="129" t="s">
        <v>165</v>
      </c>
      <c r="D118" s="130">
        <v>27</v>
      </c>
      <c r="E118" s="182">
        <v>10</v>
      </c>
      <c r="F118" s="117">
        <f t="shared" si="8"/>
        <v>270</v>
      </c>
      <c r="G118" s="48"/>
      <c r="I118" s="175"/>
    </row>
    <row r="119" spans="1:9" ht="13.5" thickBot="1" x14ac:dyDescent="0.35">
      <c r="B119" s="51" t="s">
        <v>381</v>
      </c>
      <c r="C119" s="52"/>
      <c r="E119" s="52"/>
      <c r="F119" s="119">
        <f>IF(SUM(F6:F117)=0,"",SUM(F6:F118))</f>
        <v>197005</v>
      </c>
    </row>
    <row r="120" spans="1:9" x14ac:dyDescent="0.25">
      <c r="B120" s="53"/>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749E0-C843-47B5-AEBE-DF47482A7D99}">
  <dimension ref="A2:I120"/>
  <sheetViews>
    <sheetView view="pageBreakPreview" topLeftCell="D115" zoomScale="90" zoomScaleNormal="100" zoomScaleSheetLayoutView="90" workbookViewId="0">
      <selection activeCell="H115" sqref="H1:V1048576"/>
    </sheetView>
  </sheetViews>
  <sheetFormatPr defaultColWidth="9.1796875" defaultRowHeight="12.5" x14ac:dyDescent="0.25"/>
  <cols>
    <col min="1" max="1" width="9.1796875" style="16"/>
    <col min="2" max="2" width="35.54296875" style="16" customWidth="1"/>
    <col min="3" max="3" width="8.81640625" style="21" customWidth="1"/>
    <col min="4" max="4" width="11.453125" style="204" customWidth="1"/>
    <col min="5" max="5" width="11.453125" style="21" customWidth="1"/>
    <col min="6" max="6" width="11.453125" style="23" customWidth="1"/>
    <col min="7" max="7" width="1.54296875" style="21" customWidth="1"/>
    <col min="8" max="16384" width="9.1796875" style="16"/>
  </cols>
  <sheetData>
    <row r="2" spans="1:7" x14ac:dyDescent="0.25">
      <c r="A2" s="1" t="s">
        <v>0</v>
      </c>
      <c r="B2" s="1" t="s">
        <v>1</v>
      </c>
      <c r="C2" s="1" t="s">
        <v>2</v>
      </c>
      <c r="D2" s="1" t="s">
        <v>3</v>
      </c>
      <c r="E2" s="1" t="s">
        <v>4</v>
      </c>
      <c r="F2" s="3" t="s">
        <v>5</v>
      </c>
      <c r="G2" s="25"/>
    </row>
    <row r="3" spans="1:7" ht="18" x14ac:dyDescent="0.4">
      <c r="A3" s="40"/>
      <c r="B3" s="146" t="s">
        <v>1198</v>
      </c>
      <c r="C3" s="41"/>
      <c r="D3" s="41"/>
      <c r="E3" s="41" t="s">
        <v>6</v>
      </c>
      <c r="F3" s="20" t="s">
        <v>6</v>
      </c>
    </row>
    <row r="4" spans="1:7" ht="13" x14ac:dyDescent="0.25">
      <c r="A4" s="44" t="s">
        <v>197</v>
      </c>
      <c r="B4" s="45" t="s">
        <v>198</v>
      </c>
      <c r="C4" s="46"/>
      <c r="D4" s="46"/>
      <c r="E4" s="46"/>
      <c r="F4" s="47"/>
      <c r="G4" s="48"/>
    </row>
    <row r="5" spans="1:7" ht="13" x14ac:dyDescent="0.25">
      <c r="A5" s="44"/>
      <c r="B5" s="45" t="s">
        <v>199</v>
      </c>
      <c r="C5" s="46"/>
      <c r="D5" s="46"/>
      <c r="E5" s="46"/>
      <c r="F5" s="47"/>
      <c r="G5" s="48"/>
    </row>
    <row r="6" spans="1:7" s="8" customFormat="1" ht="25" x14ac:dyDescent="0.25">
      <c r="A6" s="129" t="s">
        <v>200</v>
      </c>
      <c r="B6" s="129" t="s">
        <v>201</v>
      </c>
      <c r="C6" s="129" t="s">
        <v>54</v>
      </c>
      <c r="D6" s="130" t="s">
        <v>1187</v>
      </c>
      <c r="E6" s="130" t="str">
        <f>IF(ISNUMBER(D6),"","N/A")</f>
        <v>N/A</v>
      </c>
      <c r="F6" s="117" t="str">
        <f>IFERROR(IF(ISNUMBER(D6),D6*E6,"-"),"")</f>
        <v>-</v>
      </c>
      <c r="G6" s="31"/>
    </row>
    <row r="7" spans="1:7" s="8" customFormat="1" ht="25" x14ac:dyDescent="0.25">
      <c r="A7" s="129" t="s">
        <v>202</v>
      </c>
      <c r="B7" s="129" t="s">
        <v>203</v>
      </c>
      <c r="C7" s="129" t="s">
        <v>149</v>
      </c>
      <c r="D7" s="130" t="s">
        <v>1187</v>
      </c>
      <c r="E7" s="130" t="str">
        <f t="shared" ref="E7:E76" si="0">IF(ISNUMBER(D7),"","N/A")</f>
        <v>N/A</v>
      </c>
      <c r="F7" s="117" t="str">
        <f t="shared" ref="F7:F70" si="1">IFERROR(IF(ISNUMBER(D7),D7*E7,"-"),"")</f>
        <v>-</v>
      </c>
      <c r="G7" s="31"/>
    </row>
    <row r="8" spans="1:7" s="8" customFormat="1" x14ac:dyDescent="0.25">
      <c r="A8" s="129" t="s">
        <v>204</v>
      </c>
      <c r="B8" s="129" t="s">
        <v>205</v>
      </c>
      <c r="C8" s="129" t="s">
        <v>149</v>
      </c>
      <c r="D8" s="130" t="s">
        <v>1187</v>
      </c>
      <c r="E8" s="130" t="str">
        <f t="shared" si="0"/>
        <v>N/A</v>
      </c>
      <c r="F8" s="117" t="str">
        <f t="shared" si="1"/>
        <v>-</v>
      </c>
      <c r="G8" s="31"/>
    </row>
    <row r="9" spans="1:7" s="8" customFormat="1" ht="37.5" x14ac:dyDescent="0.25">
      <c r="A9" s="129" t="s">
        <v>206</v>
      </c>
      <c r="B9" s="129" t="s">
        <v>1320</v>
      </c>
      <c r="C9" s="129" t="s">
        <v>160</v>
      </c>
      <c r="D9" s="130" t="s">
        <v>1187</v>
      </c>
      <c r="E9" s="130" t="str">
        <f t="shared" si="0"/>
        <v>N/A</v>
      </c>
      <c r="F9" s="117" t="str">
        <f t="shared" si="1"/>
        <v>-</v>
      </c>
      <c r="G9" s="31"/>
    </row>
    <row r="10" spans="1:7" s="8" customFormat="1" ht="50" x14ac:dyDescent="0.25">
      <c r="A10" s="129" t="s">
        <v>208</v>
      </c>
      <c r="B10" s="129" t="s">
        <v>209</v>
      </c>
      <c r="C10" s="129" t="s">
        <v>210</v>
      </c>
      <c r="D10" s="130" t="s">
        <v>1187</v>
      </c>
      <c r="E10" s="130" t="str">
        <f t="shared" si="0"/>
        <v>N/A</v>
      </c>
      <c r="F10" s="117" t="str">
        <f t="shared" si="1"/>
        <v>-</v>
      </c>
      <c r="G10" s="31"/>
    </row>
    <row r="11" spans="1:7" s="8" customFormat="1" ht="25" x14ac:dyDescent="0.25">
      <c r="A11" s="129" t="s">
        <v>211</v>
      </c>
      <c r="B11" s="129" t="s">
        <v>212</v>
      </c>
      <c r="C11" s="129" t="s">
        <v>149</v>
      </c>
      <c r="D11" s="130" t="s">
        <v>1187</v>
      </c>
      <c r="E11" s="130" t="str">
        <f t="shared" si="0"/>
        <v>N/A</v>
      </c>
      <c r="F11" s="117" t="str">
        <f t="shared" si="1"/>
        <v>-</v>
      </c>
      <c r="G11" s="31"/>
    </row>
    <row r="12" spans="1:7" s="8" customFormat="1" x14ac:dyDescent="0.25">
      <c r="A12" s="129"/>
      <c r="B12" s="129"/>
      <c r="C12" s="129"/>
      <c r="D12" s="130"/>
      <c r="E12" s="130"/>
      <c r="F12" s="117" t="str">
        <f t="shared" si="1"/>
        <v>-</v>
      </c>
      <c r="G12" s="31"/>
    </row>
    <row r="13" spans="1:7" s="8" customFormat="1" ht="26" x14ac:dyDescent="0.25">
      <c r="A13" s="129"/>
      <c r="B13" s="35" t="s">
        <v>213</v>
      </c>
      <c r="C13" s="129"/>
      <c r="D13" s="130"/>
      <c r="E13" s="130"/>
      <c r="F13" s="117" t="str">
        <f t="shared" si="1"/>
        <v>-</v>
      </c>
      <c r="G13" s="31"/>
    </row>
    <row r="14" spans="1:7" s="8" customFormat="1" ht="37.5" x14ac:dyDescent="0.25">
      <c r="A14" s="129" t="s">
        <v>214</v>
      </c>
      <c r="B14" s="129" t="s">
        <v>215</v>
      </c>
      <c r="C14" s="129" t="s">
        <v>54</v>
      </c>
      <c r="D14" s="130" t="s">
        <v>1187</v>
      </c>
      <c r="E14" s="130" t="str">
        <f t="shared" si="0"/>
        <v>N/A</v>
      </c>
      <c r="F14" s="117" t="str">
        <f t="shared" si="1"/>
        <v>-</v>
      </c>
      <c r="G14" s="31"/>
    </row>
    <row r="15" spans="1:7" s="8" customFormat="1" ht="62.5" x14ac:dyDescent="0.25">
      <c r="A15" s="129" t="s">
        <v>216</v>
      </c>
      <c r="B15" s="129" t="s">
        <v>217</v>
      </c>
      <c r="C15" s="129" t="s">
        <v>54</v>
      </c>
      <c r="D15" s="130" t="s">
        <v>1187</v>
      </c>
      <c r="E15" s="130" t="str">
        <f t="shared" si="0"/>
        <v>N/A</v>
      </c>
      <c r="F15" s="117" t="str">
        <f t="shared" si="1"/>
        <v>-</v>
      </c>
      <c r="G15" s="31"/>
    </row>
    <row r="16" spans="1:7" s="8" customFormat="1" ht="25" x14ac:dyDescent="0.25">
      <c r="A16" s="129" t="s">
        <v>218</v>
      </c>
      <c r="B16" s="129" t="s">
        <v>219</v>
      </c>
      <c r="C16" s="129" t="s">
        <v>54</v>
      </c>
      <c r="D16" s="130" t="s">
        <v>1187</v>
      </c>
      <c r="E16" s="130" t="str">
        <f t="shared" si="0"/>
        <v>N/A</v>
      </c>
      <c r="F16" s="117" t="str">
        <f t="shared" si="1"/>
        <v>-</v>
      </c>
      <c r="G16" s="31"/>
    </row>
    <row r="17" spans="1:7" s="8" customFormat="1" ht="37.5" x14ac:dyDescent="0.25">
      <c r="A17" s="129" t="s">
        <v>220</v>
      </c>
      <c r="B17" s="129" t="s">
        <v>221</v>
      </c>
      <c r="C17" s="129" t="s">
        <v>146</v>
      </c>
      <c r="D17" s="118" t="s">
        <v>1187</v>
      </c>
      <c r="E17" s="130" t="str">
        <f t="shared" si="0"/>
        <v>N/A</v>
      </c>
      <c r="F17" s="117" t="str">
        <f t="shared" si="1"/>
        <v>-</v>
      </c>
      <c r="G17" s="31"/>
    </row>
    <row r="18" spans="1:7" s="8" customFormat="1" ht="25" x14ac:dyDescent="0.25">
      <c r="A18" s="129" t="s">
        <v>222</v>
      </c>
      <c r="B18" s="129" t="s">
        <v>223</v>
      </c>
      <c r="C18" s="129" t="s">
        <v>160</v>
      </c>
      <c r="D18" s="130" t="s">
        <v>1187</v>
      </c>
      <c r="E18" s="130" t="str">
        <f t="shared" si="0"/>
        <v>N/A</v>
      </c>
      <c r="F18" s="117" t="str">
        <f t="shared" si="1"/>
        <v>-</v>
      </c>
      <c r="G18" s="31"/>
    </row>
    <row r="19" spans="1:7" s="8" customFormat="1" ht="37.5" x14ac:dyDescent="0.25">
      <c r="A19" s="129" t="s">
        <v>224</v>
      </c>
      <c r="B19" s="129" t="s">
        <v>225</v>
      </c>
      <c r="C19" s="129" t="s">
        <v>149</v>
      </c>
      <c r="D19" s="130" t="s">
        <v>1187</v>
      </c>
      <c r="E19" s="130" t="str">
        <f t="shared" si="0"/>
        <v>N/A</v>
      </c>
      <c r="F19" s="117" t="str">
        <f t="shared" si="1"/>
        <v>-</v>
      </c>
      <c r="G19" s="31"/>
    </row>
    <row r="20" spans="1:7" s="8" customFormat="1" ht="25" x14ac:dyDescent="0.25">
      <c r="A20" s="129" t="s">
        <v>226</v>
      </c>
      <c r="B20" s="129" t="s">
        <v>227</v>
      </c>
      <c r="C20" s="129" t="s">
        <v>149</v>
      </c>
      <c r="D20" s="130" t="s">
        <v>1187</v>
      </c>
      <c r="E20" s="130" t="str">
        <f t="shared" si="0"/>
        <v>N/A</v>
      </c>
      <c r="F20" s="117" t="str">
        <f t="shared" si="1"/>
        <v>-</v>
      </c>
      <c r="G20" s="31"/>
    </row>
    <row r="21" spans="1:7" s="8" customFormat="1" ht="25" x14ac:dyDescent="0.25">
      <c r="A21" s="129" t="s">
        <v>228</v>
      </c>
      <c r="B21" s="129" t="s">
        <v>229</v>
      </c>
      <c r="C21" s="129" t="s">
        <v>149</v>
      </c>
      <c r="D21" s="130" t="s">
        <v>1187</v>
      </c>
      <c r="E21" s="130" t="str">
        <f t="shared" si="0"/>
        <v>N/A</v>
      </c>
      <c r="F21" s="117" t="str">
        <f t="shared" si="1"/>
        <v>-</v>
      </c>
      <c r="G21" s="31"/>
    </row>
    <row r="22" spans="1:7" s="8" customFormat="1" ht="25" x14ac:dyDescent="0.25">
      <c r="A22" s="129" t="s">
        <v>230</v>
      </c>
      <c r="B22" s="129" t="s">
        <v>1358</v>
      </c>
      <c r="C22" s="129" t="s">
        <v>149</v>
      </c>
      <c r="D22" s="130" t="s">
        <v>1187</v>
      </c>
      <c r="E22" s="130" t="str">
        <f t="shared" si="0"/>
        <v>N/A</v>
      </c>
      <c r="F22" s="117" t="str">
        <f t="shared" si="1"/>
        <v>-</v>
      </c>
      <c r="G22" s="31"/>
    </row>
    <row r="23" spans="1:7" s="8" customFormat="1" x14ac:dyDescent="0.25">
      <c r="A23" s="129"/>
      <c r="B23" s="129"/>
      <c r="C23" s="129"/>
      <c r="D23" s="130"/>
      <c r="E23" s="130"/>
      <c r="F23" s="117" t="str">
        <f t="shared" si="1"/>
        <v>-</v>
      </c>
      <c r="G23" s="31"/>
    </row>
    <row r="24" spans="1:7" s="8" customFormat="1" ht="26" x14ac:dyDescent="0.25">
      <c r="A24" s="129"/>
      <c r="B24" s="35" t="s">
        <v>231</v>
      </c>
      <c r="C24" s="129"/>
      <c r="D24" s="130"/>
      <c r="E24" s="130"/>
      <c r="F24" s="117" t="str">
        <f t="shared" si="1"/>
        <v>-</v>
      </c>
      <c r="G24" s="31"/>
    </row>
    <row r="25" spans="1:7" s="8" customFormat="1" ht="50" x14ac:dyDescent="0.25">
      <c r="A25" s="129" t="s">
        <v>232</v>
      </c>
      <c r="B25" s="129" t="s">
        <v>233</v>
      </c>
      <c r="C25" s="129" t="s">
        <v>54</v>
      </c>
      <c r="D25" s="130" t="s">
        <v>1240</v>
      </c>
      <c r="E25" s="130" t="str">
        <f t="shared" si="0"/>
        <v>N/A</v>
      </c>
      <c r="F25" s="117" t="str">
        <f t="shared" si="1"/>
        <v>-</v>
      </c>
      <c r="G25" s="31"/>
    </row>
    <row r="26" spans="1:7" s="8" customFormat="1" ht="50" x14ac:dyDescent="0.25">
      <c r="A26" s="129" t="s">
        <v>234</v>
      </c>
      <c r="B26" s="129" t="s">
        <v>1255</v>
      </c>
      <c r="C26" s="129" t="s">
        <v>54</v>
      </c>
      <c r="D26" s="130">
        <v>12</v>
      </c>
      <c r="E26" s="183">
        <v>500</v>
      </c>
      <c r="F26" s="117">
        <f t="shared" si="1"/>
        <v>6000</v>
      </c>
      <c r="G26" s="31"/>
    </row>
    <row r="27" spans="1:7" s="8" customFormat="1" ht="62.5" x14ac:dyDescent="0.25">
      <c r="A27" s="129" t="s">
        <v>235</v>
      </c>
      <c r="B27" s="129" t="s">
        <v>236</v>
      </c>
      <c r="C27" s="129" t="s">
        <v>54</v>
      </c>
      <c r="D27" s="130" t="s">
        <v>1187</v>
      </c>
      <c r="E27" s="130" t="str">
        <f t="shared" si="0"/>
        <v>N/A</v>
      </c>
      <c r="F27" s="117" t="str">
        <f t="shared" si="1"/>
        <v>-</v>
      </c>
      <c r="G27" s="31"/>
    </row>
    <row r="28" spans="1:7" s="8" customFormat="1" ht="76" x14ac:dyDescent="0.25">
      <c r="A28" s="129" t="s">
        <v>1173</v>
      </c>
      <c r="B28" s="129" t="s">
        <v>1174</v>
      </c>
      <c r="C28" s="129" t="s">
        <v>54</v>
      </c>
      <c r="D28" s="130" t="s">
        <v>1187</v>
      </c>
      <c r="E28" s="130" t="str">
        <f t="shared" si="0"/>
        <v>N/A</v>
      </c>
      <c r="F28" s="117" t="str">
        <f t="shared" si="1"/>
        <v>-</v>
      </c>
      <c r="G28" s="31"/>
    </row>
    <row r="29" spans="1:7" s="8" customFormat="1" ht="50" x14ac:dyDescent="0.25">
      <c r="A29" s="129" t="s">
        <v>237</v>
      </c>
      <c r="B29" s="129" t="s">
        <v>238</v>
      </c>
      <c r="C29" s="129" t="s">
        <v>54</v>
      </c>
      <c r="D29" s="130" t="s">
        <v>1187</v>
      </c>
      <c r="E29" s="130" t="str">
        <f t="shared" si="0"/>
        <v>N/A</v>
      </c>
      <c r="F29" s="117" t="str">
        <f t="shared" si="1"/>
        <v>-</v>
      </c>
      <c r="G29" s="31"/>
    </row>
    <row r="30" spans="1:7" s="8" customFormat="1" ht="62.5" x14ac:dyDescent="0.25">
      <c r="A30" s="129" t="s">
        <v>239</v>
      </c>
      <c r="B30" s="129" t="s">
        <v>240</v>
      </c>
      <c r="C30" s="129" t="s">
        <v>54</v>
      </c>
      <c r="D30" s="130" t="s">
        <v>1187</v>
      </c>
      <c r="E30" s="130" t="str">
        <f t="shared" si="0"/>
        <v>N/A</v>
      </c>
      <c r="F30" s="117" t="str">
        <f t="shared" si="1"/>
        <v>-</v>
      </c>
      <c r="G30" s="31"/>
    </row>
    <row r="31" spans="1:7" s="8" customFormat="1" ht="62.5" x14ac:dyDescent="0.25">
      <c r="A31" s="129" t="s">
        <v>241</v>
      </c>
      <c r="B31" s="129" t="s">
        <v>242</v>
      </c>
      <c r="C31" s="129" t="s">
        <v>54</v>
      </c>
      <c r="D31" s="130" t="s">
        <v>1187</v>
      </c>
      <c r="E31" s="130" t="str">
        <f t="shared" si="0"/>
        <v>N/A</v>
      </c>
      <c r="F31" s="117" t="str">
        <f t="shared" si="1"/>
        <v>-</v>
      </c>
      <c r="G31" s="31"/>
    </row>
    <row r="32" spans="1:7" s="8" customFormat="1" ht="35.15" customHeight="1" x14ac:dyDescent="0.25">
      <c r="A32" s="129" t="s">
        <v>243</v>
      </c>
      <c r="B32" s="129" t="s">
        <v>244</v>
      </c>
      <c r="C32" s="129" t="s">
        <v>54</v>
      </c>
      <c r="D32" s="130" t="s">
        <v>1187</v>
      </c>
      <c r="E32" s="130" t="str">
        <f t="shared" si="0"/>
        <v>N/A</v>
      </c>
      <c r="F32" s="117" t="str">
        <f t="shared" si="1"/>
        <v>-</v>
      </c>
      <c r="G32" s="31"/>
    </row>
    <row r="33" spans="1:9" s="8" customFormat="1" ht="25" x14ac:dyDescent="0.25">
      <c r="A33" s="129" t="s">
        <v>245</v>
      </c>
      <c r="B33" s="129" t="s">
        <v>246</v>
      </c>
      <c r="C33" s="129" t="s">
        <v>54</v>
      </c>
      <c r="E33" s="130" t="str">
        <f>IF(ISNUMBER(D34),"","N/A")</f>
        <v/>
      </c>
      <c r="F33" s="117" t="str">
        <f>IFERROR(IF(ISNUMBER(D34),D34*E33,"-"),"")</f>
        <v/>
      </c>
      <c r="G33" s="31"/>
    </row>
    <row r="34" spans="1:9" s="8" customFormat="1" ht="37.5" x14ac:dyDescent="0.25">
      <c r="A34" s="129" t="s">
        <v>247</v>
      </c>
      <c r="B34" s="129" t="s">
        <v>248</v>
      </c>
      <c r="C34" s="129" t="s">
        <v>146</v>
      </c>
      <c r="D34" s="118">
        <v>4</v>
      </c>
      <c r="E34" s="130">
        <v>25</v>
      </c>
      <c r="F34" s="117">
        <f>IFERROR(IF(ISNUMBER(D34),D34*E34,"-"),"")</f>
        <v>100</v>
      </c>
      <c r="G34" s="31"/>
      <c r="I34" s="31"/>
    </row>
    <row r="35" spans="1:9" s="8" customFormat="1" ht="37.5" x14ac:dyDescent="0.25">
      <c r="A35" s="129" t="s">
        <v>249</v>
      </c>
      <c r="B35" s="129" t="s">
        <v>1316</v>
      </c>
      <c r="C35" s="129" t="s">
        <v>160</v>
      </c>
      <c r="D35" s="118">
        <v>12</v>
      </c>
      <c r="E35" s="130">
        <v>100</v>
      </c>
      <c r="F35" s="117">
        <f>IFERROR(IF(ISNUMBER(D35),D35*E35,"-"),"")</f>
        <v>1200</v>
      </c>
      <c r="G35" s="31"/>
    </row>
    <row r="36" spans="1:9" s="8" customFormat="1" ht="37.5" x14ac:dyDescent="0.25">
      <c r="A36" s="129" t="s">
        <v>250</v>
      </c>
      <c r="B36" s="129" t="s">
        <v>251</v>
      </c>
      <c r="C36" s="129" t="s">
        <v>54</v>
      </c>
      <c r="D36" s="130"/>
      <c r="E36" s="130" t="str">
        <f>IF(ISNUMBER(D36),"","N/A")</f>
        <v>N/A</v>
      </c>
      <c r="F36" s="117" t="str">
        <f>IFERROR(IF(ISNUMBER(D36),D36*E36,"-"),"")</f>
        <v>-</v>
      </c>
      <c r="G36" s="31"/>
    </row>
    <row r="37" spans="1:9" s="8" customFormat="1" x14ac:dyDescent="0.25">
      <c r="A37" s="129"/>
      <c r="B37" s="129"/>
      <c r="C37" s="129"/>
      <c r="D37" s="130"/>
      <c r="E37" s="130"/>
      <c r="F37" s="117" t="str">
        <f t="shared" si="1"/>
        <v>-</v>
      </c>
      <c r="G37" s="31"/>
    </row>
    <row r="38" spans="1:9" s="8" customFormat="1" ht="13" x14ac:dyDescent="0.25">
      <c r="A38" s="129"/>
      <c r="B38" s="35" t="s">
        <v>252</v>
      </c>
      <c r="C38" s="49"/>
      <c r="D38" s="130" t="s">
        <v>1187</v>
      </c>
      <c r="E38" s="130"/>
      <c r="F38" s="117" t="str">
        <f t="shared" si="1"/>
        <v>-</v>
      </c>
      <c r="G38" s="31"/>
    </row>
    <row r="39" spans="1:9" s="8" customFormat="1" ht="50" x14ac:dyDescent="0.25">
      <c r="A39" s="129" t="s">
        <v>253</v>
      </c>
      <c r="B39" s="129" t="s">
        <v>1359</v>
      </c>
      <c r="C39" s="129" t="s">
        <v>149</v>
      </c>
      <c r="D39" s="130" t="s">
        <v>1187</v>
      </c>
      <c r="E39" s="130" t="str">
        <f t="shared" si="0"/>
        <v>N/A</v>
      </c>
      <c r="F39" s="117" t="str">
        <f t="shared" si="1"/>
        <v>-</v>
      </c>
      <c r="G39" s="31"/>
    </row>
    <row r="40" spans="1:9" s="8" customFormat="1" ht="25" x14ac:dyDescent="0.25">
      <c r="A40" s="129" t="s">
        <v>254</v>
      </c>
      <c r="B40" s="129" t="s">
        <v>255</v>
      </c>
      <c r="C40" s="129" t="s">
        <v>149</v>
      </c>
      <c r="D40" s="130" t="s">
        <v>1187</v>
      </c>
      <c r="E40" s="130" t="str">
        <f t="shared" si="0"/>
        <v>N/A</v>
      </c>
      <c r="F40" s="117" t="str">
        <f t="shared" si="1"/>
        <v>-</v>
      </c>
      <c r="G40" s="31"/>
    </row>
    <row r="41" spans="1:9" s="8" customFormat="1" ht="25" x14ac:dyDescent="0.25">
      <c r="A41" s="129" t="s">
        <v>256</v>
      </c>
      <c r="B41" s="129" t="s">
        <v>257</v>
      </c>
      <c r="C41" s="129" t="s">
        <v>149</v>
      </c>
      <c r="D41" s="130" t="s">
        <v>1187</v>
      </c>
      <c r="E41" s="130" t="str">
        <f t="shared" si="0"/>
        <v>N/A</v>
      </c>
      <c r="F41" s="117" t="str">
        <f t="shared" si="1"/>
        <v>-</v>
      </c>
      <c r="G41" s="31"/>
    </row>
    <row r="42" spans="1:9" s="8" customFormat="1" ht="25" x14ac:dyDescent="0.25">
      <c r="A42" s="129" t="s">
        <v>258</v>
      </c>
      <c r="B42" s="129" t="s">
        <v>259</v>
      </c>
      <c r="C42" s="129" t="s">
        <v>149</v>
      </c>
      <c r="D42" s="130" t="s">
        <v>1187</v>
      </c>
      <c r="E42" s="130" t="str">
        <f t="shared" si="0"/>
        <v>N/A</v>
      </c>
      <c r="F42" s="117" t="str">
        <f t="shared" si="1"/>
        <v>-</v>
      </c>
      <c r="G42" s="31"/>
    </row>
    <row r="43" spans="1:9" s="8" customFormat="1" ht="25" x14ac:dyDescent="0.25">
      <c r="A43" s="129" t="s">
        <v>260</v>
      </c>
      <c r="B43" s="129" t="s">
        <v>261</v>
      </c>
      <c r="C43" s="129" t="s">
        <v>149</v>
      </c>
      <c r="D43" s="130" t="s">
        <v>1187</v>
      </c>
      <c r="E43" s="130" t="str">
        <f t="shared" si="0"/>
        <v>N/A</v>
      </c>
      <c r="F43" s="117" t="str">
        <f t="shared" si="1"/>
        <v>-</v>
      </c>
      <c r="G43" s="31"/>
    </row>
    <row r="44" spans="1:9" s="8" customFormat="1" ht="25" x14ac:dyDescent="0.25">
      <c r="A44" s="129" t="s">
        <v>262</v>
      </c>
      <c r="B44" s="129" t="s">
        <v>263</v>
      </c>
      <c r="C44" s="129" t="s">
        <v>149</v>
      </c>
      <c r="D44" s="130" t="s">
        <v>1187</v>
      </c>
      <c r="E44" s="130" t="str">
        <f t="shared" si="0"/>
        <v>N/A</v>
      </c>
      <c r="F44" s="117" t="str">
        <f t="shared" si="1"/>
        <v>-</v>
      </c>
      <c r="G44" s="31"/>
    </row>
    <row r="45" spans="1:9" s="8" customFormat="1" ht="50" x14ac:dyDescent="0.25">
      <c r="A45" s="129" t="s">
        <v>264</v>
      </c>
      <c r="B45" s="129" t="s">
        <v>265</v>
      </c>
      <c r="C45" s="129" t="s">
        <v>149</v>
      </c>
      <c r="D45" s="130" t="s">
        <v>1187</v>
      </c>
      <c r="E45" s="130" t="str">
        <f t="shared" si="0"/>
        <v>N/A</v>
      </c>
      <c r="F45" s="117" t="str">
        <f t="shared" si="1"/>
        <v>-</v>
      </c>
      <c r="G45" s="31"/>
    </row>
    <row r="46" spans="1:9" s="8" customFormat="1" ht="25" x14ac:dyDescent="0.25">
      <c r="A46" s="129" t="s">
        <v>266</v>
      </c>
      <c r="B46" s="129" t="s">
        <v>267</v>
      </c>
      <c r="C46" s="129" t="s">
        <v>149</v>
      </c>
      <c r="D46" s="130" t="s">
        <v>1187</v>
      </c>
      <c r="E46" s="130" t="str">
        <f t="shared" si="0"/>
        <v>N/A</v>
      </c>
      <c r="F46" s="117" t="str">
        <f t="shared" si="1"/>
        <v>-</v>
      </c>
      <c r="G46" s="31"/>
    </row>
    <row r="47" spans="1:9" s="8" customFormat="1" ht="25" x14ac:dyDescent="0.25">
      <c r="A47" s="129" t="s">
        <v>268</v>
      </c>
      <c r="B47" s="129" t="s">
        <v>269</v>
      </c>
      <c r="C47" s="129" t="s">
        <v>149</v>
      </c>
      <c r="D47" s="130" t="s">
        <v>1187</v>
      </c>
      <c r="E47" s="130" t="str">
        <f t="shared" si="0"/>
        <v>N/A</v>
      </c>
      <c r="F47" s="117" t="str">
        <f t="shared" si="1"/>
        <v>-</v>
      </c>
      <c r="G47" s="31"/>
    </row>
    <row r="48" spans="1:9" s="8" customFormat="1" ht="25" x14ac:dyDescent="0.25">
      <c r="A48" s="129" t="s">
        <v>270</v>
      </c>
      <c r="B48" s="129" t="s">
        <v>271</v>
      </c>
      <c r="C48" s="129" t="s">
        <v>149</v>
      </c>
      <c r="D48" s="130" t="s">
        <v>1187</v>
      </c>
      <c r="E48" s="130" t="str">
        <f t="shared" si="0"/>
        <v>N/A</v>
      </c>
      <c r="F48" s="117" t="str">
        <f t="shared" si="1"/>
        <v>-</v>
      </c>
      <c r="G48" s="31"/>
    </row>
    <row r="49" spans="1:7" s="8" customFormat="1" ht="25" x14ac:dyDescent="0.25">
      <c r="A49" s="129" t="s">
        <v>272</v>
      </c>
      <c r="B49" s="129" t="s">
        <v>273</v>
      </c>
      <c r="C49" s="129" t="s">
        <v>149</v>
      </c>
      <c r="D49" s="130" t="s">
        <v>1187</v>
      </c>
      <c r="E49" s="130" t="str">
        <f t="shared" si="0"/>
        <v>N/A</v>
      </c>
      <c r="F49" s="117" t="str">
        <f t="shared" si="1"/>
        <v>-</v>
      </c>
      <c r="G49" s="31"/>
    </row>
    <row r="50" spans="1:7" s="8" customFormat="1" ht="37.5" x14ac:dyDescent="0.25">
      <c r="A50" s="129" t="s">
        <v>274</v>
      </c>
      <c r="B50" s="129" t="s">
        <v>275</v>
      </c>
      <c r="C50" s="129" t="s">
        <v>149</v>
      </c>
      <c r="D50" s="130" t="s">
        <v>1241</v>
      </c>
      <c r="E50" s="130" t="str">
        <f t="shared" si="0"/>
        <v>N/A</v>
      </c>
      <c r="F50" s="117" t="str">
        <f t="shared" si="1"/>
        <v>-</v>
      </c>
      <c r="G50" s="31"/>
    </row>
    <row r="51" spans="1:7" s="8" customFormat="1" ht="50" x14ac:dyDescent="0.25">
      <c r="A51" s="129" t="s">
        <v>276</v>
      </c>
      <c r="B51" s="129" t="s">
        <v>277</v>
      </c>
      <c r="C51" s="129" t="s">
        <v>146</v>
      </c>
      <c r="D51" s="130"/>
      <c r="E51" s="130" t="str">
        <f t="shared" si="0"/>
        <v>N/A</v>
      </c>
      <c r="F51" s="117" t="str">
        <f t="shared" si="1"/>
        <v>-</v>
      </c>
      <c r="G51" s="31"/>
    </row>
    <row r="52" spans="1:7" s="8" customFormat="1" x14ac:dyDescent="0.25">
      <c r="A52" s="129"/>
      <c r="B52" s="129"/>
      <c r="C52" s="129"/>
      <c r="D52" s="130"/>
      <c r="E52" s="130"/>
      <c r="F52" s="117" t="str">
        <f t="shared" si="1"/>
        <v>-</v>
      </c>
      <c r="G52" s="31"/>
    </row>
    <row r="53" spans="1:7" s="8" customFormat="1" ht="13" x14ac:dyDescent="0.25">
      <c r="A53" s="129"/>
      <c r="B53" s="35" t="s">
        <v>278</v>
      </c>
      <c r="C53" s="129"/>
      <c r="D53" s="130" t="s">
        <v>1187</v>
      </c>
      <c r="E53" s="130"/>
      <c r="F53" s="117" t="str">
        <f t="shared" si="1"/>
        <v>-</v>
      </c>
      <c r="G53" s="31"/>
    </row>
    <row r="54" spans="1:7" s="8" customFormat="1" ht="56.9" customHeight="1" x14ac:dyDescent="0.25">
      <c r="A54" s="129" t="s">
        <v>279</v>
      </c>
      <c r="B54" s="129" t="s">
        <v>280</v>
      </c>
      <c r="C54" s="129" t="s">
        <v>149</v>
      </c>
      <c r="D54" s="130" t="s">
        <v>1187</v>
      </c>
      <c r="E54" s="130" t="str">
        <f t="shared" si="0"/>
        <v>N/A</v>
      </c>
      <c r="F54" s="117" t="str">
        <f t="shared" si="1"/>
        <v>-</v>
      </c>
      <c r="G54" s="31"/>
    </row>
    <row r="55" spans="1:7" s="8" customFormat="1" ht="25" x14ac:dyDescent="0.25">
      <c r="A55" s="129" t="s">
        <v>281</v>
      </c>
      <c r="B55" s="129" t="s">
        <v>282</v>
      </c>
      <c r="C55" s="129" t="s">
        <v>149</v>
      </c>
      <c r="D55" s="130" t="s">
        <v>1187</v>
      </c>
      <c r="E55" s="130" t="str">
        <f t="shared" si="0"/>
        <v>N/A</v>
      </c>
      <c r="F55" s="117" t="str">
        <f t="shared" si="1"/>
        <v>-</v>
      </c>
      <c r="G55" s="31"/>
    </row>
    <row r="56" spans="1:7" s="8" customFormat="1" ht="25" x14ac:dyDescent="0.25">
      <c r="A56" s="129" t="s">
        <v>283</v>
      </c>
      <c r="B56" s="129" t="s">
        <v>284</v>
      </c>
      <c r="C56" s="129" t="s">
        <v>149</v>
      </c>
      <c r="D56" s="130" t="s">
        <v>1187</v>
      </c>
      <c r="E56" s="130" t="str">
        <f t="shared" si="0"/>
        <v>N/A</v>
      </c>
      <c r="F56" s="117" t="str">
        <f t="shared" si="1"/>
        <v>-</v>
      </c>
      <c r="G56" s="31"/>
    </row>
    <row r="57" spans="1:7" s="8" customFormat="1" ht="25" x14ac:dyDescent="0.25">
      <c r="A57" s="129" t="s">
        <v>285</v>
      </c>
      <c r="B57" s="129" t="s">
        <v>286</v>
      </c>
      <c r="C57" s="129" t="s">
        <v>149</v>
      </c>
      <c r="D57" s="130" t="s">
        <v>1187</v>
      </c>
      <c r="E57" s="130" t="str">
        <f t="shared" si="0"/>
        <v>N/A</v>
      </c>
      <c r="F57" s="117" t="str">
        <f t="shared" si="1"/>
        <v>-</v>
      </c>
      <c r="G57" s="31"/>
    </row>
    <row r="58" spans="1:7" s="8" customFormat="1" ht="25" x14ac:dyDescent="0.25">
      <c r="A58" s="129" t="s">
        <v>287</v>
      </c>
      <c r="B58" s="129" t="s">
        <v>288</v>
      </c>
      <c r="C58" s="129" t="s">
        <v>149</v>
      </c>
      <c r="D58" s="130" t="s">
        <v>1187</v>
      </c>
      <c r="E58" s="130" t="str">
        <f t="shared" si="0"/>
        <v>N/A</v>
      </c>
      <c r="F58" s="117" t="str">
        <f t="shared" si="1"/>
        <v>-</v>
      </c>
      <c r="G58" s="31"/>
    </row>
    <row r="59" spans="1:7" s="8" customFormat="1" ht="25" x14ac:dyDescent="0.25">
      <c r="A59" s="129" t="s">
        <v>289</v>
      </c>
      <c r="B59" s="129" t="s">
        <v>290</v>
      </c>
      <c r="C59" s="129" t="s">
        <v>149</v>
      </c>
      <c r="D59" s="130" t="s">
        <v>1187</v>
      </c>
      <c r="E59" s="130" t="str">
        <f t="shared" si="0"/>
        <v>N/A</v>
      </c>
      <c r="F59" s="117" t="str">
        <f t="shared" si="1"/>
        <v>-</v>
      </c>
      <c r="G59" s="31"/>
    </row>
    <row r="60" spans="1:7" s="8" customFormat="1" ht="25" x14ac:dyDescent="0.25">
      <c r="A60" s="129" t="s">
        <v>291</v>
      </c>
      <c r="B60" s="129" t="s">
        <v>292</v>
      </c>
      <c r="C60" s="129" t="s">
        <v>149</v>
      </c>
      <c r="E60" s="130" t="str">
        <f>IF(ISNUMBER(D61),"","N/A")</f>
        <v/>
      </c>
      <c r="F60" s="117" t="str">
        <f t="shared" si="1"/>
        <v>-</v>
      </c>
      <c r="G60" s="31"/>
    </row>
    <row r="61" spans="1:7" s="8" customFormat="1" ht="54" customHeight="1" x14ac:dyDescent="0.25">
      <c r="A61" s="129" t="s">
        <v>293</v>
      </c>
      <c r="B61" s="129" t="s">
        <v>294</v>
      </c>
      <c r="C61" s="129" t="s">
        <v>149</v>
      </c>
      <c r="D61" s="130">
        <v>5</v>
      </c>
      <c r="E61" s="130">
        <v>90</v>
      </c>
      <c r="F61" s="117">
        <f t="shared" si="1"/>
        <v>450</v>
      </c>
      <c r="G61" s="31"/>
    </row>
    <row r="62" spans="1:7" s="8" customFormat="1" ht="25" x14ac:dyDescent="0.25">
      <c r="A62" s="129" t="s">
        <v>295</v>
      </c>
      <c r="B62" s="129" t="s">
        <v>296</v>
      </c>
      <c r="C62" s="129" t="s">
        <v>149</v>
      </c>
      <c r="D62" s="130">
        <v>84</v>
      </c>
      <c r="E62" s="130">
        <v>100</v>
      </c>
      <c r="F62" s="117">
        <f t="shared" si="1"/>
        <v>8400</v>
      </c>
      <c r="G62" s="31"/>
    </row>
    <row r="63" spans="1:7" s="8" customFormat="1" ht="25" x14ac:dyDescent="0.25">
      <c r="A63" s="129" t="s">
        <v>297</v>
      </c>
      <c r="B63" s="129" t="s">
        <v>298</v>
      </c>
      <c r="C63" s="129" t="s">
        <v>149</v>
      </c>
      <c r="D63" s="130">
        <v>20</v>
      </c>
      <c r="E63" s="130">
        <v>150</v>
      </c>
      <c r="F63" s="117">
        <f t="shared" si="1"/>
        <v>3000</v>
      </c>
      <c r="G63" s="31"/>
    </row>
    <row r="64" spans="1:7" s="8" customFormat="1" ht="25" x14ac:dyDescent="0.25">
      <c r="A64" s="129" t="s">
        <v>299</v>
      </c>
      <c r="B64" s="129" t="s">
        <v>300</v>
      </c>
      <c r="C64" s="129" t="s">
        <v>149</v>
      </c>
      <c r="D64" s="130" t="s">
        <v>1187</v>
      </c>
      <c r="E64" s="130" t="str">
        <f t="shared" si="0"/>
        <v>N/A</v>
      </c>
      <c r="F64" s="117" t="str">
        <f t="shared" si="1"/>
        <v>-</v>
      </c>
      <c r="G64" s="31"/>
    </row>
    <row r="65" spans="1:7" s="8" customFormat="1" ht="25" x14ac:dyDescent="0.25">
      <c r="A65" s="129" t="s">
        <v>301</v>
      </c>
      <c r="B65" s="129" t="s">
        <v>302</v>
      </c>
      <c r="C65" s="129" t="s">
        <v>149</v>
      </c>
      <c r="D65" s="130" t="s">
        <v>1187</v>
      </c>
      <c r="E65" s="130" t="str">
        <f t="shared" si="0"/>
        <v>N/A</v>
      </c>
      <c r="F65" s="117" t="str">
        <f t="shared" si="1"/>
        <v>-</v>
      </c>
      <c r="G65" s="31"/>
    </row>
    <row r="66" spans="1:7" s="8" customFormat="1" ht="25" x14ac:dyDescent="0.25">
      <c r="A66" s="129" t="s">
        <v>303</v>
      </c>
      <c r="B66" s="129" t="s">
        <v>304</v>
      </c>
      <c r="C66" s="129" t="s">
        <v>149</v>
      </c>
      <c r="D66" s="130" t="s">
        <v>1187</v>
      </c>
      <c r="E66" s="130" t="str">
        <f t="shared" si="0"/>
        <v>N/A</v>
      </c>
      <c r="F66" s="117" t="str">
        <f t="shared" si="1"/>
        <v>-</v>
      </c>
      <c r="G66" s="31"/>
    </row>
    <row r="67" spans="1:7" s="8" customFormat="1" ht="37.5" x14ac:dyDescent="0.25">
      <c r="A67" s="129" t="s">
        <v>305</v>
      </c>
      <c r="B67" s="129" t="s">
        <v>306</v>
      </c>
      <c r="C67" s="129" t="s">
        <v>149</v>
      </c>
      <c r="D67" s="130" t="s">
        <v>1241</v>
      </c>
      <c r="E67" s="130" t="str">
        <f t="shared" si="0"/>
        <v>N/A</v>
      </c>
      <c r="F67" s="117" t="str">
        <f t="shared" si="1"/>
        <v>-</v>
      </c>
      <c r="G67" s="31"/>
    </row>
    <row r="68" spans="1:7" s="8" customFormat="1" ht="50" x14ac:dyDescent="0.25">
      <c r="A68" s="129" t="s">
        <v>307</v>
      </c>
      <c r="B68" s="129" t="s">
        <v>308</v>
      </c>
      <c r="C68" s="129" t="s">
        <v>146</v>
      </c>
      <c r="D68" s="130" t="s">
        <v>1187</v>
      </c>
      <c r="E68" s="130" t="str">
        <f t="shared" si="0"/>
        <v>N/A</v>
      </c>
      <c r="F68" s="117" t="str">
        <f t="shared" si="1"/>
        <v>-</v>
      </c>
      <c r="G68" s="31"/>
    </row>
    <row r="69" spans="1:7" s="8" customFormat="1" x14ac:dyDescent="0.25">
      <c r="A69" s="129" t="s">
        <v>309</v>
      </c>
      <c r="B69" s="129" t="s">
        <v>310</v>
      </c>
      <c r="C69" s="129" t="s">
        <v>54</v>
      </c>
      <c r="D69" s="130"/>
      <c r="E69" s="130" t="str">
        <f t="shared" si="0"/>
        <v>N/A</v>
      </c>
      <c r="F69" s="117" t="str">
        <f t="shared" si="1"/>
        <v>-</v>
      </c>
      <c r="G69" s="31"/>
    </row>
    <row r="70" spans="1:7" s="8" customFormat="1" x14ac:dyDescent="0.25">
      <c r="A70" s="129"/>
      <c r="B70" s="129"/>
      <c r="C70" s="129"/>
      <c r="D70" s="130"/>
      <c r="E70" s="130"/>
      <c r="F70" s="117" t="str">
        <f t="shared" si="1"/>
        <v>-</v>
      </c>
      <c r="G70" s="31"/>
    </row>
    <row r="71" spans="1:7" s="8" customFormat="1" ht="26" x14ac:dyDescent="0.25">
      <c r="A71" s="129"/>
      <c r="B71" s="35" t="s">
        <v>311</v>
      </c>
      <c r="C71" s="129"/>
      <c r="D71" s="130" t="s">
        <v>1187</v>
      </c>
      <c r="E71" s="130"/>
      <c r="F71" s="117" t="str">
        <f t="shared" ref="F71:F102" si="2">IFERROR(IF(ISNUMBER(D71),D71*E71,"-"),"")</f>
        <v>-</v>
      </c>
      <c r="G71" s="31"/>
    </row>
    <row r="72" spans="1:7" s="8" customFormat="1" ht="37.5" x14ac:dyDescent="0.25">
      <c r="A72" s="129" t="s">
        <v>312</v>
      </c>
      <c r="B72" s="129" t="s">
        <v>313</v>
      </c>
      <c r="C72" s="129" t="s">
        <v>54</v>
      </c>
      <c r="D72" s="130" t="s">
        <v>1187</v>
      </c>
      <c r="E72" s="130" t="str">
        <f t="shared" si="0"/>
        <v>N/A</v>
      </c>
      <c r="F72" s="117" t="str">
        <f t="shared" si="2"/>
        <v>-</v>
      </c>
      <c r="G72" s="31"/>
    </row>
    <row r="73" spans="1:7" s="8" customFormat="1" ht="25" x14ac:dyDescent="0.25">
      <c r="A73" s="129" t="s">
        <v>314</v>
      </c>
      <c r="B73" s="129" t="s">
        <v>315</v>
      </c>
      <c r="C73" s="129" t="s">
        <v>54</v>
      </c>
      <c r="D73" s="130" t="s">
        <v>1187</v>
      </c>
      <c r="E73" s="130" t="str">
        <f t="shared" si="0"/>
        <v>N/A</v>
      </c>
      <c r="F73" s="117" t="str">
        <f t="shared" si="2"/>
        <v>-</v>
      </c>
      <c r="G73" s="31"/>
    </row>
    <row r="74" spans="1:7" s="8" customFormat="1" ht="37.5" x14ac:dyDescent="0.25">
      <c r="A74" s="129" t="s">
        <v>316</v>
      </c>
      <c r="B74" s="129" t="s">
        <v>317</v>
      </c>
      <c r="C74" s="129" t="s">
        <v>149</v>
      </c>
      <c r="D74" s="130" t="s">
        <v>1187</v>
      </c>
      <c r="E74" s="130" t="str">
        <f t="shared" si="0"/>
        <v>N/A</v>
      </c>
      <c r="F74" s="117" t="str">
        <f t="shared" si="2"/>
        <v>-</v>
      </c>
      <c r="G74" s="31"/>
    </row>
    <row r="75" spans="1:7" s="8" customFormat="1" ht="25" x14ac:dyDescent="0.25">
      <c r="A75" s="129" t="s">
        <v>318</v>
      </c>
      <c r="B75" s="129" t="s">
        <v>319</v>
      </c>
      <c r="C75" s="129" t="s">
        <v>149</v>
      </c>
      <c r="D75" s="130" t="s">
        <v>1187</v>
      </c>
      <c r="E75" s="130" t="str">
        <f t="shared" si="0"/>
        <v>N/A</v>
      </c>
      <c r="F75" s="117" t="str">
        <f t="shared" si="2"/>
        <v>-</v>
      </c>
      <c r="G75" s="31"/>
    </row>
    <row r="76" spans="1:7" s="8" customFormat="1" ht="25" x14ac:dyDescent="0.25">
      <c r="A76" s="129" t="s">
        <v>320</v>
      </c>
      <c r="B76" s="129" t="s">
        <v>321</v>
      </c>
      <c r="C76" s="129" t="s">
        <v>149</v>
      </c>
      <c r="D76" s="130" t="s">
        <v>1187</v>
      </c>
      <c r="E76" s="130" t="str">
        <f t="shared" si="0"/>
        <v>N/A</v>
      </c>
      <c r="F76" s="117" t="str">
        <f t="shared" si="2"/>
        <v>-</v>
      </c>
      <c r="G76" s="31"/>
    </row>
    <row r="77" spans="1:7" s="8" customFormat="1" ht="25" x14ac:dyDescent="0.25">
      <c r="A77" s="129" t="s">
        <v>322</v>
      </c>
      <c r="B77" s="129" t="s">
        <v>323</v>
      </c>
      <c r="C77" s="129" t="s">
        <v>149</v>
      </c>
      <c r="D77" s="130" t="s">
        <v>1187</v>
      </c>
      <c r="E77" s="130" t="str">
        <f t="shared" ref="E77:E115" si="3">IF(ISNUMBER(D77),"","N/A")</f>
        <v>N/A</v>
      </c>
      <c r="F77" s="117" t="str">
        <f t="shared" si="2"/>
        <v>-</v>
      </c>
      <c r="G77" s="31"/>
    </row>
    <row r="78" spans="1:7" s="8" customFormat="1" ht="25" x14ac:dyDescent="0.25">
      <c r="A78" s="129" t="s">
        <v>324</v>
      </c>
      <c r="B78" s="129" t="s">
        <v>325</v>
      </c>
      <c r="C78" s="129" t="s">
        <v>149</v>
      </c>
      <c r="D78" s="130" t="s">
        <v>1187</v>
      </c>
      <c r="E78" s="130" t="str">
        <f t="shared" si="3"/>
        <v>N/A</v>
      </c>
      <c r="F78" s="117" t="str">
        <f t="shared" si="2"/>
        <v>-</v>
      </c>
      <c r="G78" s="31"/>
    </row>
    <row r="79" spans="1:7" s="8" customFormat="1" ht="37.5" x14ac:dyDescent="0.25">
      <c r="A79" s="129" t="s">
        <v>326</v>
      </c>
      <c r="B79" s="129" t="s">
        <v>1317</v>
      </c>
      <c r="C79" s="129" t="s">
        <v>160</v>
      </c>
      <c r="D79" s="130" t="s">
        <v>1187</v>
      </c>
      <c r="E79" s="130" t="str">
        <f t="shared" si="3"/>
        <v>N/A</v>
      </c>
      <c r="F79" s="117" t="str">
        <f t="shared" si="2"/>
        <v>-</v>
      </c>
      <c r="G79" s="31"/>
    </row>
    <row r="80" spans="1:7" s="8" customFormat="1" ht="53.15" customHeight="1" x14ac:dyDescent="0.25">
      <c r="A80" s="129" t="s">
        <v>327</v>
      </c>
      <c r="B80" s="129" t="s">
        <v>328</v>
      </c>
      <c r="C80" s="129" t="s">
        <v>149</v>
      </c>
      <c r="D80" s="130" t="s">
        <v>1187</v>
      </c>
      <c r="E80" s="130" t="str">
        <f t="shared" ref="E80" si="4">IF(ISNUMBER(D80),"","N/A")</f>
        <v>N/A</v>
      </c>
      <c r="F80" s="117" t="str">
        <f t="shared" ref="F80" si="5">IFERROR(IF(ISNUMBER(D80),D80*E80,"-"),"")</f>
        <v>-</v>
      </c>
      <c r="G80" s="31"/>
    </row>
    <row r="81" spans="1:7" s="8" customFormat="1" ht="19.5" customHeight="1" x14ac:dyDescent="0.25">
      <c r="A81" s="129"/>
      <c r="B81" s="129"/>
      <c r="C81" s="129"/>
      <c r="D81" s="130"/>
      <c r="E81" s="130"/>
      <c r="F81" s="117" t="str">
        <f t="shared" si="2"/>
        <v>-</v>
      </c>
      <c r="G81" s="31"/>
    </row>
    <row r="82" spans="1:7" s="8" customFormat="1" ht="13" x14ac:dyDescent="0.25">
      <c r="A82" s="129"/>
      <c r="B82" s="35" t="s">
        <v>329</v>
      </c>
      <c r="C82" s="129"/>
      <c r="E82" s="130"/>
      <c r="F82" s="117" t="str">
        <f t="shared" si="2"/>
        <v>-</v>
      </c>
      <c r="G82" s="31"/>
    </row>
    <row r="83" spans="1:7" s="8" customFormat="1" ht="50" x14ac:dyDescent="0.25">
      <c r="A83" s="129" t="s">
        <v>330</v>
      </c>
      <c r="B83" s="129" t="s">
        <v>331</v>
      </c>
      <c r="C83" s="129" t="s">
        <v>54</v>
      </c>
      <c r="D83" s="130">
        <v>6</v>
      </c>
      <c r="E83" s="183">
        <v>600</v>
      </c>
      <c r="F83" s="117">
        <f>IFERROR(IF(ISNUMBER(D83),D83*E83,"-"),"")</f>
        <v>3600</v>
      </c>
      <c r="G83" s="31"/>
    </row>
    <row r="84" spans="1:7" s="8" customFormat="1" ht="75" x14ac:dyDescent="0.25">
      <c r="A84" s="129" t="s">
        <v>332</v>
      </c>
      <c r="B84" s="129" t="s">
        <v>333</v>
      </c>
      <c r="C84" s="129" t="s">
        <v>54</v>
      </c>
      <c r="E84" s="189" t="str">
        <f t="shared" ref="E84:E107" si="6">IF(ISNUMBER(D84),"","N/A")</f>
        <v>N/A</v>
      </c>
      <c r="F84" s="117" t="str">
        <f>IFERROR(IF(ISNUMBER(D83),D83*E84,"-"),"")</f>
        <v/>
      </c>
      <c r="G84" s="31"/>
    </row>
    <row r="85" spans="1:7" s="8" customFormat="1" ht="62.5" x14ac:dyDescent="0.25">
      <c r="A85" s="129" t="s">
        <v>334</v>
      </c>
      <c r="B85" s="129" t="s">
        <v>335</v>
      </c>
      <c r="C85" s="129" t="s">
        <v>54</v>
      </c>
      <c r="D85" s="130">
        <v>6</v>
      </c>
      <c r="E85" s="189">
        <v>100</v>
      </c>
      <c r="F85" s="117">
        <f>IFERROR(IF(ISNUMBER(D85),D85*E85,"-"),"")</f>
        <v>600</v>
      </c>
      <c r="G85" s="31"/>
    </row>
    <row r="86" spans="1:7" s="8" customFormat="1" ht="25" x14ac:dyDescent="0.25">
      <c r="A86" s="129" t="s">
        <v>336</v>
      </c>
      <c r="B86" s="129" t="s">
        <v>337</v>
      </c>
      <c r="C86" s="129" t="s">
        <v>11</v>
      </c>
      <c r="D86" s="130" t="s">
        <v>1187</v>
      </c>
      <c r="E86" s="189" t="str">
        <f t="shared" si="6"/>
        <v>N/A</v>
      </c>
      <c r="F86" s="117" t="str">
        <f t="shared" si="2"/>
        <v>-</v>
      </c>
      <c r="G86" s="31"/>
    </row>
    <row r="87" spans="1:7" s="8" customFormat="1" ht="39" customHeight="1" x14ac:dyDescent="0.25">
      <c r="A87" s="129" t="s">
        <v>338</v>
      </c>
      <c r="B87" s="129" t="s">
        <v>339</v>
      </c>
      <c r="C87" s="129" t="s">
        <v>146</v>
      </c>
      <c r="D87" s="118">
        <v>0.5</v>
      </c>
      <c r="E87" s="189">
        <v>100</v>
      </c>
      <c r="F87" s="117">
        <f t="shared" si="2"/>
        <v>50</v>
      </c>
      <c r="G87" s="31"/>
    </row>
    <row r="88" spans="1:7" s="8" customFormat="1" ht="37.5" x14ac:dyDescent="0.25">
      <c r="A88" s="129" t="s">
        <v>340</v>
      </c>
      <c r="B88" s="129" t="s">
        <v>1318</v>
      </c>
      <c r="C88" s="129" t="s">
        <v>160</v>
      </c>
      <c r="D88" s="130">
        <v>6</v>
      </c>
      <c r="E88" s="183">
        <v>150</v>
      </c>
      <c r="F88" s="117">
        <f>IFERROR(IF(ISNUMBER(D88),D88*E88,"-"),"")</f>
        <v>900</v>
      </c>
      <c r="G88" s="31"/>
    </row>
    <row r="89" spans="1:7" s="8" customFormat="1" x14ac:dyDescent="0.25">
      <c r="A89" s="129"/>
      <c r="B89" s="129"/>
      <c r="C89" s="129"/>
      <c r="D89" s="130"/>
      <c r="E89" s="189"/>
      <c r="F89" s="117" t="str">
        <f t="shared" si="2"/>
        <v>-</v>
      </c>
      <c r="G89" s="31"/>
    </row>
    <row r="90" spans="1:7" s="8" customFormat="1" ht="26" x14ac:dyDescent="0.25">
      <c r="A90" s="129"/>
      <c r="B90" s="35" t="s">
        <v>341</v>
      </c>
      <c r="C90" s="129"/>
      <c r="E90" s="189" t="str">
        <f t="shared" si="6"/>
        <v>N/A</v>
      </c>
      <c r="F90" s="117" t="str">
        <f t="shared" si="2"/>
        <v>-</v>
      </c>
      <c r="G90" s="31"/>
    </row>
    <row r="91" spans="1:7" s="8" customFormat="1" ht="37.5" x14ac:dyDescent="0.25">
      <c r="A91" s="129" t="s">
        <v>342</v>
      </c>
      <c r="B91" s="129" t="s">
        <v>343</v>
      </c>
      <c r="C91" s="129" t="s">
        <v>149</v>
      </c>
      <c r="D91" s="130">
        <v>9</v>
      </c>
      <c r="E91" s="183">
        <v>150</v>
      </c>
      <c r="F91" s="117">
        <f t="shared" si="2"/>
        <v>1350</v>
      </c>
      <c r="G91" s="31"/>
    </row>
    <row r="92" spans="1:7" s="8" customFormat="1" ht="50" x14ac:dyDescent="0.25">
      <c r="A92" s="129" t="s">
        <v>344</v>
      </c>
      <c r="B92" s="129" t="s">
        <v>345</v>
      </c>
      <c r="C92" s="129" t="s">
        <v>149</v>
      </c>
      <c r="D92" s="130">
        <v>45</v>
      </c>
      <c r="E92" s="183">
        <v>160</v>
      </c>
      <c r="F92" s="117">
        <f t="shared" si="2"/>
        <v>7200</v>
      </c>
      <c r="G92" s="31"/>
    </row>
    <row r="93" spans="1:7" s="8" customFormat="1" ht="25" x14ac:dyDescent="0.25">
      <c r="A93" s="129" t="s">
        <v>346</v>
      </c>
      <c r="B93" s="129" t="s">
        <v>347</v>
      </c>
      <c r="C93" s="129" t="s">
        <v>149</v>
      </c>
      <c r="D93" s="130">
        <v>12</v>
      </c>
      <c r="E93" s="183">
        <v>170</v>
      </c>
      <c r="F93" s="117">
        <f t="shared" si="2"/>
        <v>2040</v>
      </c>
      <c r="G93" s="31"/>
    </row>
    <row r="94" spans="1:7" s="8" customFormat="1" ht="25" x14ac:dyDescent="0.25">
      <c r="A94" s="129" t="s">
        <v>348</v>
      </c>
      <c r="B94" s="129" t="s">
        <v>349</v>
      </c>
      <c r="C94" s="129" t="s">
        <v>149</v>
      </c>
      <c r="D94" s="130" t="s">
        <v>1187</v>
      </c>
      <c r="E94" s="183">
        <v>180</v>
      </c>
      <c r="F94" s="117" t="str">
        <f t="shared" si="2"/>
        <v>-</v>
      </c>
      <c r="G94" s="31"/>
    </row>
    <row r="95" spans="1:7" s="8" customFormat="1" ht="25" x14ac:dyDescent="0.25">
      <c r="A95" s="129" t="s">
        <v>350</v>
      </c>
      <c r="B95" s="129" t="s">
        <v>351</v>
      </c>
      <c r="C95" s="129" t="s">
        <v>149</v>
      </c>
      <c r="D95" s="130" t="s">
        <v>1187</v>
      </c>
      <c r="E95" s="189" t="str">
        <f t="shared" si="6"/>
        <v>N/A</v>
      </c>
      <c r="F95" s="117" t="str">
        <f t="shared" si="2"/>
        <v>-</v>
      </c>
      <c r="G95" s="31"/>
    </row>
    <row r="96" spans="1:7" s="8" customFormat="1" ht="25" x14ac:dyDescent="0.25">
      <c r="A96" s="129" t="s">
        <v>352</v>
      </c>
      <c r="B96" s="129" t="s">
        <v>353</v>
      </c>
      <c r="C96" s="129" t="s">
        <v>149</v>
      </c>
      <c r="D96" s="130" t="s">
        <v>1187</v>
      </c>
      <c r="E96" s="183">
        <v>160</v>
      </c>
      <c r="F96" s="117" t="str">
        <f t="shared" si="2"/>
        <v>-</v>
      </c>
      <c r="G96" s="31"/>
    </row>
    <row r="97" spans="1:7" s="8" customFormat="1" ht="50" x14ac:dyDescent="0.25">
      <c r="A97" s="129" t="s">
        <v>354</v>
      </c>
      <c r="B97" s="129" t="s">
        <v>355</v>
      </c>
      <c r="C97" s="129" t="s">
        <v>149</v>
      </c>
      <c r="D97" s="130">
        <v>6</v>
      </c>
      <c r="E97" s="183">
        <v>170</v>
      </c>
      <c r="F97" s="117">
        <f t="shared" si="2"/>
        <v>1020</v>
      </c>
      <c r="G97" s="31"/>
    </row>
    <row r="98" spans="1:7" s="8" customFormat="1" ht="25" x14ac:dyDescent="0.25">
      <c r="A98" s="129" t="s">
        <v>356</v>
      </c>
      <c r="B98" s="129" t="s">
        <v>357</v>
      </c>
      <c r="C98" s="129" t="s">
        <v>149</v>
      </c>
      <c r="D98" s="130">
        <v>33</v>
      </c>
      <c r="E98" s="183">
        <v>180</v>
      </c>
      <c r="F98" s="117">
        <f t="shared" si="2"/>
        <v>5940</v>
      </c>
      <c r="G98" s="31"/>
    </row>
    <row r="99" spans="1:7" s="8" customFormat="1" ht="25" x14ac:dyDescent="0.25">
      <c r="A99" s="129" t="s">
        <v>358</v>
      </c>
      <c r="B99" s="129" t="s">
        <v>349</v>
      </c>
      <c r="C99" s="129" t="s">
        <v>149</v>
      </c>
      <c r="D99" s="130">
        <v>30</v>
      </c>
      <c r="E99" s="183">
        <v>190</v>
      </c>
      <c r="F99" s="117">
        <f t="shared" si="2"/>
        <v>5700</v>
      </c>
      <c r="G99" s="31"/>
    </row>
    <row r="100" spans="1:7" s="8" customFormat="1" ht="25" x14ac:dyDescent="0.25">
      <c r="A100" s="129" t="s">
        <v>359</v>
      </c>
      <c r="B100" s="129" t="s">
        <v>351</v>
      </c>
      <c r="C100" s="129" t="s">
        <v>149</v>
      </c>
      <c r="D100" s="130" t="s">
        <v>1187</v>
      </c>
      <c r="E100" s="189" t="str">
        <f t="shared" si="6"/>
        <v>N/A</v>
      </c>
      <c r="F100" s="117" t="str">
        <f t="shared" si="2"/>
        <v>-</v>
      </c>
      <c r="G100" s="31"/>
    </row>
    <row r="101" spans="1:7" s="8" customFormat="1" ht="25" x14ac:dyDescent="0.25">
      <c r="A101" s="129" t="s">
        <v>360</v>
      </c>
      <c r="B101" s="129" t="s">
        <v>353</v>
      </c>
      <c r="C101" s="129" t="s">
        <v>149</v>
      </c>
      <c r="D101" s="130" t="s">
        <v>1187</v>
      </c>
      <c r="E101" s="189" t="str">
        <f t="shared" si="6"/>
        <v>N/A</v>
      </c>
      <c r="F101" s="117" t="str">
        <f t="shared" si="2"/>
        <v>-</v>
      </c>
      <c r="G101" s="31"/>
    </row>
    <row r="102" spans="1:7" s="8" customFormat="1" ht="37.5" x14ac:dyDescent="0.25">
      <c r="A102" s="129" t="s">
        <v>361</v>
      </c>
      <c r="B102" s="129" t="s">
        <v>362</v>
      </c>
      <c r="C102" s="129" t="s">
        <v>149</v>
      </c>
      <c r="D102" s="130" t="s">
        <v>1187</v>
      </c>
      <c r="E102" s="189" t="str">
        <f t="shared" si="6"/>
        <v>N/A</v>
      </c>
      <c r="F102" s="117" t="str">
        <f t="shared" si="2"/>
        <v>-</v>
      </c>
      <c r="G102" s="31"/>
    </row>
    <row r="103" spans="1:7" s="8" customFormat="1" x14ac:dyDescent="0.25">
      <c r="A103" s="129"/>
      <c r="B103" s="129"/>
      <c r="C103" s="129"/>
      <c r="D103" s="130"/>
      <c r="E103" s="189"/>
      <c r="F103" s="117" t="str">
        <f>IFERROR(IF(ISNUMBER(D103),D103*E105,"-"),"")</f>
        <v>-</v>
      </c>
      <c r="G103" s="31"/>
    </row>
    <row r="104" spans="1:7" s="8" customFormat="1" ht="26" x14ac:dyDescent="0.25">
      <c r="A104" s="129"/>
      <c r="B104" s="35" t="s">
        <v>363</v>
      </c>
      <c r="C104" s="129"/>
      <c r="D104" s="130"/>
      <c r="E104" s="189"/>
      <c r="F104" s="117" t="str">
        <f>IFERROR(IF(ISNUMBER(D104),D104*E106,"-"),"")</f>
        <v>-</v>
      </c>
      <c r="G104" s="31"/>
    </row>
    <row r="105" spans="1:7" s="8" customFormat="1" ht="50" x14ac:dyDescent="0.25">
      <c r="A105" s="129" t="s">
        <v>364</v>
      </c>
      <c r="B105" s="129" t="s">
        <v>365</v>
      </c>
      <c r="C105" s="129" t="s">
        <v>165</v>
      </c>
      <c r="D105" s="118" t="s">
        <v>1187</v>
      </c>
      <c r="E105" s="183">
        <v>50</v>
      </c>
      <c r="F105" s="117" t="str">
        <f>IFERROR(IF(ISNUMBER(D105),D105*E107,"-"),"")</f>
        <v>-</v>
      </c>
      <c r="G105" s="31"/>
    </row>
    <row r="106" spans="1:7" s="8" customFormat="1" ht="25" x14ac:dyDescent="0.25">
      <c r="A106" s="129" t="s">
        <v>366</v>
      </c>
      <c r="B106" s="129" t="s">
        <v>367</v>
      </c>
      <c r="C106" s="129" t="s">
        <v>149</v>
      </c>
      <c r="D106" s="130" t="s">
        <v>1187</v>
      </c>
      <c r="E106" s="202">
        <v>8</v>
      </c>
      <c r="F106" s="117" t="str">
        <f>IFERROR(IF(ISNUMBER(D106),D106*E108,"-"),"")</f>
        <v>-</v>
      </c>
      <c r="G106" s="31"/>
    </row>
    <row r="107" spans="1:7" s="8" customFormat="1" ht="25" x14ac:dyDescent="0.25">
      <c r="A107" s="129" t="s">
        <v>368</v>
      </c>
      <c r="B107" s="129" t="s">
        <v>369</v>
      </c>
      <c r="C107" s="129" t="s">
        <v>54</v>
      </c>
      <c r="D107" s="130">
        <v>7</v>
      </c>
      <c r="E107" s="202">
        <v>20</v>
      </c>
      <c r="F107" s="117">
        <f>IFERROR(IF(ISNUMBER(D107),D107*E109,"-"),"")</f>
        <v>350</v>
      </c>
      <c r="G107" s="31"/>
    </row>
    <row r="108" spans="1:7" s="8" customFormat="1" ht="62.5" x14ac:dyDescent="0.25">
      <c r="A108" s="129" t="s">
        <v>370</v>
      </c>
      <c r="B108" s="129" t="s">
        <v>371</v>
      </c>
      <c r="C108" s="129" t="s">
        <v>165</v>
      </c>
      <c r="D108" s="118" t="s">
        <v>1187</v>
      </c>
      <c r="E108" s="189" t="str">
        <f>IF(ISNUMBER(D106),"","N/A")</f>
        <v>N/A</v>
      </c>
      <c r="F108" s="117" t="str">
        <f>IFERROR(IF(ISNUMBER(D108),D108*#REF!,"-"),"")</f>
        <v>-</v>
      </c>
      <c r="G108" s="31"/>
    </row>
    <row r="109" spans="1:7" s="8" customFormat="1" ht="75" x14ac:dyDescent="0.25">
      <c r="A109" s="129" t="s">
        <v>372</v>
      </c>
      <c r="B109" s="129" t="s">
        <v>373</v>
      </c>
      <c r="C109" s="129" t="s">
        <v>165</v>
      </c>
      <c r="D109" s="118">
        <v>0.5</v>
      </c>
      <c r="E109" s="203">
        <v>50</v>
      </c>
      <c r="F109" s="117" t="str">
        <f>IFERROR(IF(ISNUMBER(D109),D109*#REF!,"-"),"")</f>
        <v/>
      </c>
      <c r="G109" s="31"/>
    </row>
    <row r="110" spans="1:7" s="8" customFormat="1" x14ac:dyDescent="0.25">
      <c r="A110" s="129"/>
      <c r="B110" s="129"/>
      <c r="C110" s="129"/>
      <c r="D110" s="118"/>
      <c r="E110" s="130"/>
      <c r="F110" s="117" t="str">
        <f t="shared" ref="F71:F118" si="7">IFERROR(IF(ISNUMBER(D110),D110*E110,"-"),"")</f>
        <v>-</v>
      </c>
      <c r="G110" s="31"/>
    </row>
    <row r="111" spans="1:7" s="8" customFormat="1" ht="37.5" x14ac:dyDescent="0.25">
      <c r="A111" s="129"/>
      <c r="B111" s="35" t="s">
        <v>374</v>
      </c>
      <c r="C111" s="129"/>
      <c r="D111" s="130" t="s">
        <v>1241</v>
      </c>
      <c r="E111" s="130"/>
      <c r="F111" s="117" t="str">
        <f t="shared" si="7"/>
        <v>-</v>
      </c>
      <c r="G111" s="31"/>
    </row>
    <row r="112" spans="1:7" s="8" customFormat="1" ht="25" x14ac:dyDescent="0.25">
      <c r="A112" s="129" t="s">
        <v>375</v>
      </c>
      <c r="B112" s="129" t="s">
        <v>186</v>
      </c>
      <c r="C112" s="129" t="s">
        <v>187</v>
      </c>
      <c r="D112" s="130" t="s">
        <v>1239</v>
      </c>
      <c r="E112" s="130" t="str">
        <f t="shared" si="3"/>
        <v>N/A</v>
      </c>
      <c r="F112" s="117" t="str">
        <f t="shared" si="7"/>
        <v>-</v>
      </c>
      <c r="G112" s="31"/>
    </row>
    <row r="113" spans="1:9" s="8" customFormat="1" ht="37.5" x14ac:dyDescent="0.25">
      <c r="A113" s="129" t="s">
        <v>376</v>
      </c>
      <c r="B113" s="129" t="s">
        <v>189</v>
      </c>
      <c r="C113" s="129" t="s">
        <v>187</v>
      </c>
      <c r="D113" s="130" t="s">
        <v>1241</v>
      </c>
      <c r="E113" s="130" t="str">
        <f t="shared" si="3"/>
        <v>N/A</v>
      </c>
      <c r="F113" s="117" t="str">
        <f t="shared" si="7"/>
        <v>-</v>
      </c>
      <c r="G113" s="31"/>
    </row>
    <row r="114" spans="1:9" s="8" customFormat="1" x14ac:dyDescent="0.25">
      <c r="A114" s="129" t="s">
        <v>377</v>
      </c>
      <c r="B114" s="129" t="s">
        <v>191</v>
      </c>
      <c r="C114" s="129" t="s">
        <v>187</v>
      </c>
      <c r="D114" s="130" t="s">
        <v>1187</v>
      </c>
      <c r="E114" s="130" t="str">
        <f t="shared" si="3"/>
        <v>N/A</v>
      </c>
      <c r="F114" s="117" t="str">
        <f t="shared" si="7"/>
        <v>-</v>
      </c>
      <c r="G114" s="31"/>
    </row>
    <row r="115" spans="1:9" s="8" customFormat="1" ht="37.5" x14ac:dyDescent="0.25">
      <c r="A115" s="129" t="s">
        <v>378</v>
      </c>
      <c r="B115" s="129" t="s">
        <v>379</v>
      </c>
      <c r="C115" s="129" t="s">
        <v>149</v>
      </c>
      <c r="D115" s="130" t="s">
        <v>1241</v>
      </c>
      <c r="E115" s="130" t="str">
        <f t="shared" si="3"/>
        <v>N/A</v>
      </c>
      <c r="F115" s="117" t="str">
        <f t="shared" si="7"/>
        <v>-</v>
      </c>
      <c r="G115" s="31"/>
    </row>
    <row r="116" spans="1:9" s="8" customFormat="1" ht="48" customHeight="1" x14ac:dyDescent="0.25">
      <c r="A116" s="129" t="s">
        <v>380</v>
      </c>
      <c r="B116" s="129" t="s">
        <v>1257</v>
      </c>
      <c r="C116" s="129" t="s">
        <v>165</v>
      </c>
      <c r="E116" s="130" t="str">
        <f>IF(ISNUMBER(D117),"","N/A")</f>
        <v/>
      </c>
      <c r="F116" s="117" t="str">
        <f t="shared" si="7"/>
        <v>-</v>
      </c>
      <c r="G116" s="31"/>
      <c r="I116" s="31"/>
    </row>
    <row r="117" spans="1:9" ht="25" x14ac:dyDescent="0.25">
      <c r="A117" s="129" t="s">
        <v>1157</v>
      </c>
      <c r="B117" s="129" t="s">
        <v>1156</v>
      </c>
      <c r="C117" s="129" t="s">
        <v>165</v>
      </c>
      <c r="D117" s="130">
        <v>5</v>
      </c>
      <c r="E117" s="182">
        <v>10</v>
      </c>
      <c r="F117" s="117">
        <f t="shared" si="7"/>
        <v>50</v>
      </c>
      <c r="G117" s="48"/>
      <c r="I117" s="175"/>
    </row>
    <row r="118" spans="1:9" ht="62.5" x14ac:dyDescent="0.25">
      <c r="A118" s="129" t="s">
        <v>1254</v>
      </c>
      <c r="B118" s="129" t="s">
        <v>1352</v>
      </c>
      <c r="C118" s="129" t="s">
        <v>54</v>
      </c>
      <c r="D118" s="130">
        <v>18</v>
      </c>
      <c r="E118" s="182">
        <v>165</v>
      </c>
      <c r="F118" s="117">
        <f t="shared" si="7"/>
        <v>2970</v>
      </c>
      <c r="G118" s="48"/>
    </row>
    <row r="119" spans="1:9" ht="13.5" thickBot="1" x14ac:dyDescent="0.35">
      <c r="B119" s="155" t="s">
        <v>381</v>
      </c>
      <c r="C119" s="156"/>
      <c r="D119" s="18"/>
      <c r="E119" s="156"/>
      <c r="F119" s="157">
        <f>IF(SUM(F6:F116)=0,"",SUM(F6:F118))</f>
        <v>50920</v>
      </c>
    </row>
    <row r="120" spans="1:9" x14ac:dyDescent="0.25">
      <c r="B120" s="53"/>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FCC0D-1443-45E7-8DFC-8AE268FCF1C8}">
  <dimension ref="A2:U128"/>
  <sheetViews>
    <sheetView view="pageBreakPreview" topLeftCell="A67" zoomScale="80" zoomScaleNormal="100" zoomScaleSheetLayoutView="80" workbookViewId="0">
      <selection activeCell="H106" sqref="H1:S1048576"/>
    </sheetView>
  </sheetViews>
  <sheetFormatPr defaultColWidth="9.1796875" defaultRowHeight="12.5" x14ac:dyDescent="0.25"/>
  <cols>
    <col min="1" max="1" width="9.1796875" style="16"/>
    <col min="2" max="2" width="38.54296875" style="16" customWidth="1"/>
    <col min="3" max="3" width="9.453125" style="21" customWidth="1"/>
    <col min="4" max="4" width="11.54296875" style="204" customWidth="1"/>
    <col min="5" max="5" width="11.453125" style="22" customWidth="1"/>
    <col min="6" max="6" width="11.453125" style="23" customWidth="1"/>
    <col min="7" max="7" width="11.81640625" style="21" customWidth="1"/>
    <col min="8" max="16384" width="9.1796875" style="16"/>
  </cols>
  <sheetData>
    <row r="2" spans="1:8" x14ac:dyDescent="0.25">
      <c r="A2" s="1" t="s">
        <v>0</v>
      </c>
      <c r="B2" s="1" t="s">
        <v>1</v>
      </c>
      <c r="C2" s="1" t="s">
        <v>2</v>
      </c>
      <c r="D2" s="1" t="s">
        <v>3</v>
      </c>
      <c r="E2" s="2" t="s">
        <v>4</v>
      </c>
      <c r="F2" s="3" t="s">
        <v>5</v>
      </c>
      <c r="G2" s="25"/>
    </row>
    <row r="3" spans="1:8" ht="18" x14ac:dyDescent="0.4">
      <c r="A3" s="40"/>
      <c r="B3" s="146" t="s">
        <v>1199</v>
      </c>
      <c r="C3" s="41"/>
      <c r="D3" s="41"/>
      <c r="E3" s="63" t="s">
        <v>6</v>
      </c>
      <c r="F3" s="42" t="s">
        <v>6</v>
      </c>
    </row>
    <row r="4" spans="1:8" s="8" customFormat="1" ht="14" x14ac:dyDescent="0.25">
      <c r="A4" s="4" t="s">
        <v>382</v>
      </c>
      <c r="B4" s="54" t="s">
        <v>383</v>
      </c>
      <c r="C4" s="55"/>
      <c r="D4" s="130"/>
      <c r="E4" s="12"/>
      <c r="F4" s="36"/>
      <c r="G4" s="31"/>
    </row>
    <row r="5" spans="1:8" s="8" customFormat="1" ht="52" x14ac:dyDescent="0.25">
      <c r="A5" s="56"/>
      <c r="B5" s="57" t="s">
        <v>384</v>
      </c>
      <c r="C5" s="24"/>
      <c r="D5" s="144"/>
      <c r="E5" s="58"/>
      <c r="F5" s="7"/>
      <c r="G5" s="31"/>
    </row>
    <row r="6" spans="1:8" s="8" customFormat="1" x14ac:dyDescent="0.25">
      <c r="A6" s="9" t="s">
        <v>385</v>
      </c>
      <c r="B6" s="129" t="s">
        <v>386</v>
      </c>
      <c r="C6" s="9" t="s">
        <v>54</v>
      </c>
      <c r="D6" s="139" t="s">
        <v>1187</v>
      </c>
      <c r="E6" s="189" t="str">
        <f>IF(ISNUMBER(D6),"","N/A")</f>
        <v>N/A</v>
      </c>
      <c r="F6" s="117"/>
      <c r="G6" s="31"/>
      <c r="H6" s="175"/>
    </row>
    <row r="7" spans="1:8" s="8" customFormat="1" ht="25" x14ac:dyDescent="0.25">
      <c r="A7" s="9" t="s">
        <v>387</v>
      </c>
      <c r="B7" s="129" t="s">
        <v>388</v>
      </c>
      <c r="C7" s="9" t="s">
        <v>146</v>
      </c>
      <c r="D7" s="139" t="s">
        <v>1187</v>
      </c>
      <c r="E7" s="189" t="str">
        <f>IF(ISNUMBER(D7),"","N/A")</f>
        <v>N/A</v>
      </c>
      <c r="F7" s="117"/>
      <c r="G7" s="31"/>
    </row>
    <row r="8" spans="1:8" s="8" customFormat="1" x14ac:dyDescent="0.25">
      <c r="A8" s="129"/>
      <c r="B8" s="129"/>
      <c r="C8" s="129"/>
      <c r="D8" s="139"/>
      <c r="E8" s="189"/>
      <c r="F8" s="117"/>
      <c r="G8" s="31"/>
    </row>
    <row r="9" spans="1:8" s="8" customFormat="1" ht="14.5" x14ac:dyDescent="0.25">
      <c r="A9" s="9"/>
      <c r="B9" s="35" t="s">
        <v>389</v>
      </c>
      <c r="C9" s="9"/>
      <c r="D9" s="144"/>
      <c r="E9" s="189"/>
      <c r="F9" s="117"/>
      <c r="G9" s="31"/>
    </row>
    <row r="10" spans="1:8" s="8" customFormat="1" ht="25" x14ac:dyDescent="0.25">
      <c r="A10" s="9" t="s">
        <v>390</v>
      </c>
      <c r="B10" s="129" t="s">
        <v>391</v>
      </c>
      <c r="C10" s="9" t="s">
        <v>54</v>
      </c>
      <c r="D10" s="139" t="s">
        <v>1187</v>
      </c>
      <c r="E10" s="189" t="str">
        <f t="shared" ref="E10:E74" si="0">IF(ISNUMBER(D10),"","N/A")</f>
        <v>N/A</v>
      </c>
      <c r="F10" s="117"/>
      <c r="G10" s="31"/>
    </row>
    <row r="11" spans="1:8" s="8" customFormat="1" ht="50" x14ac:dyDescent="0.25">
      <c r="A11" s="9" t="s">
        <v>392</v>
      </c>
      <c r="B11" s="129" t="s">
        <v>393</v>
      </c>
      <c r="C11" s="9" t="s">
        <v>54</v>
      </c>
      <c r="D11" s="139" t="s">
        <v>1187</v>
      </c>
      <c r="E11" s="189" t="str">
        <f t="shared" si="0"/>
        <v>N/A</v>
      </c>
      <c r="F11" s="117"/>
      <c r="G11" s="31"/>
    </row>
    <row r="12" spans="1:8" s="8" customFormat="1" ht="25" x14ac:dyDescent="0.25">
      <c r="A12" s="9" t="s">
        <v>394</v>
      </c>
      <c r="B12" s="129" t="s">
        <v>395</v>
      </c>
      <c r="C12" s="9" t="s">
        <v>54</v>
      </c>
      <c r="D12" s="139" t="s">
        <v>1187</v>
      </c>
      <c r="E12" s="189" t="str">
        <f t="shared" si="0"/>
        <v>N/A</v>
      </c>
      <c r="F12" s="117"/>
      <c r="G12" s="31"/>
    </row>
    <row r="13" spans="1:8" s="8" customFormat="1" ht="25" x14ac:dyDescent="0.25">
      <c r="A13" s="9" t="s">
        <v>396</v>
      </c>
      <c r="B13" s="129" t="s">
        <v>397</v>
      </c>
      <c r="C13" s="9" t="s">
        <v>54</v>
      </c>
      <c r="D13" s="139" t="s">
        <v>1187</v>
      </c>
      <c r="E13" s="189" t="str">
        <f t="shared" si="0"/>
        <v>N/A</v>
      </c>
      <c r="F13" s="117"/>
      <c r="G13" s="31"/>
    </row>
    <row r="14" spans="1:8" s="8" customFormat="1" ht="38.25" customHeight="1" x14ac:dyDescent="0.25">
      <c r="A14" s="9" t="s">
        <v>398</v>
      </c>
      <c r="B14" s="129" t="s">
        <v>399</v>
      </c>
      <c r="C14" s="9" t="s">
        <v>400</v>
      </c>
      <c r="D14" s="139" t="s">
        <v>1187</v>
      </c>
      <c r="E14" s="189" t="str">
        <f t="shared" si="0"/>
        <v>N/A</v>
      </c>
      <c r="F14" s="117"/>
      <c r="G14" s="31"/>
    </row>
    <row r="15" spans="1:8" s="8" customFormat="1" x14ac:dyDescent="0.25">
      <c r="A15" s="9" t="s">
        <v>401</v>
      </c>
      <c r="B15" s="129" t="s">
        <v>402</v>
      </c>
      <c r="C15" s="9" t="s">
        <v>149</v>
      </c>
      <c r="D15" s="139" t="s">
        <v>1187</v>
      </c>
      <c r="E15" s="189" t="str">
        <f t="shared" si="0"/>
        <v>N/A</v>
      </c>
      <c r="F15" s="117"/>
      <c r="G15" s="31"/>
    </row>
    <row r="16" spans="1:8" s="8" customFormat="1" ht="25.5" customHeight="1" x14ac:dyDescent="0.25">
      <c r="A16" s="9" t="s">
        <v>403</v>
      </c>
      <c r="B16" s="129" t="s">
        <v>404</v>
      </c>
      <c r="C16" s="9" t="s">
        <v>149</v>
      </c>
      <c r="D16" s="139" t="s">
        <v>1187</v>
      </c>
      <c r="E16" s="189" t="str">
        <f t="shared" si="0"/>
        <v>N/A</v>
      </c>
      <c r="F16" s="117"/>
      <c r="G16" s="31"/>
    </row>
    <row r="17" spans="1:8" s="8" customFormat="1" ht="25" x14ac:dyDescent="0.25">
      <c r="A17" s="9" t="s">
        <v>405</v>
      </c>
      <c r="B17" s="129" t="s">
        <v>406</v>
      </c>
      <c r="C17" s="9" t="s">
        <v>146</v>
      </c>
      <c r="D17" s="118" t="s">
        <v>1187</v>
      </c>
      <c r="E17" s="189" t="str">
        <f t="shared" si="0"/>
        <v>N/A</v>
      </c>
      <c r="F17" s="117"/>
      <c r="G17" s="31"/>
    </row>
    <row r="18" spans="1:8" s="8" customFormat="1" ht="25.5" customHeight="1" x14ac:dyDescent="0.25">
      <c r="A18" s="9" t="s">
        <v>407</v>
      </c>
      <c r="B18" s="129" t="s">
        <v>408</v>
      </c>
      <c r="C18" s="9" t="s">
        <v>146</v>
      </c>
      <c r="D18" s="118" t="s">
        <v>1187</v>
      </c>
      <c r="E18" s="189" t="str">
        <f t="shared" si="0"/>
        <v>N/A</v>
      </c>
      <c r="F18" s="117"/>
      <c r="G18" s="31"/>
    </row>
    <row r="19" spans="1:8" s="8" customFormat="1" x14ac:dyDescent="0.25">
      <c r="A19" s="9" t="s">
        <v>409</v>
      </c>
      <c r="B19" s="129" t="s">
        <v>410</v>
      </c>
      <c r="C19" s="9" t="s">
        <v>146</v>
      </c>
      <c r="D19" s="118" t="s">
        <v>1187</v>
      </c>
      <c r="E19" s="189" t="str">
        <f t="shared" si="0"/>
        <v>N/A</v>
      </c>
      <c r="F19" s="117"/>
      <c r="G19" s="31"/>
      <c r="H19" s="31"/>
    </row>
    <row r="20" spans="1:8" s="8" customFormat="1" x14ac:dyDescent="0.25">
      <c r="A20" s="129"/>
      <c r="B20" s="129"/>
      <c r="C20" s="129"/>
      <c r="D20" s="118"/>
      <c r="E20" s="189"/>
      <c r="F20" s="117"/>
      <c r="G20" s="31"/>
      <c r="H20" s="31"/>
    </row>
    <row r="21" spans="1:8" s="8" customFormat="1" ht="14.5" x14ac:dyDescent="0.25">
      <c r="A21" s="9"/>
      <c r="B21" s="35" t="s">
        <v>411</v>
      </c>
      <c r="C21" s="9"/>
      <c r="D21" s="144"/>
      <c r="E21" s="189"/>
      <c r="F21" s="117"/>
      <c r="G21" s="31"/>
    </row>
    <row r="22" spans="1:8" s="8" customFormat="1" ht="62.5" x14ac:dyDescent="0.25">
      <c r="A22" s="9" t="s">
        <v>412</v>
      </c>
      <c r="B22" s="129" t="s">
        <v>413</v>
      </c>
      <c r="C22" s="9" t="s">
        <v>54</v>
      </c>
      <c r="D22" s="139" t="s">
        <v>1187</v>
      </c>
      <c r="E22" s="189" t="str">
        <f t="shared" si="0"/>
        <v>N/A</v>
      </c>
      <c r="F22" s="117"/>
      <c r="G22" s="31"/>
    </row>
    <row r="23" spans="1:8" s="8" customFormat="1" ht="62.9" customHeight="1" x14ac:dyDescent="0.25">
      <c r="A23" s="9" t="s">
        <v>414</v>
      </c>
      <c r="B23" s="129" t="s">
        <v>415</v>
      </c>
      <c r="C23" s="9" t="s">
        <v>54</v>
      </c>
      <c r="D23" s="139" t="s">
        <v>1187</v>
      </c>
      <c r="E23" s="189" t="str">
        <f t="shared" si="0"/>
        <v>N/A</v>
      </c>
      <c r="F23" s="117"/>
      <c r="G23" s="31"/>
    </row>
    <row r="24" spans="1:8" s="8" customFormat="1" x14ac:dyDescent="0.25">
      <c r="A24" s="9" t="s">
        <v>416</v>
      </c>
      <c r="B24" s="129" t="s">
        <v>417</v>
      </c>
      <c r="C24" s="9" t="s">
        <v>418</v>
      </c>
      <c r="D24" s="139" t="s">
        <v>1187</v>
      </c>
      <c r="E24" s="189" t="str">
        <f t="shared" si="0"/>
        <v>N/A</v>
      </c>
      <c r="F24" s="117"/>
      <c r="G24" s="31"/>
    </row>
    <row r="25" spans="1:8" s="8" customFormat="1" ht="25" x14ac:dyDescent="0.25">
      <c r="A25" s="9" t="s">
        <v>419</v>
      </c>
      <c r="B25" s="129" t="s">
        <v>420</v>
      </c>
      <c r="C25" s="9" t="s">
        <v>146</v>
      </c>
      <c r="D25" s="139" t="s">
        <v>1187</v>
      </c>
      <c r="E25" s="189" t="str">
        <f t="shared" si="0"/>
        <v>N/A</v>
      </c>
      <c r="F25" s="117"/>
      <c r="G25" s="31"/>
    </row>
    <row r="26" spans="1:8" s="8" customFormat="1" ht="50" x14ac:dyDescent="0.25">
      <c r="A26" s="9" t="s">
        <v>421</v>
      </c>
      <c r="B26" s="129" t="s">
        <v>422</v>
      </c>
      <c r="C26" s="9" t="s">
        <v>400</v>
      </c>
      <c r="D26" s="139" t="s">
        <v>1187</v>
      </c>
      <c r="E26" s="189" t="str">
        <f t="shared" si="0"/>
        <v>N/A</v>
      </c>
      <c r="F26" s="117"/>
      <c r="G26" s="31"/>
    </row>
    <row r="27" spans="1:8" s="8" customFormat="1" x14ac:dyDescent="0.25">
      <c r="A27" s="9" t="s">
        <v>423</v>
      </c>
      <c r="B27" s="129" t="s">
        <v>424</v>
      </c>
      <c r="C27" s="9" t="s">
        <v>418</v>
      </c>
      <c r="D27" s="139" t="s">
        <v>1187</v>
      </c>
      <c r="E27" s="189" t="str">
        <f t="shared" si="0"/>
        <v>N/A</v>
      </c>
      <c r="F27" s="117"/>
      <c r="G27" s="31"/>
    </row>
    <row r="28" spans="1:8" s="8" customFormat="1" ht="50" x14ac:dyDescent="0.25">
      <c r="A28" s="9" t="s">
        <v>425</v>
      </c>
      <c r="B28" s="129" t="s">
        <v>426</v>
      </c>
      <c r="C28" s="9" t="s">
        <v>165</v>
      </c>
      <c r="D28" s="118" t="s">
        <v>1187</v>
      </c>
      <c r="E28" s="189" t="str">
        <f t="shared" si="0"/>
        <v>N/A</v>
      </c>
      <c r="F28" s="117"/>
      <c r="G28" s="31"/>
    </row>
    <row r="29" spans="1:8" s="8" customFormat="1" ht="50" x14ac:dyDescent="0.25">
      <c r="A29" s="9" t="s">
        <v>427</v>
      </c>
      <c r="B29" s="129" t="s">
        <v>428</v>
      </c>
      <c r="C29" s="9" t="s">
        <v>165</v>
      </c>
      <c r="D29" s="118" t="s">
        <v>1187</v>
      </c>
      <c r="E29" s="189" t="str">
        <f t="shared" si="0"/>
        <v>N/A</v>
      </c>
      <c r="F29" s="117"/>
      <c r="G29" s="31"/>
    </row>
    <row r="30" spans="1:8" s="8" customFormat="1" ht="50" x14ac:dyDescent="0.25">
      <c r="A30" s="9" t="s">
        <v>429</v>
      </c>
      <c r="B30" s="129" t="s">
        <v>1321</v>
      </c>
      <c r="C30" s="9" t="s">
        <v>160</v>
      </c>
      <c r="D30" s="139" t="s">
        <v>1187</v>
      </c>
      <c r="E30" s="189" t="str">
        <f t="shared" si="0"/>
        <v>N/A</v>
      </c>
      <c r="F30" s="117"/>
      <c r="G30" s="31"/>
    </row>
    <row r="31" spans="1:8" s="8" customFormat="1" x14ac:dyDescent="0.25">
      <c r="A31" s="129"/>
      <c r="B31" s="129"/>
      <c r="C31" s="129"/>
      <c r="D31" s="139"/>
      <c r="E31" s="189"/>
      <c r="F31" s="117"/>
      <c r="G31" s="31"/>
    </row>
    <row r="32" spans="1:8" s="8" customFormat="1" ht="14.5" x14ac:dyDescent="0.25">
      <c r="A32" s="9"/>
      <c r="B32" s="35" t="s">
        <v>430</v>
      </c>
      <c r="C32" s="9"/>
      <c r="D32" s="144"/>
      <c r="E32" s="189"/>
      <c r="F32" s="117"/>
      <c r="G32" s="31"/>
    </row>
    <row r="33" spans="1:7" s="8" customFormat="1" ht="37.5" x14ac:dyDescent="0.25">
      <c r="A33" s="9" t="s">
        <v>431</v>
      </c>
      <c r="B33" s="129" t="s">
        <v>432</v>
      </c>
      <c r="C33" s="9" t="s">
        <v>54</v>
      </c>
      <c r="D33" s="139" t="s">
        <v>1187</v>
      </c>
      <c r="E33" s="189" t="str">
        <f t="shared" si="0"/>
        <v>N/A</v>
      </c>
      <c r="F33" s="117"/>
      <c r="G33" s="31"/>
    </row>
    <row r="34" spans="1:7" s="8" customFormat="1" ht="25" x14ac:dyDescent="0.25">
      <c r="A34" s="9" t="s">
        <v>433</v>
      </c>
      <c r="B34" s="129" t="s">
        <v>434</v>
      </c>
      <c r="C34" s="9" t="s">
        <v>54</v>
      </c>
      <c r="D34" s="139" t="s">
        <v>1187</v>
      </c>
      <c r="E34" s="189" t="str">
        <f t="shared" si="0"/>
        <v>N/A</v>
      </c>
      <c r="F34" s="117"/>
      <c r="G34" s="31"/>
    </row>
    <row r="35" spans="1:7" s="8" customFormat="1" ht="25" x14ac:dyDescent="0.25">
      <c r="A35" s="9" t="s">
        <v>435</v>
      </c>
      <c r="B35" s="129" t="s">
        <v>436</v>
      </c>
      <c r="C35" s="9" t="s">
        <v>54</v>
      </c>
      <c r="D35" s="139" t="s">
        <v>1187</v>
      </c>
      <c r="E35" s="189" t="str">
        <f t="shared" si="0"/>
        <v>N/A</v>
      </c>
      <c r="F35" s="117"/>
      <c r="G35" s="31"/>
    </row>
    <row r="36" spans="1:7" s="8" customFormat="1" ht="25" x14ac:dyDescent="0.25">
      <c r="A36" s="9" t="s">
        <v>437</v>
      </c>
      <c r="B36" s="129" t="s">
        <v>438</v>
      </c>
      <c r="C36" s="9" t="s">
        <v>149</v>
      </c>
      <c r="D36" s="139" t="s">
        <v>1187</v>
      </c>
      <c r="E36" s="189" t="str">
        <f t="shared" si="0"/>
        <v>N/A</v>
      </c>
      <c r="F36" s="117"/>
      <c r="G36" s="31"/>
    </row>
    <row r="37" spans="1:7" s="8" customFormat="1" x14ac:dyDescent="0.25">
      <c r="A37" s="9" t="s">
        <v>439</v>
      </c>
      <c r="B37" s="129" t="s">
        <v>440</v>
      </c>
      <c r="C37" s="9" t="s">
        <v>149</v>
      </c>
      <c r="D37" s="139" t="s">
        <v>1187</v>
      </c>
      <c r="E37" s="189" t="str">
        <f t="shared" si="0"/>
        <v>N/A</v>
      </c>
      <c r="F37" s="117"/>
      <c r="G37" s="31"/>
    </row>
    <row r="38" spans="1:7" s="8" customFormat="1" x14ac:dyDescent="0.25">
      <c r="A38" s="9" t="s">
        <v>441</v>
      </c>
      <c r="B38" s="129" t="s">
        <v>442</v>
      </c>
      <c r="C38" s="9" t="s">
        <v>149</v>
      </c>
      <c r="D38" s="139" t="s">
        <v>1187</v>
      </c>
      <c r="E38" s="189" t="str">
        <f t="shared" si="0"/>
        <v>N/A</v>
      </c>
      <c r="F38" s="117"/>
      <c r="G38" s="31"/>
    </row>
    <row r="39" spans="1:7" s="8" customFormat="1" x14ac:dyDescent="0.25">
      <c r="A39" s="9" t="s">
        <v>443</v>
      </c>
      <c r="B39" s="129" t="s">
        <v>444</v>
      </c>
      <c r="C39" s="9" t="s">
        <v>149</v>
      </c>
      <c r="D39" s="139" t="s">
        <v>1187</v>
      </c>
      <c r="E39" s="189" t="str">
        <f t="shared" si="0"/>
        <v>N/A</v>
      </c>
      <c r="F39" s="117"/>
      <c r="G39" s="31"/>
    </row>
    <row r="40" spans="1:7" s="8" customFormat="1" ht="25" x14ac:dyDescent="0.25">
      <c r="A40" s="9" t="s">
        <v>445</v>
      </c>
      <c r="B40" s="129" t="s">
        <v>446</v>
      </c>
      <c r="C40" s="9" t="s">
        <v>146</v>
      </c>
      <c r="D40" s="118" t="s">
        <v>1187</v>
      </c>
      <c r="E40" s="189" t="str">
        <f t="shared" si="0"/>
        <v>N/A</v>
      </c>
      <c r="F40" s="117"/>
      <c r="G40" s="31"/>
    </row>
    <row r="41" spans="1:7" s="8" customFormat="1" x14ac:dyDescent="0.25">
      <c r="A41" s="9" t="s">
        <v>447</v>
      </c>
      <c r="B41" s="129" t="s">
        <v>448</v>
      </c>
      <c r="C41" s="9" t="s">
        <v>146</v>
      </c>
      <c r="D41" s="118" t="s">
        <v>1187</v>
      </c>
      <c r="E41" s="189" t="str">
        <f t="shared" si="0"/>
        <v>N/A</v>
      </c>
      <c r="F41" s="117"/>
      <c r="G41" s="31"/>
    </row>
    <row r="42" spans="1:7" s="8" customFormat="1" x14ac:dyDescent="0.25">
      <c r="A42" s="9" t="s">
        <v>449</v>
      </c>
      <c r="B42" s="129" t="s">
        <v>450</v>
      </c>
      <c r="C42" s="9" t="s">
        <v>146</v>
      </c>
      <c r="D42" s="118" t="s">
        <v>1187</v>
      </c>
      <c r="E42" s="189" t="str">
        <f t="shared" si="0"/>
        <v>N/A</v>
      </c>
      <c r="F42" s="117"/>
      <c r="G42" s="31"/>
    </row>
    <row r="43" spans="1:7" s="8" customFormat="1" x14ac:dyDescent="0.25">
      <c r="A43" s="9" t="s">
        <v>451</v>
      </c>
      <c r="B43" s="129" t="s">
        <v>452</v>
      </c>
      <c r="C43" s="9" t="s">
        <v>146</v>
      </c>
      <c r="D43" s="118" t="s">
        <v>1187</v>
      </c>
      <c r="E43" s="189" t="str">
        <f t="shared" si="0"/>
        <v>N/A</v>
      </c>
      <c r="F43" s="117"/>
      <c r="G43" s="31"/>
    </row>
    <row r="44" spans="1:7" s="8" customFormat="1" ht="25" x14ac:dyDescent="0.25">
      <c r="A44" s="9" t="s">
        <v>453</v>
      </c>
      <c r="B44" s="129" t="s">
        <v>454</v>
      </c>
      <c r="C44" s="9" t="s">
        <v>160</v>
      </c>
      <c r="D44" s="139" t="s">
        <v>1187</v>
      </c>
      <c r="E44" s="189" t="str">
        <f t="shared" si="0"/>
        <v>N/A</v>
      </c>
      <c r="F44" s="117"/>
      <c r="G44" s="31"/>
    </row>
    <row r="45" spans="1:7" s="8" customFormat="1" ht="25" x14ac:dyDescent="0.25">
      <c r="A45" s="9" t="s">
        <v>455</v>
      </c>
      <c r="B45" s="129" t="s">
        <v>456</v>
      </c>
      <c r="C45" s="9" t="s">
        <v>160</v>
      </c>
      <c r="D45" s="139" t="s">
        <v>1187</v>
      </c>
      <c r="E45" s="189" t="str">
        <f t="shared" si="0"/>
        <v>N/A</v>
      </c>
      <c r="F45" s="117"/>
      <c r="G45" s="31"/>
    </row>
    <row r="46" spans="1:7" s="8" customFormat="1" ht="37.5" x14ac:dyDescent="0.25">
      <c r="A46" s="9" t="s">
        <v>457</v>
      </c>
      <c r="B46" s="129" t="s">
        <v>458</v>
      </c>
      <c r="C46" s="9" t="s">
        <v>160</v>
      </c>
      <c r="D46" s="139" t="s">
        <v>1187</v>
      </c>
      <c r="E46" s="189" t="str">
        <f t="shared" si="0"/>
        <v>N/A</v>
      </c>
      <c r="F46" s="117"/>
      <c r="G46" s="31"/>
    </row>
    <row r="47" spans="1:7" s="8" customFormat="1" ht="50" x14ac:dyDescent="0.25">
      <c r="A47" s="9" t="s">
        <v>459</v>
      </c>
      <c r="B47" s="129" t="s">
        <v>1322</v>
      </c>
      <c r="C47" s="9" t="s">
        <v>160</v>
      </c>
      <c r="D47" s="139" t="s">
        <v>1187</v>
      </c>
      <c r="E47" s="189" t="str">
        <f t="shared" si="0"/>
        <v>N/A</v>
      </c>
      <c r="F47" s="117"/>
      <c r="G47" s="31"/>
    </row>
    <row r="48" spans="1:7" s="8" customFormat="1" x14ac:dyDescent="0.25">
      <c r="A48" s="129"/>
      <c r="B48" s="129"/>
      <c r="C48" s="129"/>
      <c r="D48" s="139"/>
      <c r="E48" s="189"/>
      <c r="F48" s="117"/>
      <c r="G48" s="31"/>
    </row>
    <row r="49" spans="1:7" s="8" customFormat="1" ht="25.5" customHeight="1" x14ac:dyDescent="0.25">
      <c r="A49" s="9"/>
      <c r="B49" s="35" t="s">
        <v>460</v>
      </c>
      <c r="C49" s="9"/>
      <c r="D49" s="144"/>
      <c r="E49" s="189"/>
      <c r="F49" s="117"/>
      <c r="G49" s="31"/>
    </row>
    <row r="50" spans="1:7" s="8" customFormat="1" ht="50" x14ac:dyDescent="0.25">
      <c r="A50" s="9" t="s">
        <v>461</v>
      </c>
      <c r="B50" s="129" t="s">
        <v>462</v>
      </c>
      <c r="C50" s="9" t="s">
        <v>210</v>
      </c>
      <c r="D50" s="139" t="s">
        <v>1242</v>
      </c>
      <c r="E50" s="189" t="str">
        <f t="shared" si="0"/>
        <v>N/A</v>
      </c>
      <c r="F50" s="117"/>
      <c r="G50" s="31"/>
    </row>
    <row r="51" spans="1:7" s="8" customFormat="1" ht="24" customHeight="1" x14ac:dyDescent="0.25">
      <c r="A51" s="9" t="s">
        <v>463</v>
      </c>
      <c r="B51" s="129" t="s">
        <v>464</v>
      </c>
      <c r="C51" s="9" t="s">
        <v>210</v>
      </c>
      <c r="D51" s="139" t="s">
        <v>1187</v>
      </c>
      <c r="E51" s="189" t="str">
        <f t="shared" si="0"/>
        <v>N/A</v>
      </c>
      <c r="F51" s="117"/>
      <c r="G51" s="31"/>
    </row>
    <row r="52" spans="1:7" s="8" customFormat="1" ht="24" customHeight="1" x14ac:dyDescent="0.25">
      <c r="A52" s="9" t="s">
        <v>465</v>
      </c>
      <c r="B52" s="129" t="s">
        <v>466</v>
      </c>
      <c r="C52" s="9" t="s">
        <v>210</v>
      </c>
      <c r="D52" s="139" t="s">
        <v>1187</v>
      </c>
      <c r="E52" s="189" t="str">
        <f t="shared" si="0"/>
        <v>N/A</v>
      </c>
      <c r="F52" s="117"/>
      <c r="G52" s="31"/>
    </row>
    <row r="53" spans="1:7" s="8" customFormat="1" ht="50" x14ac:dyDescent="0.25">
      <c r="A53" s="9" t="s">
        <v>467</v>
      </c>
      <c r="B53" s="129" t="s">
        <v>468</v>
      </c>
      <c r="C53" s="9" t="s">
        <v>210</v>
      </c>
      <c r="D53" s="139" t="s">
        <v>1187</v>
      </c>
      <c r="E53" s="189" t="str">
        <f t="shared" si="0"/>
        <v>N/A</v>
      </c>
      <c r="F53" s="117"/>
      <c r="G53" s="31"/>
    </row>
    <row r="54" spans="1:7" s="8" customFormat="1" ht="29.15" customHeight="1" x14ac:dyDescent="0.25">
      <c r="A54" s="9" t="s">
        <v>469</v>
      </c>
      <c r="B54" s="129" t="s">
        <v>470</v>
      </c>
      <c r="C54" s="9" t="s">
        <v>210</v>
      </c>
      <c r="D54" s="139" t="s">
        <v>1187</v>
      </c>
      <c r="E54" s="189" t="str">
        <f t="shared" si="0"/>
        <v>N/A</v>
      </c>
      <c r="F54" s="117"/>
      <c r="G54" s="31"/>
    </row>
    <row r="55" spans="1:7" s="8" customFormat="1" ht="29.15" customHeight="1" x14ac:dyDescent="0.25">
      <c r="A55" s="9" t="s">
        <v>471</v>
      </c>
      <c r="B55" s="129" t="s">
        <v>472</v>
      </c>
      <c r="C55" s="9" t="s">
        <v>210</v>
      </c>
      <c r="D55" s="139" t="s">
        <v>1187</v>
      </c>
      <c r="E55" s="189" t="str">
        <f t="shared" si="0"/>
        <v>N/A</v>
      </c>
      <c r="F55" s="117"/>
      <c r="G55" s="31"/>
    </row>
    <row r="56" spans="1:7" s="8" customFormat="1" ht="29.15" customHeight="1" x14ac:dyDescent="0.25">
      <c r="A56" s="9" t="s">
        <v>473</v>
      </c>
      <c r="B56" s="129" t="s">
        <v>474</v>
      </c>
      <c r="C56" s="9" t="s">
        <v>210</v>
      </c>
      <c r="D56" s="139" t="s">
        <v>1187</v>
      </c>
      <c r="E56" s="189" t="str">
        <f t="shared" si="0"/>
        <v>N/A</v>
      </c>
      <c r="F56" s="117"/>
      <c r="G56" s="31"/>
    </row>
    <row r="57" spans="1:7" s="8" customFormat="1" ht="50" x14ac:dyDescent="0.25">
      <c r="A57" s="9" t="s">
        <v>475</v>
      </c>
      <c r="B57" s="129" t="s">
        <v>476</v>
      </c>
      <c r="C57" s="9" t="s">
        <v>210</v>
      </c>
      <c r="D57" s="139" t="s">
        <v>1243</v>
      </c>
      <c r="E57" s="189" t="str">
        <f t="shared" si="0"/>
        <v>N/A</v>
      </c>
      <c r="F57" s="117"/>
      <c r="G57" s="31"/>
    </row>
    <row r="58" spans="1:7" s="8" customFormat="1" x14ac:dyDescent="0.25">
      <c r="A58" s="129"/>
      <c r="B58" s="129"/>
      <c r="C58" s="129"/>
      <c r="D58" s="139"/>
      <c r="E58" s="189"/>
      <c r="F58" s="117"/>
      <c r="G58" s="31"/>
    </row>
    <row r="59" spans="1:7" s="8" customFormat="1" ht="14.5" x14ac:dyDescent="0.25">
      <c r="A59" s="9"/>
      <c r="B59" s="35" t="s">
        <v>477</v>
      </c>
      <c r="C59" s="9"/>
      <c r="D59" s="144"/>
      <c r="E59" s="189"/>
      <c r="F59" s="117"/>
      <c r="G59" s="31"/>
    </row>
    <row r="60" spans="1:7" s="8" customFormat="1" ht="25" x14ac:dyDescent="0.25">
      <c r="A60" s="9" t="s">
        <v>478</v>
      </c>
      <c r="B60" s="129" t="s">
        <v>479</v>
      </c>
      <c r="C60" s="9" t="s">
        <v>54</v>
      </c>
      <c r="D60" s="139" t="s">
        <v>1187</v>
      </c>
      <c r="E60" s="189" t="str">
        <f t="shared" si="0"/>
        <v>N/A</v>
      </c>
      <c r="F60" s="117"/>
      <c r="G60" s="31"/>
    </row>
    <row r="61" spans="1:7" s="8" customFormat="1" x14ac:dyDescent="0.25">
      <c r="A61" s="9" t="s">
        <v>480</v>
      </c>
      <c r="B61" s="129" t="s">
        <v>481</v>
      </c>
      <c r="C61" s="9" t="s">
        <v>160</v>
      </c>
      <c r="D61" s="139" t="s">
        <v>1187</v>
      </c>
      <c r="E61" s="189" t="str">
        <f t="shared" si="0"/>
        <v>N/A</v>
      </c>
      <c r="F61" s="117"/>
      <c r="G61" s="31"/>
    </row>
    <row r="62" spans="1:7" s="8" customFormat="1" ht="37.5" x14ac:dyDescent="0.25">
      <c r="A62" s="9" t="s">
        <v>482</v>
      </c>
      <c r="B62" s="129" t="s">
        <v>483</v>
      </c>
      <c r="C62" s="9" t="s">
        <v>484</v>
      </c>
      <c r="D62" s="139" t="s">
        <v>1187</v>
      </c>
      <c r="E62" s="189" t="str">
        <f t="shared" si="0"/>
        <v>N/A</v>
      </c>
      <c r="F62" s="117"/>
      <c r="G62" s="31"/>
    </row>
    <row r="63" spans="1:7" s="8" customFormat="1" x14ac:dyDescent="0.25">
      <c r="A63" s="9" t="s">
        <v>485</v>
      </c>
      <c r="B63" s="129" t="s">
        <v>486</v>
      </c>
      <c r="C63" s="9" t="s">
        <v>210</v>
      </c>
      <c r="D63" s="139" t="s">
        <v>1187</v>
      </c>
      <c r="E63" s="189" t="str">
        <f t="shared" si="0"/>
        <v>N/A</v>
      </c>
      <c r="F63" s="117"/>
      <c r="G63" s="31"/>
    </row>
    <row r="64" spans="1:7" s="8" customFormat="1" x14ac:dyDescent="0.25">
      <c r="A64" s="9" t="s">
        <v>487</v>
      </c>
      <c r="B64" s="129" t="s">
        <v>488</v>
      </c>
      <c r="C64" s="9" t="s">
        <v>210</v>
      </c>
      <c r="D64" s="139" t="s">
        <v>1187</v>
      </c>
      <c r="E64" s="189" t="str">
        <f t="shared" si="0"/>
        <v>N/A</v>
      </c>
      <c r="F64" s="117"/>
      <c r="G64" s="31"/>
    </row>
    <row r="65" spans="1:13" s="8" customFormat="1" x14ac:dyDescent="0.25">
      <c r="A65" s="129"/>
      <c r="B65" s="129"/>
      <c r="C65" s="129"/>
      <c r="D65" s="139"/>
      <c r="E65" s="189"/>
      <c r="F65" s="117"/>
      <c r="G65" s="31"/>
    </row>
    <row r="66" spans="1:13" s="8" customFormat="1" ht="26" x14ac:dyDescent="0.25">
      <c r="A66" s="9"/>
      <c r="B66" s="35" t="s">
        <v>489</v>
      </c>
      <c r="C66" s="9"/>
      <c r="D66" s="144"/>
      <c r="E66" s="189"/>
      <c r="F66" s="117"/>
      <c r="G66" s="31"/>
    </row>
    <row r="67" spans="1:13" s="8" customFormat="1" ht="25" x14ac:dyDescent="0.25">
      <c r="A67" s="9" t="s">
        <v>490</v>
      </c>
      <c r="B67" s="129" t="s">
        <v>491</v>
      </c>
      <c r="C67" s="9" t="s">
        <v>54</v>
      </c>
      <c r="D67" s="139" t="s">
        <v>1187</v>
      </c>
      <c r="E67" s="189" t="str">
        <f t="shared" si="0"/>
        <v>N/A</v>
      </c>
      <c r="F67" s="117"/>
      <c r="G67" s="31"/>
    </row>
    <row r="68" spans="1:13" s="8" customFormat="1" ht="37.5" x14ac:dyDescent="0.25">
      <c r="A68" s="9" t="s">
        <v>492</v>
      </c>
      <c r="B68" s="129" t="s">
        <v>493</v>
      </c>
      <c r="C68" s="9" t="s">
        <v>187</v>
      </c>
      <c r="D68" s="139" t="s">
        <v>1244</v>
      </c>
      <c r="E68" s="189" t="str">
        <f t="shared" si="0"/>
        <v>N/A</v>
      </c>
      <c r="F68" s="117"/>
      <c r="G68" s="31"/>
    </row>
    <row r="69" spans="1:13" s="8" customFormat="1" ht="37.5" x14ac:dyDescent="0.25">
      <c r="A69" s="9" t="s">
        <v>494</v>
      </c>
      <c r="B69" s="129" t="s">
        <v>495</v>
      </c>
      <c r="C69" s="9" t="s">
        <v>187</v>
      </c>
      <c r="D69" s="139" t="s">
        <v>1244</v>
      </c>
      <c r="E69" s="189" t="str">
        <f t="shared" si="0"/>
        <v>N/A</v>
      </c>
      <c r="F69" s="117"/>
      <c r="G69" s="59"/>
    </row>
    <row r="70" spans="1:13" s="8" customFormat="1" ht="37.5" x14ac:dyDescent="0.25">
      <c r="A70" s="9" t="s">
        <v>496</v>
      </c>
      <c r="B70" s="129" t="s">
        <v>497</v>
      </c>
      <c r="C70" s="9" t="s">
        <v>146</v>
      </c>
      <c r="D70" s="118" t="s">
        <v>1187</v>
      </c>
      <c r="E70" s="189" t="str">
        <f t="shared" si="0"/>
        <v>N/A</v>
      </c>
      <c r="F70" s="117"/>
      <c r="G70" s="31"/>
    </row>
    <row r="71" spans="1:13" s="8" customFormat="1" ht="50" x14ac:dyDescent="0.25">
      <c r="A71" s="9" t="s">
        <v>498</v>
      </c>
      <c r="B71" s="129" t="s">
        <v>499</v>
      </c>
      <c r="C71" s="9" t="s">
        <v>146</v>
      </c>
      <c r="D71" s="118" t="s">
        <v>1187</v>
      </c>
      <c r="E71" s="189" t="str">
        <f t="shared" si="0"/>
        <v>N/A</v>
      </c>
      <c r="F71" s="117"/>
      <c r="G71" s="31"/>
    </row>
    <row r="72" spans="1:13" s="8" customFormat="1" ht="51.65" customHeight="1" x14ac:dyDescent="0.25">
      <c r="A72" s="9" t="s">
        <v>500</v>
      </c>
      <c r="B72" s="129" t="s">
        <v>501</v>
      </c>
      <c r="C72" s="9" t="s">
        <v>187</v>
      </c>
      <c r="D72" s="118" t="s">
        <v>1187</v>
      </c>
      <c r="E72" s="189" t="str">
        <f t="shared" si="0"/>
        <v>N/A</v>
      </c>
      <c r="F72" s="117"/>
      <c r="G72" s="31"/>
    </row>
    <row r="73" spans="1:13" s="8" customFormat="1" x14ac:dyDescent="0.25">
      <c r="A73" s="9" t="s">
        <v>502</v>
      </c>
      <c r="B73" s="129" t="s">
        <v>503</v>
      </c>
      <c r="C73" s="9" t="s">
        <v>504</v>
      </c>
      <c r="D73" s="139" t="s">
        <v>1187</v>
      </c>
      <c r="E73" s="189" t="str">
        <f t="shared" si="0"/>
        <v>N/A</v>
      </c>
      <c r="F73" s="117"/>
      <c r="G73" s="31"/>
    </row>
    <row r="74" spans="1:13" s="8" customFormat="1" ht="50" x14ac:dyDescent="0.25">
      <c r="A74" s="9" t="s">
        <v>505</v>
      </c>
      <c r="B74" s="129" t="s">
        <v>506</v>
      </c>
      <c r="C74" s="9" t="s">
        <v>146</v>
      </c>
      <c r="D74" s="139" t="s">
        <v>1245</v>
      </c>
      <c r="E74" s="189" t="str">
        <f t="shared" si="0"/>
        <v>N/A</v>
      </c>
      <c r="F74" s="117"/>
      <c r="G74" s="31"/>
    </row>
    <row r="75" spans="1:13" s="8" customFormat="1" x14ac:dyDescent="0.25">
      <c r="A75" s="142"/>
      <c r="B75" s="129"/>
      <c r="C75" s="143"/>
      <c r="D75" s="145"/>
      <c r="E75" s="210"/>
      <c r="F75" s="117"/>
      <c r="G75" s="31"/>
    </row>
    <row r="76" spans="1:13" s="8" customFormat="1" ht="13" x14ac:dyDescent="0.25">
      <c r="A76" s="125"/>
      <c r="B76" s="35" t="s">
        <v>1158</v>
      </c>
      <c r="C76" s="126"/>
      <c r="D76" s="145"/>
      <c r="E76" s="210"/>
      <c r="F76" s="117"/>
      <c r="G76" s="31"/>
    </row>
    <row r="77" spans="1:13" s="8" customFormat="1" ht="37.5" x14ac:dyDescent="0.25">
      <c r="A77" s="124" t="s">
        <v>1159</v>
      </c>
      <c r="B77" s="129" t="s">
        <v>1194</v>
      </c>
      <c r="C77" s="124" t="s">
        <v>54</v>
      </c>
      <c r="D77" s="139">
        <v>263</v>
      </c>
      <c r="E77" s="209">
        <v>600</v>
      </c>
      <c r="F77" s="117">
        <f t="shared" ref="F77" si="1">IFERROR(IF(ISNUMBER(D77),D77*E77,"-"),"")</f>
        <v>157800</v>
      </c>
      <c r="G77" s="165"/>
    </row>
    <row r="78" spans="1:13" s="8" customFormat="1" ht="50" x14ac:dyDescent="0.25">
      <c r="A78" s="124" t="s">
        <v>1160</v>
      </c>
      <c r="B78" s="129" t="s">
        <v>1161</v>
      </c>
      <c r="C78" s="124" t="s">
        <v>54</v>
      </c>
      <c r="D78" s="139" t="s">
        <v>1187</v>
      </c>
      <c r="E78" s="210"/>
      <c r="F78" s="117"/>
      <c r="G78" s="165"/>
    </row>
    <row r="79" spans="1:13" s="8" customFormat="1" ht="25" x14ac:dyDescent="0.25">
      <c r="A79" s="124" t="s">
        <v>1162</v>
      </c>
      <c r="B79" s="129" t="s">
        <v>1163</v>
      </c>
      <c r="C79" s="124" t="s">
        <v>54</v>
      </c>
      <c r="D79" s="139" t="s">
        <v>1187</v>
      </c>
      <c r="E79" s="209"/>
      <c r="F79" s="117"/>
      <c r="G79" s="165"/>
    </row>
    <row r="80" spans="1:13" s="8" customFormat="1" ht="69" customHeight="1" x14ac:dyDescent="0.25">
      <c r="A80" s="129" t="s">
        <v>1164</v>
      </c>
      <c r="B80" s="129" t="s">
        <v>1353</v>
      </c>
      <c r="C80" s="129" t="s">
        <v>149</v>
      </c>
      <c r="D80" s="139">
        <v>316</v>
      </c>
      <c r="E80" s="209">
        <v>50</v>
      </c>
      <c r="F80" s="117">
        <f t="shared" ref="F80" si="2">IFERROR(IF(ISNUMBER(D80),D80*E80,"-"),"")</f>
        <v>15800</v>
      </c>
      <c r="G80" s="185"/>
      <c r="H80" s="186"/>
      <c r="I80" s="186"/>
      <c r="J80" s="186"/>
      <c r="K80" s="186"/>
      <c r="L80" s="186"/>
      <c r="M80" s="186"/>
    </row>
    <row r="81" spans="1:12" s="8" customFormat="1" x14ac:dyDescent="0.25">
      <c r="A81" s="124" t="s">
        <v>1165</v>
      </c>
      <c r="B81" s="129" t="s">
        <v>1166</v>
      </c>
      <c r="C81" s="124" t="s">
        <v>149</v>
      </c>
      <c r="D81" s="139" t="s">
        <v>1187</v>
      </c>
      <c r="E81" s="211"/>
      <c r="F81" s="117"/>
      <c r="G81" s="165"/>
    </row>
    <row r="82" spans="1:12" s="8" customFormat="1" ht="50" x14ac:dyDescent="0.25">
      <c r="A82" s="129" t="s">
        <v>1167</v>
      </c>
      <c r="B82" s="129" t="s">
        <v>1175</v>
      </c>
      <c r="C82" s="141" t="s">
        <v>54</v>
      </c>
      <c r="D82" s="139">
        <v>263</v>
      </c>
      <c r="E82" s="210">
        <v>100</v>
      </c>
      <c r="F82" s="184">
        <f t="shared" ref="F82" si="3">IFERROR(IF(ISNUMBER(D82),D82*E82,"-"),"")</f>
        <v>26300</v>
      </c>
      <c r="G82" s="31"/>
    </row>
    <row r="83" spans="1:12" s="8" customFormat="1" ht="37.5" x14ac:dyDescent="0.25">
      <c r="A83" s="129" t="s">
        <v>1258</v>
      </c>
      <c r="B83" s="129" t="s">
        <v>1323</v>
      </c>
      <c r="C83" s="141" t="s">
        <v>181</v>
      </c>
      <c r="D83" s="139">
        <v>15</v>
      </c>
      <c r="E83" s="210">
        <v>150</v>
      </c>
      <c r="F83" s="117">
        <f t="shared" ref="F83" si="4">IFERROR(IF(ISNUMBER(D83),D83*E83,"-"),"")</f>
        <v>2250</v>
      </c>
      <c r="G83" s="31"/>
    </row>
    <row r="84" spans="1:12" s="8" customFormat="1" x14ac:dyDescent="0.25">
      <c r="A84" s="129"/>
      <c r="B84" s="159" t="s">
        <v>1228</v>
      </c>
      <c r="C84" s="160"/>
      <c r="D84" s="139"/>
      <c r="E84" s="189"/>
      <c r="F84" s="121"/>
      <c r="G84" s="31"/>
    </row>
    <row r="85" spans="1:12" s="8" customFormat="1" ht="50" x14ac:dyDescent="0.25">
      <c r="A85" s="129" t="s">
        <v>1259</v>
      </c>
      <c r="B85" s="129" t="s">
        <v>1229</v>
      </c>
      <c r="C85" s="160" t="s">
        <v>1230</v>
      </c>
      <c r="D85" s="139" t="s">
        <v>1210</v>
      </c>
      <c r="E85" s="189">
        <v>1000</v>
      </c>
      <c r="F85" s="121"/>
      <c r="G85" s="31"/>
      <c r="H85" s="175" t="s">
        <v>1369</v>
      </c>
    </row>
    <row r="86" spans="1:12" s="8" customFormat="1" x14ac:dyDescent="0.25">
      <c r="A86" s="129" t="s">
        <v>1260</v>
      </c>
      <c r="B86" s="129" t="s">
        <v>1325</v>
      </c>
      <c r="C86" s="160" t="s">
        <v>1230</v>
      </c>
      <c r="D86" s="139" t="s">
        <v>1210</v>
      </c>
      <c r="E86" s="189">
        <v>1500</v>
      </c>
      <c r="F86" s="121"/>
      <c r="G86" s="31"/>
    </row>
    <row r="87" spans="1:12" s="8" customFormat="1" ht="25" x14ac:dyDescent="0.25">
      <c r="A87" s="129" t="s">
        <v>1261</v>
      </c>
      <c r="B87" s="129" t="s">
        <v>1326</v>
      </c>
      <c r="C87" s="160" t="s">
        <v>1230</v>
      </c>
      <c r="D87" s="139" t="s">
        <v>1210</v>
      </c>
      <c r="E87" s="189">
        <v>3000</v>
      </c>
      <c r="F87" s="121"/>
      <c r="G87" s="31"/>
    </row>
    <row r="88" spans="1:12" s="8" customFormat="1" ht="50" x14ac:dyDescent="0.25">
      <c r="A88" s="129" t="s">
        <v>1262</v>
      </c>
      <c r="B88" s="129" t="s">
        <v>1231</v>
      </c>
      <c r="C88" s="160" t="s">
        <v>1230</v>
      </c>
      <c r="D88" s="139" t="s">
        <v>1210</v>
      </c>
      <c r="E88" s="189">
        <v>2500</v>
      </c>
      <c r="F88" s="121"/>
      <c r="G88" s="31"/>
    </row>
    <row r="89" spans="1:12" s="8" customFormat="1" x14ac:dyDescent="0.25">
      <c r="A89" s="129" t="s">
        <v>1263</v>
      </c>
      <c r="B89" s="129" t="s">
        <v>1327</v>
      </c>
      <c r="C89" s="160" t="s">
        <v>1230</v>
      </c>
      <c r="D89" s="139" t="s">
        <v>1210</v>
      </c>
      <c r="E89" s="189">
        <v>3000</v>
      </c>
      <c r="F89" s="121"/>
      <c r="G89" s="31"/>
    </row>
    <row r="90" spans="1:12" s="8" customFormat="1" ht="25" x14ac:dyDescent="0.25">
      <c r="A90" s="129" t="s">
        <v>1264</v>
      </c>
      <c r="B90" s="129" t="s">
        <v>1328</v>
      </c>
      <c r="C90" s="160" t="s">
        <v>1230</v>
      </c>
      <c r="D90" s="139" t="s">
        <v>1210</v>
      </c>
      <c r="E90" s="189">
        <v>3500</v>
      </c>
      <c r="F90" s="121"/>
      <c r="G90" s="31"/>
    </row>
    <row r="91" spans="1:12" s="8" customFormat="1" ht="25" x14ac:dyDescent="0.25">
      <c r="A91" s="129" t="s">
        <v>1265</v>
      </c>
      <c r="B91" s="129" t="s">
        <v>1329</v>
      </c>
      <c r="C91" s="160" t="s">
        <v>1230</v>
      </c>
      <c r="D91" s="139" t="s">
        <v>1210</v>
      </c>
      <c r="E91" s="189">
        <v>4500</v>
      </c>
      <c r="F91" s="121"/>
      <c r="G91" s="31"/>
    </row>
    <row r="92" spans="1:12" s="8" customFormat="1" ht="25" x14ac:dyDescent="0.25">
      <c r="A92" s="129" t="s">
        <v>1266</v>
      </c>
      <c r="B92" s="129" t="s">
        <v>1354</v>
      </c>
      <c r="C92" s="160" t="s">
        <v>1230</v>
      </c>
      <c r="D92" s="139" t="s">
        <v>1210</v>
      </c>
      <c r="E92" s="189">
        <v>1500</v>
      </c>
      <c r="F92" s="121"/>
      <c r="G92" s="187"/>
      <c r="H92" s="188"/>
      <c r="I92" s="188"/>
      <c r="J92" s="188"/>
      <c r="K92" s="188"/>
      <c r="L92" s="188"/>
    </row>
    <row r="93" spans="1:12" s="8" customFormat="1" ht="25" x14ac:dyDescent="0.25">
      <c r="A93" s="129" t="s">
        <v>1267</v>
      </c>
      <c r="B93" s="129" t="s">
        <v>1355</v>
      </c>
      <c r="C93" s="160" t="s">
        <v>1230</v>
      </c>
      <c r="D93" s="139" t="s">
        <v>1210</v>
      </c>
      <c r="E93" s="189">
        <v>2500</v>
      </c>
      <c r="F93" s="121"/>
      <c r="G93" s="187"/>
      <c r="H93" s="188"/>
      <c r="I93" s="188"/>
      <c r="J93" s="188"/>
      <c r="K93" s="188"/>
      <c r="L93" s="188"/>
    </row>
    <row r="94" spans="1:12" s="8" customFormat="1" x14ac:dyDescent="0.25">
      <c r="A94" s="129" t="s">
        <v>1268</v>
      </c>
      <c r="B94" s="129" t="s">
        <v>1330</v>
      </c>
      <c r="C94" s="160" t="s">
        <v>1230</v>
      </c>
      <c r="D94" s="139" t="s">
        <v>1210</v>
      </c>
      <c r="E94" s="189">
        <v>2250</v>
      </c>
      <c r="F94" s="121"/>
      <c r="G94" s="31"/>
    </row>
    <row r="95" spans="1:12" s="8" customFormat="1" ht="25" x14ac:dyDescent="0.25">
      <c r="A95" s="129" t="s">
        <v>1269</v>
      </c>
      <c r="B95" s="129" t="s">
        <v>1331</v>
      </c>
      <c r="C95" s="160" t="s">
        <v>1230</v>
      </c>
      <c r="D95" s="139" t="s">
        <v>1210</v>
      </c>
      <c r="E95" s="189">
        <v>3750</v>
      </c>
      <c r="F95" s="121"/>
      <c r="G95" s="31"/>
    </row>
    <row r="96" spans="1:12" s="8" customFormat="1" ht="25" x14ac:dyDescent="0.25">
      <c r="A96" s="129" t="s">
        <v>1324</v>
      </c>
      <c r="B96" s="129" t="s">
        <v>1332</v>
      </c>
      <c r="C96" s="160" t="s">
        <v>1230</v>
      </c>
      <c r="D96" s="139" t="s">
        <v>1210</v>
      </c>
      <c r="E96" s="189">
        <v>500</v>
      </c>
      <c r="F96" s="121"/>
      <c r="G96" s="31"/>
    </row>
    <row r="97" spans="1:21" s="8" customFormat="1" ht="28.5" customHeight="1" x14ac:dyDescent="0.25">
      <c r="A97" s="129"/>
      <c r="B97" s="159" t="s">
        <v>1333</v>
      </c>
      <c r="C97" s="160"/>
      <c r="D97" s="139"/>
      <c r="E97" s="189"/>
      <c r="F97" s="121"/>
      <c r="G97" s="185"/>
      <c r="H97" s="186"/>
      <c r="I97" s="186"/>
      <c r="J97" s="186"/>
      <c r="K97" s="186"/>
      <c r="L97" s="186"/>
      <c r="M97" s="186"/>
      <c r="N97" s="186"/>
      <c r="O97" s="186"/>
      <c r="P97" s="186"/>
      <c r="Q97" s="186"/>
      <c r="R97" s="186"/>
      <c r="S97" s="186"/>
      <c r="T97" s="186"/>
      <c r="U97" s="186"/>
    </row>
    <row r="98" spans="1:21" s="8" customFormat="1" ht="87.5" x14ac:dyDescent="0.25">
      <c r="A98" s="129" t="s">
        <v>1274</v>
      </c>
      <c r="B98" s="129" t="s">
        <v>1347</v>
      </c>
      <c r="C98" s="160" t="s">
        <v>1230</v>
      </c>
      <c r="D98" s="139" t="s">
        <v>1210</v>
      </c>
      <c r="E98" s="189">
        <v>1500</v>
      </c>
      <c r="F98" s="121"/>
      <c r="G98" s="31"/>
    </row>
    <row r="99" spans="1:21" s="8" customFormat="1" ht="50" x14ac:dyDescent="0.25">
      <c r="A99" s="129" t="s">
        <v>1275</v>
      </c>
      <c r="B99" s="129" t="s">
        <v>1338</v>
      </c>
      <c r="C99" s="160" t="s">
        <v>1230</v>
      </c>
      <c r="D99" s="139" t="s">
        <v>1210</v>
      </c>
      <c r="E99" s="189">
        <v>2500</v>
      </c>
      <c r="F99" s="121"/>
      <c r="G99" s="31"/>
    </row>
    <row r="100" spans="1:21" s="8" customFormat="1" ht="25" x14ac:dyDescent="0.25">
      <c r="A100" s="129" t="s">
        <v>1276</v>
      </c>
      <c r="B100" s="129" t="s">
        <v>1339</v>
      </c>
      <c r="C100" s="160" t="s">
        <v>1230</v>
      </c>
      <c r="D100" s="139" t="s">
        <v>1210</v>
      </c>
      <c r="E100" s="189">
        <v>2000</v>
      </c>
      <c r="F100" s="121"/>
      <c r="G100" s="31"/>
    </row>
    <row r="101" spans="1:21" s="8" customFormat="1" ht="50" x14ac:dyDescent="0.25">
      <c r="A101" s="129" t="s">
        <v>1277</v>
      </c>
      <c r="B101" s="129" t="s">
        <v>1340</v>
      </c>
      <c r="C101" s="160" t="s">
        <v>1230</v>
      </c>
      <c r="D101" s="139" t="s">
        <v>1210</v>
      </c>
      <c r="E101" s="189">
        <v>3000</v>
      </c>
      <c r="F101" s="121"/>
      <c r="G101" s="31"/>
    </row>
    <row r="102" spans="1:21" s="8" customFormat="1" ht="75" x14ac:dyDescent="0.25">
      <c r="A102" s="129" t="s">
        <v>1278</v>
      </c>
      <c r="B102" s="129" t="s">
        <v>1348</v>
      </c>
      <c r="C102" s="160" t="s">
        <v>1230</v>
      </c>
      <c r="D102" s="139" t="s">
        <v>1210</v>
      </c>
      <c r="E102" s="189">
        <v>2500</v>
      </c>
      <c r="F102" s="121"/>
      <c r="G102" s="31"/>
    </row>
    <row r="103" spans="1:21" s="8" customFormat="1" ht="50" x14ac:dyDescent="0.25">
      <c r="A103" s="129" t="s">
        <v>1334</v>
      </c>
      <c r="B103" s="129" t="s">
        <v>1341</v>
      </c>
      <c r="C103" s="160" t="s">
        <v>1230</v>
      </c>
      <c r="D103" s="139" t="s">
        <v>1210</v>
      </c>
      <c r="E103" s="189">
        <v>3500</v>
      </c>
      <c r="F103" s="121"/>
      <c r="G103" s="31"/>
    </row>
    <row r="104" spans="1:21" s="8" customFormat="1" ht="25" x14ac:dyDescent="0.25">
      <c r="A104" s="129" t="s">
        <v>1335</v>
      </c>
      <c r="B104" s="129" t="s">
        <v>1342</v>
      </c>
      <c r="C104" s="160" t="s">
        <v>1230</v>
      </c>
      <c r="D104" s="139" t="s">
        <v>1210</v>
      </c>
      <c r="E104" s="189">
        <v>4000</v>
      </c>
      <c r="F104" s="121"/>
      <c r="G104" s="31"/>
    </row>
    <row r="105" spans="1:21" s="8" customFormat="1" ht="50" x14ac:dyDescent="0.25">
      <c r="A105" s="129" t="s">
        <v>1336</v>
      </c>
      <c r="B105" s="129" t="s">
        <v>1343</v>
      </c>
      <c r="C105" s="160" t="s">
        <v>1230</v>
      </c>
      <c r="D105" s="139" t="s">
        <v>1210</v>
      </c>
      <c r="E105" s="189">
        <v>5000</v>
      </c>
      <c r="F105" s="121"/>
      <c r="G105" s="31"/>
    </row>
    <row r="106" spans="1:21" x14ac:dyDescent="0.25">
      <c r="A106" s="129"/>
      <c r="B106" s="159" t="s">
        <v>477</v>
      </c>
      <c r="C106" s="160"/>
      <c r="D106" s="139"/>
      <c r="E106" s="212"/>
      <c r="F106" s="20"/>
    </row>
    <row r="107" spans="1:21" ht="25" x14ac:dyDescent="0.25">
      <c r="A107" s="129" t="s">
        <v>1337</v>
      </c>
      <c r="B107" s="129" t="s">
        <v>479</v>
      </c>
      <c r="C107" s="160" t="s">
        <v>1270</v>
      </c>
      <c r="D107" s="139" t="s">
        <v>1210</v>
      </c>
      <c r="E107" s="212">
        <v>250</v>
      </c>
      <c r="F107" s="20"/>
    </row>
    <row r="108" spans="1:21" x14ac:dyDescent="0.25">
      <c r="A108" s="129" t="s">
        <v>1275</v>
      </c>
      <c r="B108" s="129" t="s">
        <v>481</v>
      </c>
      <c r="C108" s="160" t="s">
        <v>160</v>
      </c>
      <c r="D108" s="139" t="s">
        <v>1210</v>
      </c>
      <c r="E108" s="212">
        <v>50</v>
      </c>
      <c r="F108" s="20"/>
    </row>
    <row r="109" spans="1:21" ht="37.5" x14ac:dyDescent="0.25">
      <c r="A109" s="129" t="s">
        <v>1276</v>
      </c>
      <c r="B109" s="129" t="s">
        <v>1271</v>
      </c>
      <c r="C109" s="160" t="s">
        <v>11</v>
      </c>
      <c r="D109" s="139" t="s">
        <v>1210</v>
      </c>
      <c r="E109" s="212">
        <v>1500</v>
      </c>
      <c r="F109" s="20"/>
    </row>
    <row r="110" spans="1:21" ht="25" x14ac:dyDescent="0.25">
      <c r="A110" s="129" t="s">
        <v>1277</v>
      </c>
      <c r="B110" s="129" t="s">
        <v>1272</v>
      </c>
      <c r="C110" s="160" t="s">
        <v>210</v>
      </c>
      <c r="D110" s="139" t="s">
        <v>1210</v>
      </c>
      <c r="E110" s="212">
        <v>500</v>
      </c>
      <c r="F110" s="20"/>
    </row>
    <row r="111" spans="1:21" ht="25" x14ac:dyDescent="0.25">
      <c r="A111" s="129" t="s">
        <v>1278</v>
      </c>
      <c r="B111" s="129" t="s">
        <v>1273</v>
      </c>
      <c r="C111" s="160" t="s">
        <v>210</v>
      </c>
      <c r="D111" s="139" t="s">
        <v>1210</v>
      </c>
      <c r="E111" s="212">
        <v>500</v>
      </c>
      <c r="F111" s="20"/>
    </row>
    <row r="112" spans="1:21" ht="12.75" customHeight="1" x14ac:dyDescent="0.25">
      <c r="B112" s="60" t="s">
        <v>507</v>
      </c>
      <c r="C112" s="61"/>
      <c r="D112" s="61"/>
      <c r="E112" s="120"/>
      <c r="F112" s="158">
        <f>F77+F80+F82+F83</f>
        <v>202150</v>
      </c>
    </row>
    <row r="115" spans="3:3" x14ac:dyDescent="0.25">
      <c r="C115" s="16"/>
    </row>
    <row r="116" spans="3:3" x14ac:dyDescent="0.25">
      <c r="C116" s="16"/>
    </row>
    <row r="117" spans="3:3" x14ac:dyDescent="0.25">
      <c r="C117" s="16"/>
    </row>
    <row r="118" spans="3:3" x14ac:dyDescent="0.25">
      <c r="C118" s="16"/>
    </row>
    <row r="119" spans="3:3" x14ac:dyDescent="0.25">
      <c r="C119" s="16"/>
    </row>
    <row r="120" spans="3:3" x14ac:dyDescent="0.25">
      <c r="C120" s="16"/>
    </row>
    <row r="121" spans="3:3" x14ac:dyDescent="0.25">
      <c r="C121" s="16"/>
    </row>
    <row r="122" spans="3:3" x14ac:dyDescent="0.25">
      <c r="C122" s="16"/>
    </row>
    <row r="123" spans="3:3" x14ac:dyDescent="0.25">
      <c r="C123" s="16"/>
    </row>
    <row r="124" spans="3:3" x14ac:dyDescent="0.25">
      <c r="C124" s="16"/>
    </row>
    <row r="125" spans="3:3" x14ac:dyDescent="0.25">
      <c r="C125" s="16"/>
    </row>
    <row r="126" spans="3:3" x14ac:dyDescent="0.25">
      <c r="C126" s="16"/>
    </row>
    <row r="127" spans="3:3" x14ac:dyDescent="0.25">
      <c r="C127" s="16"/>
    </row>
    <row r="128" spans="3:3" x14ac:dyDescent="0.25">
      <c r="C128" s="16"/>
    </row>
  </sheetData>
  <mergeCells count="4">
    <mergeCell ref="G97:U97"/>
    <mergeCell ref="G80:M80"/>
    <mergeCell ref="G92:L92"/>
    <mergeCell ref="G93:L93"/>
  </mergeCells>
  <phoneticPr fontId="26" type="noConversion"/>
  <pageMargins left="0.62992125984251968" right="0.62992125984251968" top="1.1417322834645669" bottom="0.74803149606299213" header="0.31496062992125984" footer="0.31496062992125984"/>
  <pageSetup paperSize="9" scale="95" orientation="portrait" r:id="rId1"/>
  <headerFooter>
    <oddHeader>&amp;L&amp;G&amp;C&amp;G&amp;R&amp;G</oddHeader>
    <oddFooter>&amp;L&amp;F</oddFooter>
    <firstHeader>&amp;L&amp;G&amp;C&amp;F&amp;R&amp;G</first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97ACF-6EC2-4628-B3E8-4D62483184D7}">
  <dimension ref="A2:I28"/>
  <sheetViews>
    <sheetView view="pageBreakPreview" zoomScale="90" zoomScaleNormal="100" zoomScaleSheetLayoutView="90" workbookViewId="0">
      <selection activeCell="H1" sqref="H1:L1048576"/>
    </sheetView>
  </sheetViews>
  <sheetFormatPr defaultColWidth="9.1796875" defaultRowHeight="12.5" x14ac:dyDescent="0.25"/>
  <cols>
    <col min="1" max="1" width="9.1796875" style="16"/>
    <col min="2" max="2" width="35.54296875" style="16" customWidth="1"/>
    <col min="3" max="3" width="8" style="21" customWidth="1"/>
    <col min="4" max="4" width="11.453125" style="204" customWidth="1"/>
    <col min="5" max="5" width="11.453125" style="22" customWidth="1"/>
    <col min="6" max="6" width="11.453125" style="23" customWidth="1"/>
    <col min="7" max="7" width="2.1796875" style="21" customWidth="1"/>
    <col min="8" max="16384" width="9.1796875" style="16"/>
  </cols>
  <sheetData>
    <row r="2" spans="1:9" x14ac:dyDescent="0.25">
      <c r="A2" s="1" t="s">
        <v>0</v>
      </c>
      <c r="B2" s="1" t="s">
        <v>1</v>
      </c>
      <c r="C2" s="1" t="s">
        <v>2</v>
      </c>
      <c r="D2" s="1" t="s">
        <v>3</v>
      </c>
      <c r="E2" s="2" t="s">
        <v>4</v>
      </c>
      <c r="F2" s="3" t="s">
        <v>5</v>
      </c>
      <c r="G2" s="25"/>
    </row>
    <row r="3" spans="1:9" x14ac:dyDescent="0.25">
      <c r="A3" s="40"/>
      <c r="B3" s="40"/>
      <c r="C3" s="41"/>
      <c r="D3" s="41"/>
      <c r="E3" s="63" t="s">
        <v>6</v>
      </c>
      <c r="F3" s="42" t="s">
        <v>6</v>
      </c>
    </row>
    <row r="4" spans="1:9" s="8" customFormat="1" ht="26" x14ac:dyDescent="0.25">
      <c r="A4" s="4" t="s">
        <v>508</v>
      </c>
      <c r="B4" s="4" t="s">
        <v>509</v>
      </c>
      <c r="C4" s="4"/>
      <c r="D4" s="55"/>
      <c r="E4" s="64"/>
      <c r="F4" s="65"/>
      <c r="G4" s="66"/>
    </row>
    <row r="5" spans="1:9" s="8" customFormat="1" ht="14.5" x14ac:dyDescent="0.25">
      <c r="A5" s="56"/>
      <c r="B5" s="67" t="s">
        <v>510</v>
      </c>
      <c r="C5" s="24"/>
      <c r="D5" s="144"/>
      <c r="E5" s="58"/>
      <c r="F5" s="65"/>
      <c r="G5" s="68"/>
    </row>
    <row r="6" spans="1:9" s="8" customFormat="1" x14ac:dyDescent="0.25">
      <c r="A6" s="9" t="s">
        <v>511</v>
      </c>
      <c r="B6" s="9" t="s">
        <v>512</v>
      </c>
      <c r="C6" s="11" t="s">
        <v>54</v>
      </c>
      <c r="D6" s="139" t="s">
        <v>1187</v>
      </c>
      <c r="E6" s="213" t="str">
        <f>IF(ISNUMBER(D6),"","N/A")</f>
        <v>N/A</v>
      </c>
      <c r="F6" s="117" t="str">
        <f>IFERROR(IF(ISNUMBER(D6),D6*E6,"-"),"")</f>
        <v>-</v>
      </c>
      <c r="G6" s="31"/>
    </row>
    <row r="7" spans="1:9" s="8" customFormat="1" x14ac:dyDescent="0.25">
      <c r="A7" s="9" t="s">
        <v>513</v>
      </c>
      <c r="B7" s="9" t="s">
        <v>514</v>
      </c>
      <c r="C7" s="11" t="s">
        <v>54</v>
      </c>
      <c r="D7" s="140">
        <v>2456</v>
      </c>
      <c r="E7" s="213">
        <v>5</v>
      </c>
      <c r="F7" s="117">
        <f t="shared" ref="F7:F25" si="0">IFERROR(IF(ISNUMBER(D7),D7*E7,"-"),"")</f>
        <v>12280</v>
      </c>
      <c r="G7" s="31"/>
    </row>
    <row r="8" spans="1:9" s="8" customFormat="1" x14ac:dyDescent="0.25">
      <c r="A8" s="9" t="s">
        <v>515</v>
      </c>
      <c r="B8" s="9" t="s">
        <v>516</v>
      </c>
      <c r="C8" s="11" t="s">
        <v>54</v>
      </c>
      <c r="D8" s="140">
        <f>D7</f>
        <v>2456</v>
      </c>
      <c r="E8" s="213">
        <v>5</v>
      </c>
      <c r="F8" s="117">
        <f t="shared" si="0"/>
        <v>12280</v>
      </c>
      <c r="G8" s="31"/>
    </row>
    <row r="9" spans="1:9" s="8" customFormat="1" x14ac:dyDescent="0.25">
      <c r="A9" s="9" t="s">
        <v>517</v>
      </c>
      <c r="B9" s="9" t="s">
        <v>518</v>
      </c>
      <c r="C9" s="11" t="s">
        <v>54</v>
      </c>
      <c r="D9" s="140">
        <v>50</v>
      </c>
      <c r="E9" s="213">
        <v>5</v>
      </c>
      <c r="F9" s="117">
        <f t="shared" si="0"/>
        <v>250</v>
      </c>
      <c r="G9" s="31"/>
      <c r="I9" s="175"/>
    </row>
    <row r="10" spans="1:9" s="8" customFormat="1" ht="25" x14ac:dyDescent="0.25">
      <c r="A10" s="9" t="s">
        <v>519</v>
      </c>
      <c r="B10" s="9" t="s">
        <v>520</v>
      </c>
      <c r="C10" s="11" t="s">
        <v>54</v>
      </c>
      <c r="D10" s="140">
        <v>158.19999999999999</v>
      </c>
      <c r="E10" s="213">
        <v>20</v>
      </c>
      <c r="F10" s="117">
        <f t="shared" si="0"/>
        <v>3164</v>
      </c>
      <c r="G10" s="31"/>
    </row>
    <row r="11" spans="1:9" s="8" customFormat="1" ht="25" x14ac:dyDescent="0.25">
      <c r="A11" s="9" t="s">
        <v>521</v>
      </c>
      <c r="B11" s="9" t="s">
        <v>522</v>
      </c>
      <c r="C11" s="11" t="s">
        <v>54</v>
      </c>
      <c r="D11" s="140">
        <v>79.099999999999994</v>
      </c>
      <c r="E11" s="213">
        <v>20</v>
      </c>
      <c r="F11" s="117">
        <f t="shared" si="0"/>
        <v>1582</v>
      </c>
      <c r="G11" s="31"/>
    </row>
    <row r="12" spans="1:9" s="8" customFormat="1" x14ac:dyDescent="0.25">
      <c r="A12" s="9" t="s">
        <v>523</v>
      </c>
      <c r="B12" s="9" t="s">
        <v>524</v>
      </c>
      <c r="C12" s="11" t="s">
        <v>54</v>
      </c>
      <c r="D12" s="139">
        <v>40</v>
      </c>
      <c r="E12" s="213">
        <v>40</v>
      </c>
      <c r="F12" s="117">
        <f t="shared" si="0"/>
        <v>1600</v>
      </c>
      <c r="G12" s="31"/>
    </row>
    <row r="13" spans="1:9" s="8" customFormat="1" ht="25" x14ac:dyDescent="0.25">
      <c r="A13" s="129" t="s">
        <v>525</v>
      </c>
      <c r="B13" s="129" t="s">
        <v>526</v>
      </c>
      <c r="C13" s="130" t="s">
        <v>11</v>
      </c>
      <c r="D13" s="140">
        <v>10</v>
      </c>
      <c r="E13" s="213">
        <v>5</v>
      </c>
      <c r="F13" s="117">
        <f t="shared" si="0"/>
        <v>50</v>
      </c>
      <c r="G13" s="31"/>
      <c r="I13" s="168"/>
    </row>
    <row r="14" spans="1:9" s="8" customFormat="1" ht="25" x14ac:dyDescent="0.25">
      <c r="A14" s="129" t="s">
        <v>527</v>
      </c>
      <c r="B14" s="129" t="s">
        <v>528</v>
      </c>
      <c r="C14" s="130" t="s">
        <v>11</v>
      </c>
      <c r="D14" s="140">
        <v>10</v>
      </c>
      <c r="E14" s="213">
        <v>5</v>
      </c>
      <c r="F14" s="117">
        <f t="shared" si="0"/>
        <v>50</v>
      </c>
      <c r="G14" s="31"/>
    </row>
    <row r="15" spans="1:9" s="8" customFormat="1" ht="25" x14ac:dyDescent="0.25">
      <c r="A15" s="129" t="s">
        <v>529</v>
      </c>
      <c r="B15" s="129" t="s">
        <v>1185</v>
      </c>
      <c r="C15" s="130" t="s">
        <v>11</v>
      </c>
      <c r="D15" s="139" t="s">
        <v>1187</v>
      </c>
      <c r="E15" s="213">
        <v>5</v>
      </c>
      <c r="F15" s="117" t="str">
        <f t="shared" si="0"/>
        <v>-</v>
      </c>
      <c r="G15" s="31"/>
    </row>
    <row r="16" spans="1:9" s="8" customFormat="1" x14ac:dyDescent="0.25">
      <c r="A16" s="9" t="s">
        <v>530</v>
      </c>
      <c r="B16" s="9" t="s">
        <v>531</v>
      </c>
      <c r="C16" s="11" t="s">
        <v>54</v>
      </c>
      <c r="D16" s="139">
        <v>50</v>
      </c>
      <c r="E16" s="213">
        <v>5</v>
      </c>
      <c r="F16" s="117">
        <f t="shared" si="0"/>
        <v>250</v>
      </c>
      <c r="G16" s="31"/>
    </row>
    <row r="17" spans="1:7" s="8" customFormat="1" x14ac:dyDescent="0.25">
      <c r="A17" s="9" t="s">
        <v>532</v>
      </c>
      <c r="B17" s="9" t="s">
        <v>533</v>
      </c>
      <c r="C17" s="11" t="s">
        <v>54</v>
      </c>
      <c r="D17" s="139" t="s">
        <v>1187</v>
      </c>
      <c r="E17" s="213" t="str">
        <f t="shared" ref="E17:E21" si="1">IF(ISNUMBER(D17),"","N/A")</f>
        <v>N/A</v>
      </c>
      <c r="F17" s="117" t="str">
        <f t="shared" si="0"/>
        <v>-</v>
      </c>
      <c r="G17" s="31"/>
    </row>
    <row r="18" spans="1:7" s="8" customFormat="1" x14ac:dyDescent="0.25">
      <c r="A18" s="9" t="s">
        <v>534</v>
      </c>
      <c r="B18" s="9" t="s">
        <v>535</v>
      </c>
      <c r="C18" s="11" t="s">
        <v>54</v>
      </c>
      <c r="D18" s="140">
        <v>50</v>
      </c>
      <c r="E18" s="213">
        <v>5</v>
      </c>
      <c r="F18" s="117">
        <f t="shared" si="0"/>
        <v>250</v>
      </c>
      <c r="G18" s="31"/>
    </row>
    <row r="19" spans="1:7" s="8" customFormat="1" ht="25" x14ac:dyDescent="0.25">
      <c r="A19" s="9"/>
      <c r="B19" s="50" t="s">
        <v>536</v>
      </c>
      <c r="C19" s="11"/>
      <c r="D19" s="139"/>
      <c r="E19" s="213"/>
      <c r="F19" s="117"/>
      <c r="G19" s="31"/>
    </row>
    <row r="20" spans="1:7" s="8" customFormat="1" ht="25" x14ac:dyDescent="0.25">
      <c r="A20" s="9" t="s">
        <v>537</v>
      </c>
      <c r="B20" s="9" t="s">
        <v>538</v>
      </c>
      <c r="C20" s="11" t="s">
        <v>54</v>
      </c>
      <c r="D20" s="139">
        <v>280</v>
      </c>
      <c r="E20" s="213">
        <v>5</v>
      </c>
      <c r="F20" s="117">
        <f t="shared" si="0"/>
        <v>1400</v>
      </c>
      <c r="G20" s="31"/>
    </row>
    <row r="21" spans="1:7" s="8" customFormat="1" ht="25" x14ac:dyDescent="0.25">
      <c r="A21" s="9" t="s">
        <v>539</v>
      </c>
      <c r="B21" s="9" t="s">
        <v>540</v>
      </c>
      <c r="C21" s="11" t="s">
        <v>54</v>
      </c>
      <c r="D21" s="139" t="s">
        <v>1187</v>
      </c>
      <c r="E21" s="213" t="str">
        <f t="shared" si="1"/>
        <v>N/A</v>
      </c>
      <c r="F21" s="117" t="str">
        <f t="shared" si="0"/>
        <v>-</v>
      </c>
      <c r="G21" s="31"/>
    </row>
    <row r="22" spans="1:7" s="8" customFormat="1" x14ac:dyDescent="0.25">
      <c r="A22" s="9" t="s">
        <v>541</v>
      </c>
      <c r="B22" s="9" t="s">
        <v>542</v>
      </c>
      <c r="C22" s="11" t="s">
        <v>54</v>
      </c>
      <c r="D22" s="139" t="s">
        <v>1187</v>
      </c>
      <c r="E22" s="213" t="s">
        <v>1373</v>
      </c>
      <c r="F22" s="117" t="str">
        <f t="shared" si="0"/>
        <v>-</v>
      </c>
      <c r="G22" s="31"/>
    </row>
    <row r="23" spans="1:7" s="8" customFormat="1" ht="25" x14ac:dyDescent="0.25">
      <c r="A23" s="9" t="s">
        <v>543</v>
      </c>
      <c r="B23" s="9" t="s">
        <v>1360</v>
      </c>
      <c r="C23" s="11" t="s">
        <v>54</v>
      </c>
      <c r="D23" s="139">
        <v>10</v>
      </c>
      <c r="E23" s="213">
        <v>5</v>
      </c>
      <c r="F23" s="117">
        <f t="shared" ref="F23" si="2">IFERROR(IF(ISNUMBER(D23),D23*E23,"-"),"")</f>
        <v>50</v>
      </c>
      <c r="G23" s="31"/>
    </row>
    <row r="24" spans="1:7" s="8" customFormat="1" ht="25" x14ac:dyDescent="0.25">
      <c r="A24" s="9" t="s">
        <v>544</v>
      </c>
      <c r="B24" s="9" t="s">
        <v>545</v>
      </c>
      <c r="C24" s="11" t="s">
        <v>54</v>
      </c>
      <c r="D24" s="139">
        <v>280</v>
      </c>
      <c r="E24" s="213">
        <v>5</v>
      </c>
      <c r="F24" s="117">
        <f t="shared" si="0"/>
        <v>1400</v>
      </c>
      <c r="G24" s="31"/>
    </row>
    <row r="25" spans="1:7" s="8" customFormat="1" ht="37.5" x14ac:dyDescent="0.25">
      <c r="A25" s="9" t="s">
        <v>546</v>
      </c>
      <c r="B25" s="9" t="s">
        <v>547</v>
      </c>
      <c r="C25" s="11" t="s">
        <v>54</v>
      </c>
      <c r="D25" s="139" t="s">
        <v>1187</v>
      </c>
      <c r="E25" s="213">
        <v>5</v>
      </c>
      <c r="F25" s="117" t="str">
        <f t="shared" si="0"/>
        <v>-</v>
      </c>
      <c r="G25" s="31"/>
    </row>
    <row r="26" spans="1:7" s="8" customFormat="1" x14ac:dyDescent="0.25">
      <c r="A26" s="9"/>
      <c r="B26" s="9"/>
      <c r="C26" s="11"/>
      <c r="D26" s="139"/>
      <c r="E26" s="12"/>
      <c r="F26" s="117"/>
      <c r="G26" s="31"/>
    </row>
    <row r="27" spans="1:7" s="8" customFormat="1" ht="25" x14ac:dyDescent="0.25">
      <c r="A27" s="9"/>
      <c r="B27" s="9" t="s">
        <v>548</v>
      </c>
      <c r="C27" s="11"/>
      <c r="D27" s="139"/>
      <c r="E27" s="12"/>
      <c r="F27" s="117"/>
      <c r="G27" s="31"/>
    </row>
    <row r="28" spans="1:7" ht="12.75" customHeight="1" x14ac:dyDescent="0.25">
      <c r="B28" s="60" t="s">
        <v>549</v>
      </c>
      <c r="C28" s="61"/>
      <c r="D28" s="61"/>
      <c r="E28" s="62"/>
      <c r="F28" s="121">
        <f>IF(SUM(F6:F25)=0,"",SUM(F6:F27))</f>
        <v>34606</v>
      </c>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C9E43-FFFF-4808-B325-80B499FF8DC6}">
  <dimension ref="A2:H29"/>
  <sheetViews>
    <sheetView view="pageBreakPreview" zoomScale="80" zoomScaleNormal="100" zoomScaleSheetLayoutView="80" workbookViewId="0">
      <selection activeCell="F6" sqref="F6"/>
    </sheetView>
  </sheetViews>
  <sheetFormatPr defaultColWidth="9.1796875" defaultRowHeight="12.5" x14ac:dyDescent="0.25"/>
  <cols>
    <col min="1" max="1" width="9.1796875" style="16"/>
    <col min="2" max="2" width="35.54296875" style="16" customWidth="1"/>
    <col min="3" max="3" width="7.54296875" style="21" customWidth="1"/>
    <col min="4" max="4" width="11.453125" style="190" customWidth="1"/>
    <col min="5" max="5" width="11.453125" style="21" customWidth="1"/>
    <col min="6" max="6" width="11.453125" style="23" customWidth="1"/>
    <col min="7" max="16384" width="9.1796875" style="16"/>
  </cols>
  <sheetData>
    <row r="2" spans="1:8" x14ac:dyDescent="0.25">
      <c r="A2" s="1" t="s">
        <v>0</v>
      </c>
      <c r="B2" s="1" t="s">
        <v>1</v>
      </c>
      <c r="C2" s="1" t="s">
        <v>2</v>
      </c>
      <c r="D2" s="131" t="s">
        <v>3</v>
      </c>
      <c r="E2" s="1" t="s">
        <v>4</v>
      </c>
      <c r="F2" s="3" t="s">
        <v>5</v>
      </c>
    </row>
    <row r="3" spans="1:8" ht="18" x14ac:dyDescent="0.4">
      <c r="A3" s="40"/>
      <c r="B3" s="146" t="s">
        <v>1199</v>
      </c>
      <c r="C3" s="41"/>
      <c r="D3" s="134"/>
      <c r="E3" s="41" t="s">
        <v>6</v>
      </c>
      <c r="F3" s="42" t="s">
        <v>6</v>
      </c>
    </row>
    <row r="4" spans="1:8" s="8" customFormat="1" ht="13" x14ac:dyDescent="0.25">
      <c r="A4" s="4" t="s">
        <v>550</v>
      </c>
      <c r="B4" s="4" t="s">
        <v>551</v>
      </c>
      <c r="C4" s="70"/>
      <c r="D4" s="199"/>
      <c r="E4" s="70"/>
      <c r="F4" s="36"/>
    </row>
    <row r="5" spans="1:8" s="8" customFormat="1" x14ac:dyDescent="0.25">
      <c r="A5" s="9"/>
      <c r="B5" s="50" t="s">
        <v>552</v>
      </c>
      <c r="C5" s="11"/>
      <c r="D5" s="189"/>
      <c r="E5" s="11"/>
      <c r="F5" s="36"/>
    </row>
    <row r="6" spans="1:8" s="8" customFormat="1" ht="25" x14ac:dyDescent="0.25">
      <c r="A6" s="9" t="s">
        <v>553</v>
      </c>
      <c r="B6" s="129" t="s">
        <v>1195</v>
      </c>
      <c r="C6" s="11" t="s">
        <v>54</v>
      </c>
      <c r="D6" s="192">
        <v>95</v>
      </c>
      <c r="E6" s="209">
        <v>500</v>
      </c>
      <c r="F6" s="117">
        <f>IFERROR(IF(ISNUMBER(D6),D6*E6,"-"),"")</f>
        <v>47500</v>
      </c>
    </row>
    <row r="7" spans="1:8" s="8" customFormat="1" ht="25" x14ac:dyDescent="0.25">
      <c r="A7" s="9" t="s">
        <v>554</v>
      </c>
      <c r="B7" s="129" t="s">
        <v>555</v>
      </c>
      <c r="C7" s="11" t="s">
        <v>54</v>
      </c>
      <c r="D7" s="192" t="s">
        <v>1187</v>
      </c>
      <c r="E7" s="209" t="str">
        <f t="shared" ref="E7:E28" si="0">IF(ISNUMBER(D7),"","N/A")</f>
        <v>N/A</v>
      </c>
      <c r="F7" s="117" t="str">
        <f t="shared" ref="F7:F28" si="1">IFERROR(IF(ISNUMBER(D7),D7*E7,"-"),"")</f>
        <v>-</v>
      </c>
    </row>
    <row r="8" spans="1:8" s="8" customFormat="1" ht="25" x14ac:dyDescent="0.25">
      <c r="A8" s="9" t="s">
        <v>556</v>
      </c>
      <c r="B8" s="129" t="s">
        <v>557</v>
      </c>
      <c r="C8" s="11" t="s">
        <v>149</v>
      </c>
      <c r="D8" s="192">
        <v>475</v>
      </c>
      <c r="E8" s="209">
        <v>10</v>
      </c>
      <c r="F8" s="117">
        <f>IFERROR(IF(ISNUMBER(D8),D8*E8,"-"),"")</f>
        <v>4750</v>
      </c>
    </row>
    <row r="9" spans="1:8" s="8" customFormat="1" x14ac:dyDescent="0.25">
      <c r="A9" s="9" t="s">
        <v>558</v>
      </c>
      <c r="B9" s="129" t="s">
        <v>559</v>
      </c>
      <c r="C9" s="11" t="s">
        <v>149</v>
      </c>
      <c r="D9" s="192">
        <v>50</v>
      </c>
      <c r="E9" s="209">
        <v>20</v>
      </c>
      <c r="F9" s="117">
        <f>IFERROR(IF(ISNUMBER(D9),D9*E9,"-"),"")</f>
        <v>1000</v>
      </c>
    </row>
    <row r="10" spans="1:8" s="8" customFormat="1" x14ac:dyDescent="0.25">
      <c r="A10" s="9" t="s">
        <v>560</v>
      </c>
      <c r="B10" s="129" t="s">
        <v>561</v>
      </c>
      <c r="C10" s="11" t="s">
        <v>149</v>
      </c>
      <c r="D10" s="192" t="s">
        <v>1187</v>
      </c>
      <c r="E10" s="209" t="str">
        <f t="shared" si="0"/>
        <v>N/A</v>
      </c>
      <c r="F10" s="117" t="str">
        <f t="shared" si="1"/>
        <v>-</v>
      </c>
    </row>
    <row r="11" spans="1:8" s="8" customFormat="1" ht="37.5" x14ac:dyDescent="0.25">
      <c r="A11" s="9" t="s">
        <v>562</v>
      </c>
      <c r="B11" s="129" t="s">
        <v>1345</v>
      </c>
      <c r="C11" s="11" t="s">
        <v>160</v>
      </c>
      <c r="D11" s="192">
        <v>10</v>
      </c>
      <c r="E11" s="209">
        <v>150</v>
      </c>
      <c r="F11" s="117">
        <f>IFERROR(IF(ISNUMBER(D11),D11*E11,"-"),"")</f>
        <v>1500</v>
      </c>
      <c r="H11" s="31"/>
    </row>
    <row r="12" spans="1:8" s="8" customFormat="1" ht="50" x14ac:dyDescent="0.25">
      <c r="A12" s="9" t="s">
        <v>563</v>
      </c>
      <c r="B12" s="129" t="s">
        <v>1179</v>
      </c>
      <c r="C12" s="11" t="s">
        <v>210</v>
      </c>
      <c r="D12" s="192" t="s">
        <v>1187</v>
      </c>
      <c r="E12" s="209" t="str">
        <f t="shared" si="0"/>
        <v>N/A</v>
      </c>
      <c r="F12" s="117" t="str">
        <f t="shared" si="1"/>
        <v>-</v>
      </c>
    </row>
    <row r="13" spans="1:8" s="8" customFormat="1" ht="13" x14ac:dyDescent="0.25">
      <c r="A13" s="9"/>
      <c r="B13" s="35" t="s">
        <v>564</v>
      </c>
      <c r="C13" s="11"/>
      <c r="D13" s="192"/>
      <c r="E13" s="209"/>
      <c r="F13" s="117"/>
    </row>
    <row r="14" spans="1:8" s="8" customFormat="1" ht="25" x14ac:dyDescent="0.25">
      <c r="A14" s="9" t="s">
        <v>565</v>
      </c>
      <c r="B14" s="129" t="s">
        <v>566</v>
      </c>
      <c r="C14" s="11" t="s">
        <v>54</v>
      </c>
      <c r="D14" s="192" t="s">
        <v>1187</v>
      </c>
      <c r="E14" s="209" t="str">
        <f t="shared" si="0"/>
        <v>N/A</v>
      </c>
      <c r="F14" s="117" t="str">
        <f t="shared" si="1"/>
        <v>-</v>
      </c>
    </row>
    <row r="15" spans="1:8" s="8" customFormat="1" ht="25" x14ac:dyDescent="0.25">
      <c r="A15" s="9" t="s">
        <v>567</v>
      </c>
      <c r="B15" s="129" t="s">
        <v>568</v>
      </c>
      <c r="C15" s="11" t="s">
        <v>54</v>
      </c>
      <c r="D15" s="192" t="s">
        <v>1187</v>
      </c>
      <c r="E15" s="209" t="str">
        <f t="shared" si="0"/>
        <v>N/A</v>
      </c>
      <c r="F15" s="117" t="str">
        <f t="shared" si="1"/>
        <v>-</v>
      </c>
    </row>
    <row r="16" spans="1:8" s="8" customFormat="1" ht="50" x14ac:dyDescent="0.25">
      <c r="A16" s="9" t="s">
        <v>569</v>
      </c>
      <c r="B16" s="129" t="s">
        <v>570</v>
      </c>
      <c r="C16" s="11" t="s">
        <v>149</v>
      </c>
      <c r="D16" s="192" t="s">
        <v>1187</v>
      </c>
      <c r="E16" s="209" t="str">
        <f t="shared" si="0"/>
        <v>N/A</v>
      </c>
      <c r="F16" s="117" t="str">
        <f t="shared" si="1"/>
        <v>-</v>
      </c>
    </row>
    <row r="17" spans="1:6" s="8" customFormat="1" ht="25" x14ac:dyDescent="0.25">
      <c r="A17" s="9" t="s">
        <v>571</v>
      </c>
      <c r="B17" s="129" t="s">
        <v>572</v>
      </c>
      <c r="C17" s="11" t="s">
        <v>149</v>
      </c>
      <c r="D17" s="192" t="s">
        <v>1187</v>
      </c>
      <c r="E17" s="209" t="str">
        <f t="shared" si="0"/>
        <v>N/A</v>
      </c>
      <c r="F17" s="117" t="str">
        <f t="shared" si="1"/>
        <v>-</v>
      </c>
    </row>
    <row r="18" spans="1:6" s="8" customFormat="1" ht="25" x14ac:dyDescent="0.25">
      <c r="A18" s="9" t="s">
        <v>573</v>
      </c>
      <c r="B18" s="129" t="s">
        <v>574</v>
      </c>
      <c r="C18" s="11" t="s">
        <v>149</v>
      </c>
      <c r="D18" s="192" t="s">
        <v>1187</v>
      </c>
      <c r="E18" s="209" t="str">
        <f t="shared" si="0"/>
        <v>N/A</v>
      </c>
      <c r="F18" s="117" t="str">
        <f t="shared" si="1"/>
        <v>-</v>
      </c>
    </row>
    <row r="19" spans="1:6" s="8" customFormat="1" ht="25" x14ac:dyDescent="0.25">
      <c r="A19" s="9" t="s">
        <v>575</v>
      </c>
      <c r="B19" s="129" t="s">
        <v>576</v>
      </c>
      <c r="C19" s="11" t="s">
        <v>149</v>
      </c>
      <c r="D19" s="192" t="s">
        <v>1187</v>
      </c>
      <c r="E19" s="209" t="str">
        <f t="shared" si="0"/>
        <v>N/A</v>
      </c>
      <c r="F19" s="117" t="str">
        <f t="shared" si="1"/>
        <v>-</v>
      </c>
    </row>
    <row r="20" spans="1:6" s="8" customFormat="1" ht="25" x14ac:dyDescent="0.25">
      <c r="A20" s="9" t="s">
        <v>577</v>
      </c>
      <c r="B20" s="129" t="s">
        <v>578</v>
      </c>
      <c r="C20" s="11" t="s">
        <v>149</v>
      </c>
      <c r="D20" s="192" t="s">
        <v>1187</v>
      </c>
      <c r="E20" s="209" t="str">
        <f t="shared" si="0"/>
        <v>N/A</v>
      </c>
      <c r="F20" s="117" t="str">
        <f t="shared" si="1"/>
        <v>-</v>
      </c>
    </row>
    <row r="21" spans="1:6" s="8" customFormat="1" ht="25" x14ac:dyDescent="0.25">
      <c r="A21" s="9" t="s">
        <v>579</v>
      </c>
      <c r="B21" s="129" t="s">
        <v>580</v>
      </c>
      <c r="C21" s="11" t="s">
        <v>149</v>
      </c>
      <c r="D21" s="192" t="s">
        <v>1187</v>
      </c>
      <c r="E21" s="209" t="str">
        <f t="shared" si="0"/>
        <v>N/A</v>
      </c>
      <c r="F21" s="117" t="str">
        <f t="shared" si="1"/>
        <v>-</v>
      </c>
    </row>
    <row r="22" spans="1:6" s="8" customFormat="1" ht="25" x14ac:dyDescent="0.25">
      <c r="A22" s="9" t="s">
        <v>581</v>
      </c>
      <c r="B22" s="129" t="s">
        <v>582</v>
      </c>
      <c r="C22" s="11" t="s">
        <v>54</v>
      </c>
      <c r="D22" s="192" t="s">
        <v>1187</v>
      </c>
      <c r="E22" s="209" t="str">
        <f t="shared" si="0"/>
        <v>N/A</v>
      </c>
      <c r="F22" s="117" t="str">
        <f t="shared" si="1"/>
        <v>-</v>
      </c>
    </row>
    <row r="23" spans="1:6" s="8" customFormat="1" ht="25" x14ac:dyDescent="0.25">
      <c r="A23" s="9" t="s">
        <v>583</v>
      </c>
      <c r="B23" s="129" t="s">
        <v>584</v>
      </c>
      <c r="C23" s="11" t="s">
        <v>160</v>
      </c>
      <c r="D23" s="192" t="s">
        <v>1187</v>
      </c>
      <c r="E23" s="209" t="str">
        <f t="shared" si="0"/>
        <v>N/A</v>
      </c>
      <c r="F23" s="117" t="str">
        <f t="shared" si="1"/>
        <v>-</v>
      </c>
    </row>
    <row r="24" spans="1:6" s="8" customFormat="1" ht="25" x14ac:dyDescent="0.25">
      <c r="A24" s="9" t="s">
        <v>585</v>
      </c>
      <c r="B24" s="129" t="s">
        <v>586</v>
      </c>
      <c r="C24" s="11" t="s">
        <v>160</v>
      </c>
      <c r="D24" s="192" t="s">
        <v>1187</v>
      </c>
      <c r="E24" s="209" t="str">
        <f t="shared" si="0"/>
        <v>N/A</v>
      </c>
      <c r="F24" s="117" t="str">
        <f t="shared" si="1"/>
        <v>-</v>
      </c>
    </row>
    <row r="25" spans="1:6" s="8" customFormat="1" ht="25" x14ac:dyDescent="0.25">
      <c r="A25" s="9" t="s">
        <v>587</v>
      </c>
      <c r="B25" s="129" t="s">
        <v>588</v>
      </c>
      <c r="C25" s="11" t="s">
        <v>149</v>
      </c>
      <c r="D25" s="192" t="s">
        <v>1187</v>
      </c>
      <c r="E25" s="209" t="str">
        <f t="shared" si="0"/>
        <v>N/A</v>
      </c>
      <c r="F25" s="117" t="str">
        <f t="shared" si="1"/>
        <v>-</v>
      </c>
    </row>
    <row r="26" spans="1:6" s="8" customFormat="1" x14ac:dyDescent="0.25">
      <c r="A26" s="9" t="s">
        <v>589</v>
      </c>
      <c r="B26" s="129" t="s">
        <v>590</v>
      </c>
      <c r="C26" s="11" t="s">
        <v>54</v>
      </c>
      <c r="D26" s="192" t="s">
        <v>1187</v>
      </c>
      <c r="E26" s="209" t="str">
        <f t="shared" si="0"/>
        <v>N/A</v>
      </c>
      <c r="F26" s="117" t="str">
        <f t="shared" si="1"/>
        <v>-</v>
      </c>
    </row>
    <row r="27" spans="1:6" s="8" customFormat="1" ht="25" x14ac:dyDescent="0.25">
      <c r="A27" s="9" t="s">
        <v>591</v>
      </c>
      <c r="B27" s="129" t="s">
        <v>592</v>
      </c>
      <c r="C27" s="11" t="s">
        <v>54</v>
      </c>
      <c r="D27" s="192" t="s">
        <v>1187</v>
      </c>
      <c r="E27" s="209" t="str">
        <f t="shared" si="0"/>
        <v>N/A</v>
      </c>
      <c r="F27" s="117" t="str">
        <f t="shared" si="1"/>
        <v>-</v>
      </c>
    </row>
    <row r="28" spans="1:6" s="8" customFormat="1" ht="37.5" x14ac:dyDescent="0.25">
      <c r="A28" s="9" t="s">
        <v>593</v>
      </c>
      <c r="B28" s="129" t="s">
        <v>1346</v>
      </c>
      <c r="C28" s="11" t="s">
        <v>160</v>
      </c>
      <c r="D28" s="192" t="s">
        <v>1187</v>
      </c>
      <c r="E28" s="209" t="str">
        <f t="shared" si="0"/>
        <v>N/A</v>
      </c>
      <c r="F28" s="117" t="str">
        <f t="shared" si="1"/>
        <v>-</v>
      </c>
    </row>
    <row r="29" spans="1:6" ht="12.75" customHeight="1" x14ac:dyDescent="0.25">
      <c r="A29" s="37"/>
      <c r="B29" s="38" t="s">
        <v>594</v>
      </c>
      <c r="C29" s="38"/>
      <c r="D29" s="196"/>
      <c r="E29" s="39"/>
      <c r="F29" s="121">
        <f>IF(SUM(F6:F28)=0,"",SUM(F6:F28))</f>
        <v>54750</v>
      </c>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E2B8C-8B19-4B68-A381-9890DB2C4240}">
  <dimension ref="A2:F22"/>
  <sheetViews>
    <sheetView view="pageBreakPreview" zoomScale="90" zoomScaleNormal="100" zoomScaleSheetLayoutView="90" workbookViewId="0">
      <selection activeCell="E8" sqref="E8:E9"/>
    </sheetView>
  </sheetViews>
  <sheetFormatPr defaultColWidth="9.1796875" defaultRowHeight="12.5" x14ac:dyDescent="0.25"/>
  <cols>
    <col min="1" max="1" width="9.1796875" style="16"/>
    <col min="2" max="2" width="35.54296875" style="16" customWidth="1"/>
    <col min="3" max="3" width="7" style="21" customWidth="1"/>
    <col min="4" max="4" width="11.453125" style="204" customWidth="1"/>
    <col min="5" max="5" width="11.453125" style="22" customWidth="1"/>
    <col min="6" max="6" width="11.453125" style="23" customWidth="1"/>
    <col min="7" max="16384" width="9.1796875" style="16"/>
  </cols>
  <sheetData>
    <row r="2" spans="1:6" x14ac:dyDescent="0.25">
      <c r="A2" s="1" t="s">
        <v>0</v>
      </c>
      <c r="B2" s="1" t="s">
        <v>1</v>
      </c>
      <c r="C2" s="1" t="s">
        <v>2</v>
      </c>
      <c r="D2" s="1" t="s">
        <v>3</v>
      </c>
      <c r="E2" s="2" t="s">
        <v>4</v>
      </c>
      <c r="F2" s="3" t="s">
        <v>5</v>
      </c>
    </row>
    <row r="3" spans="1:6" ht="18" x14ac:dyDescent="0.4">
      <c r="A3" s="40"/>
      <c r="B3" s="146" t="s">
        <v>1199</v>
      </c>
      <c r="C3" s="41"/>
      <c r="D3" s="41"/>
      <c r="E3" s="63" t="s">
        <v>6</v>
      </c>
      <c r="F3" s="42" t="s">
        <v>6</v>
      </c>
    </row>
    <row r="4" spans="1:6" s="8" customFormat="1" ht="13" x14ac:dyDescent="0.25">
      <c r="A4" s="4" t="s">
        <v>595</v>
      </c>
      <c r="B4" s="4" t="s">
        <v>596</v>
      </c>
      <c r="C4" s="4"/>
      <c r="D4" s="129"/>
      <c r="E4" s="69"/>
      <c r="F4" s="71"/>
    </row>
    <row r="5" spans="1:6" s="8" customFormat="1" x14ac:dyDescent="0.25">
      <c r="A5" s="9"/>
      <c r="B5" s="50" t="s">
        <v>597</v>
      </c>
      <c r="C5" s="9"/>
      <c r="D5" s="129"/>
      <c r="E5" s="69"/>
      <c r="F5" s="71"/>
    </row>
    <row r="6" spans="1:6" s="8" customFormat="1" ht="37.5" x14ac:dyDescent="0.25">
      <c r="A6" s="9" t="s">
        <v>598</v>
      </c>
      <c r="B6" s="9" t="s">
        <v>599</v>
      </c>
      <c r="C6" s="9" t="s">
        <v>187</v>
      </c>
      <c r="D6" s="123" t="s">
        <v>1187</v>
      </c>
      <c r="E6" s="12" t="str">
        <f>IF(ISNUMBER(D6),"","N/A")</f>
        <v>N/A</v>
      </c>
      <c r="F6" s="117" t="str">
        <f>IFERROR(IF(ISNUMBER(D6),D6*E6,"-"),"")</f>
        <v>-</v>
      </c>
    </row>
    <row r="7" spans="1:6" s="8" customFormat="1" ht="25" x14ac:dyDescent="0.25">
      <c r="A7" s="9" t="s">
        <v>600</v>
      </c>
      <c r="B7" s="9" t="s">
        <v>601</v>
      </c>
      <c r="C7" s="9" t="s">
        <v>418</v>
      </c>
      <c r="D7" s="123" t="s">
        <v>1187</v>
      </c>
      <c r="E7" s="12" t="str">
        <f t="shared" ref="E7:E19" si="0">IF(ISNUMBER(D7),"","N/A")</f>
        <v>N/A</v>
      </c>
      <c r="F7" s="117" t="str">
        <f t="shared" ref="F7:F19" si="1">IFERROR(IF(ISNUMBER(D7),D7*E7,"-"),"")</f>
        <v>-</v>
      </c>
    </row>
    <row r="8" spans="1:6" s="8" customFormat="1" ht="25" x14ac:dyDescent="0.25">
      <c r="A8" s="9" t="s">
        <v>602</v>
      </c>
      <c r="B8" s="9" t="s">
        <v>603</v>
      </c>
      <c r="C8" s="9" t="s">
        <v>418</v>
      </c>
      <c r="D8" s="118">
        <v>6150</v>
      </c>
      <c r="E8" s="12">
        <v>25</v>
      </c>
      <c r="F8" s="117">
        <f t="shared" si="1"/>
        <v>153750</v>
      </c>
    </row>
    <row r="9" spans="1:6" s="8" customFormat="1" ht="25" x14ac:dyDescent="0.25">
      <c r="A9" s="9" t="s">
        <v>604</v>
      </c>
      <c r="B9" s="9" t="s">
        <v>605</v>
      </c>
      <c r="C9" s="9" t="s">
        <v>418</v>
      </c>
      <c r="D9" s="118">
        <v>6150</v>
      </c>
      <c r="E9" s="12">
        <v>25</v>
      </c>
      <c r="F9" s="117">
        <f t="shared" si="1"/>
        <v>153750</v>
      </c>
    </row>
    <row r="10" spans="1:6" s="8" customFormat="1" ht="25" x14ac:dyDescent="0.25">
      <c r="A10" s="9" t="s">
        <v>606</v>
      </c>
      <c r="B10" s="9" t="s">
        <v>607</v>
      </c>
      <c r="C10" s="9" t="s">
        <v>418</v>
      </c>
      <c r="D10" s="123" t="s">
        <v>1187</v>
      </c>
      <c r="E10" s="12" t="str">
        <f t="shared" si="0"/>
        <v>N/A</v>
      </c>
      <c r="F10" s="117" t="str">
        <f t="shared" si="1"/>
        <v>-</v>
      </c>
    </row>
    <row r="11" spans="1:6" s="8" customFormat="1" x14ac:dyDescent="0.25">
      <c r="A11" s="9"/>
      <c r="B11" s="50" t="s">
        <v>608</v>
      </c>
      <c r="C11" s="9"/>
      <c r="D11" s="129" t="s">
        <v>1187</v>
      </c>
      <c r="E11" s="12" t="str">
        <f t="shared" si="0"/>
        <v>N/A</v>
      </c>
      <c r="F11" s="117" t="str">
        <f t="shared" si="1"/>
        <v>-</v>
      </c>
    </row>
    <row r="12" spans="1:6" s="8" customFormat="1" ht="50" x14ac:dyDescent="0.25">
      <c r="A12" s="9" t="s">
        <v>609</v>
      </c>
      <c r="B12" s="9" t="s">
        <v>610</v>
      </c>
      <c r="C12" s="9" t="s">
        <v>11</v>
      </c>
      <c r="D12" s="129" t="s">
        <v>1187</v>
      </c>
      <c r="E12" s="12" t="str">
        <f t="shared" si="0"/>
        <v>N/A</v>
      </c>
      <c r="F12" s="117" t="str">
        <f t="shared" si="1"/>
        <v>-</v>
      </c>
    </row>
    <row r="13" spans="1:6" s="8" customFormat="1" ht="50" x14ac:dyDescent="0.25">
      <c r="A13" s="9" t="s">
        <v>611</v>
      </c>
      <c r="B13" s="9" t="s">
        <v>612</v>
      </c>
      <c r="C13" s="9" t="s">
        <v>149</v>
      </c>
      <c r="D13" s="129" t="s">
        <v>1187</v>
      </c>
      <c r="E13" s="12" t="str">
        <f t="shared" si="0"/>
        <v>N/A</v>
      </c>
      <c r="F13" s="117" t="str">
        <f t="shared" si="1"/>
        <v>-</v>
      </c>
    </row>
    <row r="14" spans="1:6" s="8" customFormat="1" ht="25" x14ac:dyDescent="0.25">
      <c r="A14" s="9" t="s">
        <v>613</v>
      </c>
      <c r="B14" s="9" t="s">
        <v>614</v>
      </c>
      <c r="C14" s="9" t="s">
        <v>54</v>
      </c>
      <c r="D14" s="129" t="s">
        <v>1187</v>
      </c>
      <c r="E14" s="12" t="str">
        <f t="shared" si="0"/>
        <v>N/A</v>
      </c>
      <c r="F14" s="117" t="str">
        <f t="shared" si="1"/>
        <v>-</v>
      </c>
    </row>
    <row r="15" spans="1:6" s="8" customFormat="1" x14ac:dyDescent="0.25">
      <c r="A15" s="9"/>
      <c r="B15" s="50" t="s">
        <v>615</v>
      </c>
      <c r="C15" s="9"/>
      <c r="D15" s="129"/>
      <c r="E15" s="12"/>
      <c r="F15" s="117"/>
    </row>
    <row r="16" spans="1:6" s="8" customFormat="1" ht="37.5" x14ac:dyDescent="0.25">
      <c r="A16" s="9" t="s">
        <v>616</v>
      </c>
      <c r="B16" s="9" t="s">
        <v>617</v>
      </c>
      <c r="C16" s="9" t="s">
        <v>11</v>
      </c>
      <c r="D16" s="129" t="s">
        <v>1187</v>
      </c>
      <c r="E16" s="12" t="str">
        <f t="shared" si="0"/>
        <v>N/A</v>
      </c>
      <c r="F16" s="117" t="str">
        <f t="shared" si="1"/>
        <v>-</v>
      </c>
    </row>
    <row r="17" spans="1:6" s="8" customFormat="1" ht="37.5" x14ac:dyDescent="0.25">
      <c r="A17" s="9" t="s">
        <v>618</v>
      </c>
      <c r="B17" s="9" t="s">
        <v>619</v>
      </c>
      <c r="C17" s="9" t="s">
        <v>210</v>
      </c>
      <c r="D17" s="129" t="s">
        <v>1187</v>
      </c>
      <c r="E17" s="12" t="str">
        <f t="shared" si="0"/>
        <v>N/A</v>
      </c>
      <c r="F17" s="117" t="str">
        <f t="shared" si="1"/>
        <v>-</v>
      </c>
    </row>
    <row r="18" spans="1:6" s="8" customFormat="1" ht="13" x14ac:dyDescent="0.25">
      <c r="A18" s="72" t="s">
        <v>620</v>
      </c>
      <c r="B18" s="72"/>
      <c r="C18" s="4"/>
      <c r="D18" s="129"/>
      <c r="E18" s="12"/>
      <c r="F18" s="117"/>
    </row>
    <row r="19" spans="1:6" s="8" customFormat="1" x14ac:dyDescent="0.25">
      <c r="A19" s="72"/>
      <c r="B19" s="72"/>
      <c r="C19" s="9" t="s">
        <v>210</v>
      </c>
      <c r="D19" s="129" t="s">
        <v>1187</v>
      </c>
      <c r="E19" s="12" t="str">
        <f t="shared" si="0"/>
        <v>N/A</v>
      </c>
      <c r="F19" s="117" t="str">
        <f t="shared" si="1"/>
        <v>-</v>
      </c>
    </row>
    <row r="20" spans="1:6" ht="12.75" customHeight="1" x14ac:dyDescent="0.25">
      <c r="B20" s="13" t="s">
        <v>621</v>
      </c>
      <c r="C20" s="14"/>
      <c r="D20" s="14"/>
      <c r="E20" s="15"/>
      <c r="F20" s="121">
        <f>IF(SUM(F6:F19)=0,"",SUM(F6:F19))</f>
        <v>307500</v>
      </c>
    </row>
    <row r="21" spans="1:6" x14ac:dyDescent="0.25">
      <c r="F21" s="74"/>
    </row>
    <row r="22" spans="1:6" x14ac:dyDescent="0.25">
      <c r="F22" s="73"/>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611E-13E3-4148-913E-9D7940664605}">
  <dimension ref="A2:I64"/>
  <sheetViews>
    <sheetView view="pageBreakPreview" topLeftCell="A31" zoomScale="90" zoomScaleNormal="100" zoomScaleSheetLayoutView="90" workbookViewId="0">
      <selection activeCell="H31" sqref="H1:K1048576"/>
    </sheetView>
  </sheetViews>
  <sheetFormatPr defaultColWidth="9.1796875" defaultRowHeight="12.5" x14ac:dyDescent="0.25"/>
  <cols>
    <col min="1" max="1" width="9.1796875" style="16"/>
    <col min="2" max="2" width="35.54296875" style="16" customWidth="1"/>
    <col min="3" max="3" width="7.81640625" style="21" customWidth="1"/>
    <col min="4" max="4" width="11.453125" style="204" customWidth="1"/>
    <col min="5" max="5" width="11.453125" style="22" customWidth="1"/>
    <col min="6" max="6" width="11.453125" style="23" customWidth="1"/>
    <col min="7" max="7" width="3.1796875" style="21" customWidth="1"/>
    <col min="8" max="16384" width="9.1796875" style="16"/>
  </cols>
  <sheetData>
    <row r="2" spans="1:9" x14ac:dyDescent="0.25">
      <c r="A2" s="1" t="s">
        <v>0</v>
      </c>
      <c r="B2" s="1" t="s">
        <v>1</v>
      </c>
      <c r="C2" s="1" t="s">
        <v>2</v>
      </c>
      <c r="D2" s="1" t="s">
        <v>3</v>
      </c>
      <c r="E2" s="2" t="s">
        <v>4</v>
      </c>
      <c r="F2" s="3" t="s">
        <v>5</v>
      </c>
      <c r="G2" s="25"/>
    </row>
    <row r="3" spans="1:9" x14ac:dyDescent="0.25">
      <c r="A3" s="40"/>
      <c r="B3" s="40"/>
      <c r="C3" s="41"/>
      <c r="D3" s="41"/>
      <c r="E3" s="63" t="s">
        <v>6</v>
      </c>
      <c r="F3" s="42" t="s">
        <v>6</v>
      </c>
    </row>
    <row r="4" spans="1:9" s="8" customFormat="1" ht="13" x14ac:dyDescent="0.25">
      <c r="A4" s="75" t="s">
        <v>622</v>
      </c>
      <c r="B4" s="75" t="s">
        <v>623</v>
      </c>
      <c r="C4" s="76"/>
      <c r="D4" s="24"/>
      <c r="E4" s="58"/>
      <c r="F4" s="7"/>
      <c r="G4" s="31"/>
    </row>
    <row r="5" spans="1:9" s="8" customFormat="1" ht="25" x14ac:dyDescent="0.25">
      <c r="A5" s="9" t="s">
        <v>624</v>
      </c>
      <c r="B5" s="9" t="s">
        <v>625</v>
      </c>
      <c r="C5" s="9" t="s">
        <v>54</v>
      </c>
      <c r="D5" s="140">
        <v>540</v>
      </c>
      <c r="E5" s="213">
        <v>20</v>
      </c>
      <c r="F5" s="117">
        <f>IFERROR(IF(ISNUMBER(D5),D5*E5,"-"),"")</f>
        <v>10800</v>
      </c>
      <c r="G5" s="31"/>
    </row>
    <row r="6" spans="1:9" s="8" customFormat="1" ht="25" x14ac:dyDescent="0.25">
      <c r="A6" s="9" t="s">
        <v>626</v>
      </c>
      <c r="B6" s="9" t="s">
        <v>627</v>
      </c>
      <c r="C6" s="9" t="s">
        <v>54</v>
      </c>
      <c r="D6" s="140">
        <v>190</v>
      </c>
      <c r="E6" s="213">
        <v>25</v>
      </c>
      <c r="F6" s="117">
        <f t="shared" ref="F6:F62" si="0">IFERROR(IF(ISNUMBER(D6),D6*E6,"-"),"")</f>
        <v>4750</v>
      </c>
      <c r="G6" s="31"/>
    </row>
    <row r="7" spans="1:9" s="8" customFormat="1" ht="25" x14ac:dyDescent="0.25">
      <c r="A7" s="9" t="s">
        <v>628</v>
      </c>
      <c r="B7" s="9" t="s">
        <v>629</v>
      </c>
      <c r="C7" s="9" t="s">
        <v>54</v>
      </c>
      <c r="D7" s="140">
        <v>55</v>
      </c>
      <c r="E7" s="213">
        <v>30</v>
      </c>
      <c r="F7" s="117">
        <f t="shared" si="0"/>
        <v>1650</v>
      </c>
      <c r="G7" s="31"/>
    </row>
    <row r="8" spans="1:9" s="8" customFormat="1" ht="25" x14ac:dyDescent="0.25">
      <c r="A8" s="129" t="s">
        <v>630</v>
      </c>
      <c r="B8" s="129" t="s">
        <v>631</v>
      </c>
      <c r="C8" s="129" t="s">
        <v>54</v>
      </c>
      <c r="D8" s="139" t="s">
        <v>1187</v>
      </c>
      <c r="E8" s="213" t="str">
        <f t="shared" ref="E8:E62" si="1">IF(ISNUMBER(D8),"","N/A")</f>
        <v>N/A</v>
      </c>
      <c r="F8" s="117" t="str">
        <f t="shared" si="0"/>
        <v>-</v>
      </c>
      <c r="G8" s="31"/>
    </row>
    <row r="9" spans="1:9" s="8" customFormat="1" ht="37.5" x14ac:dyDescent="0.25">
      <c r="A9" s="129" t="s">
        <v>1376</v>
      </c>
      <c r="B9" s="124" t="s">
        <v>1377</v>
      </c>
      <c r="C9" s="129" t="s">
        <v>54</v>
      </c>
      <c r="D9" s="139">
        <v>950</v>
      </c>
      <c r="E9" s="213">
        <v>20</v>
      </c>
      <c r="F9" s="184">
        <f t="shared" si="0"/>
        <v>19000</v>
      </c>
      <c r="G9" s="181"/>
    </row>
    <row r="10" spans="1:9" s="8" customFormat="1" ht="25" x14ac:dyDescent="0.25">
      <c r="A10" s="129" t="s">
        <v>632</v>
      </c>
      <c r="B10" s="129" t="s">
        <v>1279</v>
      </c>
      <c r="C10" s="129" t="s">
        <v>54</v>
      </c>
      <c r="D10" s="140">
        <v>35</v>
      </c>
      <c r="E10" s="213">
        <v>30</v>
      </c>
      <c r="F10" s="184">
        <f t="shared" si="0"/>
        <v>1050</v>
      </c>
      <c r="G10" s="31"/>
    </row>
    <row r="11" spans="1:9" s="8" customFormat="1" ht="25" x14ac:dyDescent="0.25">
      <c r="A11" s="129" t="s">
        <v>633</v>
      </c>
      <c r="B11" s="129" t="s">
        <v>634</v>
      </c>
      <c r="C11" s="129" t="s">
        <v>54</v>
      </c>
      <c r="D11" s="140">
        <v>280</v>
      </c>
      <c r="E11" s="213">
        <v>35</v>
      </c>
      <c r="F11" s="184">
        <f t="shared" si="0"/>
        <v>9800</v>
      </c>
      <c r="G11" s="31"/>
    </row>
    <row r="12" spans="1:9" s="8" customFormat="1" ht="25" x14ac:dyDescent="0.25">
      <c r="A12" s="129" t="s">
        <v>635</v>
      </c>
      <c r="B12" s="129" t="s">
        <v>636</v>
      </c>
      <c r="C12" s="129" t="s">
        <v>54</v>
      </c>
      <c r="D12" s="140">
        <v>165</v>
      </c>
      <c r="E12" s="213">
        <v>40</v>
      </c>
      <c r="F12" s="184">
        <f t="shared" si="0"/>
        <v>6600</v>
      </c>
      <c r="G12" s="31"/>
    </row>
    <row r="13" spans="1:9" s="8" customFormat="1" ht="25" x14ac:dyDescent="0.25">
      <c r="A13" s="129" t="s">
        <v>637</v>
      </c>
      <c r="B13" s="129" t="s">
        <v>638</v>
      </c>
      <c r="C13" s="129" t="s">
        <v>54</v>
      </c>
      <c r="D13" s="139" t="s">
        <v>1187</v>
      </c>
      <c r="E13" s="213">
        <v>50</v>
      </c>
      <c r="F13" s="117" t="str">
        <f t="shared" si="0"/>
        <v>-</v>
      </c>
      <c r="G13" s="31"/>
      <c r="I13" s="168"/>
    </row>
    <row r="14" spans="1:9" s="8" customFormat="1" x14ac:dyDescent="0.25">
      <c r="A14" s="9" t="s">
        <v>639</v>
      </c>
      <c r="B14" s="50" t="s">
        <v>640</v>
      </c>
      <c r="C14" s="9" t="s">
        <v>54</v>
      </c>
      <c r="D14" s="139" t="s">
        <v>1187</v>
      </c>
      <c r="E14" s="213" t="str">
        <f t="shared" si="1"/>
        <v>N/A</v>
      </c>
      <c r="F14" s="117" t="str">
        <f t="shared" si="0"/>
        <v>-</v>
      </c>
      <c r="G14" s="31"/>
    </row>
    <row r="15" spans="1:9" s="8" customFormat="1" x14ac:dyDescent="0.25">
      <c r="A15" s="9" t="s">
        <v>641</v>
      </c>
      <c r="B15" s="9" t="s">
        <v>642</v>
      </c>
      <c r="C15" s="9" t="s">
        <v>54</v>
      </c>
      <c r="D15" s="139" t="s">
        <v>1187</v>
      </c>
      <c r="E15" s="213" t="str">
        <f t="shared" si="1"/>
        <v>N/A</v>
      </c>
      <c r="F15" s="117" t="str">
        <f t="shared" si="0"/>
        <v>-</v>
      </c>
      <c r="G15" s="31"/>
    </row>
    <row r="16" spans="1:9" s="8" customFormat="1" x14ac:dyDescent="0.25">
      <c r="A16" s="9" t="s">
        <v>643</v>
      </c>
      <c r="B16" s="9" t="s">
        <v>644</v>
      </c>
      <c r="C16" s="9" t="s">
        <v>54</v>
      </c>
      <c r="D16" s="139" t="s">
        <v>1187</v>
      </c>
      <c r="E16" s="213" t="str">
        <f t="shared" si="1"/>
        <v>N/A</v>
      </c>
      <c r="F16" s="117" t="str">
        <f t="shared" si="0"/>
        <v>-</v>
      </c>
      <c r="G16" s="31"/>
    </row>
    <row r="17" spans="1:7" s="8" customFormat="1" x14ac:dyDescent="0.25">
      <c r="A17" s="9" t="s">
        <v>645</v>
      </c>
      <c r="B17" s="9" t="s">
        <v>646</v>
      </c>
      <c r="C17" s="9" t="s">
        <v>54</v>
      </c>
      <c r="D17" s="139" t="s">
        <v>1187</v>
      </c>
      <c r="E17" s="213" t="str">
        <f t="shared" si="1"/>
        <v>N/A</v>
      </c>
      <c r="F17" s="117" t="str">
        <f t="shared" si="0"/>
        <v>-</v>
      </c>
      <c r="G17" s="31"/>
    </row>
    <row r="18" spans="1:7" s="8" customFormat="1" x14ac:dyDescent="0.25">
      <c r="A18" s="9" t="s">
        <v>647</v>
      </c>
      <c r="B18" s="9" t="s">
        <v>648</v>
      </c>
      <c r="C18" s="9" t="s">
        <v>54</v>
      </c>
      <c r="D18" s="139" t="s">
        <v>1187</v>
      </c>
      <c r="E18" s="213" t="str">
        <f t="shared" si="1"/>
        <v>N/A</v>
      </c>
      <c r="F18" s="117" t="str">
        <f t="shared" si="0"/>
        <v>-</v>
      </c>
      <c r="G18" s="31"/>
    </row>
    <row r="19" spans="1:7" s="8" customFormat="1" x14ac:dyDescent="0.25">
      <c r="A19" s="9" t="s">
        <v>649</v>
      </c>
      <c r="B19" s="9" t="s">
        <v>650</v>
      </c>
      <c r="C19" s="9" t="s">
        <v>210</v>
      </c>
      <c r="D19" s="139" t="s">
        <v>1187</v>
      </c>
      <c r="E19" s="213" t="str">
        <f t="shared" si="1"/>
        <v>N/A</v>
      </c>
      <c r="F19" s="117" t="str">
        <f t="shared" si="0"/>
        <v>-</v>
      </c>
      <c r="G19" s="31"/>
    </row>
    <row r="20" spans="1:7" s="8" customFormat="1" ht="25" x14ac:dyDescent="0.25">
      <c r="A20" s="9" t="s">
        <v>651</v>
      </c>
      <c r="B20" s="9" t="s">
        <v>652</v>
      </c>
      <c r="C20" s="9" t="s">
        <v>54</v>
      </c>
      <c r="D20" s="139" t="s">
        <v>1187</v>
      </c>
      <c r="E20" s="213" t="str">
        <f t="shared" si="1"/>
        <v>N/A</v>
      </c>
      <c r="F20" s="117" t="str">
        <f t="shared" si="0"/>
        <v>-</v>
      </c>
      <c r="G20" s="31"/>
    </row>
    <row r="21" spans="1:7" s="8" customFormat="1" ht="25" x14ac:dyDescent="0.25">
      <c r="A21" s="9" t="s">
        <v>653</v>
      </c>
      <c r="B21" s="9" t="s">
        <v>1188</v>
      </c>
      <c r="C21" s="9" t="s">
        <v>54</v>
      </c>
      <c r="D21" s="139">
        <v>263</v>
      </c>
      <c r="E21" s="213">
        <v>25</v>
      </c>
      <c r="F21" s="117">
        <f t="shared" si="0"/>
        <v>6575</v>
      </c>
      <c r="G21" s="31"/>
    </row>
    <row r="22" spans="1:7" s="8" customFormat="1" ht="25" x14ac:dyDescent="0.25">
      <c r="A22" s="9" t="s">
        <v>654</v>
      </c>
      <c r="B22" s="9" t="s">
        <v>655</v>
      </c>
      <c r="C22" s="9" t="s">
        <v>54</v>
      </c>
      <c r="D22" s="139" t="s">
        <v>1187</v>
      </c>
      <c r="E22" s="213" t="str">
        <f t="shared" si="1"/>
        <v>N/A</v>
      </c>
      <c r="F22" s="117" t="str">
        <f t="shared" si="0"/>
        <v>-</v>
      </c>
      <c r="G22" s="31"/>
    </row>
    <row r="23" spans="1:7" s="8" customFormat="1" x14ac:dyDescent="0.25">
      <c r="A23" s="9" t="s">
        <v>656</v>
      </c>
      <c r="B23" s="9" t="s">
        <v>657</v>
      </c>
      <c r="C23" s="9" t="s">
        <v>54</v>
      </c>
      <c r="D23" s="139" t="s">
        <v>1187</v>
      </c>
      <c r="E23" s="213" t="str">
        <f t="shared" si="1"/>
        <v>N/A</v>
      </c>
      <c r="F23" s="117" t="str">
        <f t="shared" si="0"/>
        <v>-</v>
      </c>
      <c r="G23" s="31"/>
    </row>
    <row r="24" spans="1:7" s="8" customFormat="1" ht="12.75" customHeight="1" x14ac:dyDescent="0.25">
      <c r="A24" s="56" t="s">
        <v>658</v>
      </c>
      <c r="B24" s="56" t="s">
        <v>659</v>
      </c>
      <c r="C24" s="56" t="s">
        <v>54</v>
      </c>
      <c r="D24" s="139">
        <v>263</v>
      </c>
      <c r="E24" s="213">
        <v>5</v>
      </c>
      <c r="F24" s="117">
        <f t="shared" si="0"/>
        <v>1315</v>
      </c>
      <c r="G24" s="31"/>
    </row>
    <row r="25" spans="1:7" s="8" customFormat="1" ht="13" x14ac:dyDescent="0.25">
      <c r="A25" s="9"/>
      <c r="B25" s="35" t="s">
        <v>660</v>
      </c>
      <c r="C25" s="9"/>
      <c r="D25" s="139"/>
      <c r="E25" s="213"/>
      <c r="F25" s="117"/>
      <c r="G25" s="31"/>
    </row>
    <row r="26" spans="1:7" s="8" customFormat="1" ht="33" customHeight="1" x14ac:dyDescent="0.25">
      <c r="A26" s="9" t="s">
        <v>661</v>
      </c>
      <c r="B26" s="9" t="s">
        <v>662</v>
      </c>
      <c r="C26" s="9" t="s">
        <v>54</v>
      </c>
      <c r="D26" s="139">
        <v>62</v>
      </c>
      <c r="E26" s="213">
        <v>250</v>
      </c>
      <c r="F26" s="184">
        <f t="shared" si="0"/>
        <v>15500</v>
      </c>
      <c r="G26" s="31"/>
    </row>
    <row r="27" spans="1:7" s="8" customFormat="1" x14ac:dyDescent="0.25">
      <c r="A27" s="9"/>
      <c r="B27" s="50" t="s">
        <v>663</v>
      </c>
      <c r="C27" s="9"/>
      <c r="D27" s="139"/>
      <c r="E27" s="213"/>
      <c r="F27" s="117"/>
      <c r="G27" s="31"/>
    </row>
    <row r="28" spans="1:7" s="8" customFormat="1" ht="37.5" x14ac:dyDescent="0.25">
      <c r="A28" s="9" t="s">
        <v>664</v>
      </c>
      <c r="B28" s="9" t="s">
        <v>665</v>
      </c>
      <c r="C28" s="9" t="s">
        <v>181</v>
      </c>
      <c r="D28" s="139" t="s">
        <v>1187</v>
      </c>
      <c r="E28" s="213" t="str">
        <f t="shared" si="1"/>
        <v>N/A</v>
      </c>
      <c r="F28" s="117" t="str">
        <f t="shared" si="0"/>
        <v>-</v>
      </c>
      <c r="G28" s="31"/>
    </row>
    <row r="29" spans="1:7" s="8" customFormat="1" ht="37.5" x14ac:dyDescent="0.25">
      <c r="A29" s="9" t="s">
        <v>666</v>
      </c>
      <c r="B29" s="9" t="s">
        <v>667</v>
      </c>
      <c r="C29" s="9" t="s">
        <v>181</v>
      </c>
      <c r="D29" s="139" t="s">
        <v>1187</v>
      </c>
      <c r="E29" s="213" t="str">
        <f t="shared" si="1"/>
        <v>N/A</v>
      </c>
      <c r="F29" s="117" t="str">
        <f t="shared" si="0"/>
        <v>-</v>
      </c>
      <c r="G29" s="31"/>
    </row>
    <row r="30" spans="1:7" s="8" customFormat="1" ht="25" x14ac:dyDescent="0.25">
      <c r="A30" s="9" t="s">
        <v>668</v>
      </c>
      <c r="B30" s="9" t="s">
        <v>669</v>
      </c>
      <c r="C30" s="9" t="s">
        <v>181</v>
      </c>
      <c r="D30" s="139" t="s">
        <v>1187</v>
      </c>
      <c r="E30" s="213" t="str">
        <f t="shared" si="1"/>
        <v>N/A</v>
      </c>
      <c r="F30" s="117" t="str">
        <f t="shared" si="0"/>
        <v>-</v>
      </c>
      <c r="G30" s="31"/>
    </row>
    <row r="31" spans="1:7" s="8" customFormat="1" ht="25" x14ac:dyDescent="0.25">
      <c r="A31" s="9" t="s">
        <v>670</v>
      </c>
      <c r="B31" s="9" t="s">
        <v>671</v>
      </c>
      <c r="C31" s="9" t="s">
        <v>181</v>
      </c>
      <c r="D31" s="139" t="s">
        <v>1187</v>
      </c>
      <c r="E31" s="213" t="str">
        <f t="shared" si="1"/>
        <v>N/A</v>
      </c>
      <c r="F31" s="117" t="str">
        <f t="shared" si="0"/>
        <v>-</v>
      </c>
      <c r="G31" s="31"/>
    </row>
    <row r="32" spans="1:7" s="8" customFormat="1" ht="50" x14ac:dyDescent="0.25">
      <c r="A32" s="9" t="s">
        <v>672</v>
      </c>
      <c r="B32" s="9" t="s">
        <v>673</v>
      </c>
      <c r="C32" s="9" t="s">
        <v>181</v>
      </c>
      <c r="D32" s="139" t="s">
        <v>1187</v>
      </c>
      <c r="E32" s="213" t="str">
        <f t="shared" si="1"/>
        <v>N/A</v>
      </c>
      <c r="F32" s="117" t="str">
        <f t="shared" si="0"/>
        <v>-</v>
      </c>
      <c r="G32" s="31"/>
    </row>
    <row r="33" spans="1:7" s="8" customFormat="1" ht="37.5" x14ac:dyDescent="0.25">
      <c r="A33" s="9" t="s">
        <v>674</v>
      </c>
      <c r="B33" s="9" t="s">
        <v>675</v>
      </c>
      <c r="C33" s="9" t="s">
        <v>181</v>
      </c>
      <c r="D33" s="139" t="s">
        <v>1187</v>
      </c>
      <c r="E33" s="213" t="str">
        <f t="shared" si="1"/>
        <v>N/A</v>
      </c>
      <c r="F33" s="117" t="str">
        <f t="shared" si="0"/>
        <v>-</v>
      </c>
      <c r="G33" s="31"/>
    </row>
    <row r="34" spans="1:7" s="8" customFormat="1" ht="25" x14ac:dyDescent="0.25">
      <c r="A34" s="9" t="s">
        <v>676</v>
      </c>
      <c r="B34" s="9" t="s">
        <v>677</v>
      </c>
      <c r="C34" s="9" t="s">
        <v>181</v>
      </c>
      <c r="D34" s="139" t="s">
        <v>1187</v>
      </c>
      <c r="E34" s="213" t="str">
        <f t="shared" si="1"/>
        <v>N/A</v>
      </c>
      <c r="F34" s="117" t="str">
        <f t="shared" si="0"/>
        <v>-</v>
      </c>
      <c r="G34" s="31"/>
    </row>
    <row r="35" spans="1:7" s="8" customFormat="1" ht="25" x14ac:dyDescent="0.25">
      <c r="A35" s="9" t="s">
        <v>678</v>
      </c>
      <c r="B35" s="9" t="s">
        <v>679</v>
      </c>
      <c r="C35" s="9" t="s">
        <v>181</v>
      </c>
      <c r="D35" s="139" t="s">
        <v>1187</v>
      </c>
      <c r="E35" s="213" t="str">
        <f t="shared" si="1"/>
        <v>N/A</v>
      </c>
      <c r="F35" s="117" t="str">
        <f t="shared" si="0"/>
        <v>-</v>
      </c>
      <c r="G35" s="31"/>
    </row>
    <row r="36" spans="1:7" s="8" customFormat="1" ht="37.5" x14ac:dyDescent="0.25">
      <c r="A36" s="9"/>
      <c r="B36" s="9" t="s">
        <v>680</v>
      </c>
      <c r="C36" s="9"/>
      <c r="D36" s="139"/>
      <c r="E36" s="213"/>
      <c r="F36" s="117"/>
      <c r="G36" s="31"/>
    </row>
    <row r="37" spans="1:7" s="8" customFormat="1" x14ac:dyDescent="0.25">
      <c r="A37" s="9"/>
      <c r="B37" s="50" t="s">
        <v>681</v>
      </c>
      <c r="C37" s="9"/>
      <c r="D37" s="139"/>
      <c r="E37" s="213"/>
      <c r="F37" s="117"/>
      <c r="G37" s="31"/>
    </row>
    <row r="38" spans="1:7" s="8" customFormat="1" ht="25" x14ac:dyDescent="0.25">
      <c r="A38" s="9" t="s">
        <v>682</v>
      </c>
      <c r="B38" s="9" t="s">
        <v>683</v>
      </c>
      <c r="C38" s="9" t="s">
        <v>54</v>
      </c>
      <c r="D38" s="139" t="s">
        <v>1187</v>
      </c>
      <c r="E38" s="213" t="str">
        <f t="shared" si="1"/>
        <v>N/A</v>
      </c>
      <c r="F38" s="117" t="str">
        <f t="shared" si="0"/>
        <v>-</v>
      </c>
      <c r="G38" s="31"/>
    </row>
    <row r="39" spans="1:7" s="8" customFormat="1" ht="37.5" x14ac:dyDescent="0.25">
      <c r="A39" s="9" t="s">
        <v>684</v>
      </c>
      <c r="B39" s="9" t="s">
        <v>685</v>
      </c>
      <c r="C39" s="9" t="s">
        <v>165</v>
      </c>
      <c r="D39" s="140" t="s">
        <v>1187</v>
      </c>
      <c r="E39" s="213" t="str">
        <f t="shared" si="1"/>
        <v>N/A</v>
      </c>
      <c r="F39" s="117" t="str">
        <f t="shared" si="0"/>
        <v>-</v>
      </c>
      <c r="G39" s="31"/>
    </row>
    <row r="40" spans="1:7" s="8" customFormat="1" ht="25" x14ac:dyDescent="0.25">
      <c r="A40" s="9" t="s">
        <v>686</v>
      </c>
      <c r="B40" s="9" t="s">
        <v>687</v>
      </c>
      <c r="C40" s="9" t="s">
        <v>54</v>
      </c>
      <c r="D40" s="139" t="s">
        <v>1187</v>
      </c>
      <c r="E40" s="213" t="str">
        <f t="shared" si="1"/>
        <v>N/A</v>
      </c>
      <c r="F40" s="117" t="str">
        <f t="shared" si="0"/>
        <v>-</v>
      </c>
      <c r="G40" s="31"/>
    </row>
    <row r="41" spans="1:7" s="8" customFormat="1" x14ac:dyDescent="0.25">
      <c r="A41" s="9" t="s">
        <v>688</v>
      </c>
      <c r="B41" s="9" t="s">
        <v>689</v>
      </c>
      <c r="C41" s="9" t="s">
        <v>54</v>
      </c>
      <c r="D41" s="139" t="s">
        <v>1187</v>
      </c>
      <c r="E41" s="213" t="str">
        <f t="shared" si="1"/>
        <v>N/A</v>
      </c>
      <c r="F41" s="117" t="str">
        <f t="shared" si="0"/>
        <v>-</v>
      </c>
      <c r="G41" s="31"/>
    </row>
    <row r="42" spans="1:7" s="8" customFormat="1" ht="25" x14ac:dyDescent="0.25">
      <c r="A42" s="9" t="s">
        <v>690</v>
      </c>
      <c r="B42" s="9" t="s">
        <v>691</v>
      </c>
      <c r="C42" s="9" t="s">
        <v>54</v>
      </c>
      <c r="D42" s="139" t="s">
        <v>1187</v>
      </c>
      <c r="E42" s="213" t="str">
        <f t="shared" si="1"/>
        <v>N/A</v>
      </c>
      <c r="F42" s="117" t="str">
        <f t="shared" si="0"/>
        <v>-</v>
      </c>
      <c r="G42" s="31"/>
    </row>
    <row r="43" spans="1:7" s="8" customFormat="1" ht="25" x14ac:dyDescent="0.25">
      <c r="A43" s="9" t="s">
        <v>692</v>
      </c>
      <c r="B43" s="9" t="s">
        <v>693</v>
      </c>
      <c r="C43" s="9" t="s">
        <v>11</v>
      </c>
      <c r="D43" s="139" t="s">
        <v>1187</v>
      </c>
      <c r="E43" s="213" t="str">
        <f t="shared" si="1"/>
        <v>N/A</v>
      </c>
      <c r="F43" s="117" t="str">
        <f t="shared" si="0"/>
        <v>-</v>
      </c>
      <c r="G43" s="31"/>
    </row>
    <row r="44" spans="1:7" s="8" customFormat="1" ht="37.5" x14ac:dyDescent="0.25">
      <c r="A44" s="9" t="s">
        <v>694</v>
      </c>
      <c r="B44" s="9" t="s">
        <v>695</v>
      </c>
      <c r="C44" s="9" t="s">
        <v>54</v>
      </c>
      <c r="D44" s="139" t="s">
        <v>1187</v>
      </c>
      <c r="E44" s="213" t="str">
        <f t="shared" si="1"/>
        <v>N/A</v>
      </c>
      <c r="F44" s="117" t="str">
        <f t="shared" si="0"/>
        <v>-</v>
      </c>
      <c r="G44" s="31"/>
    </row>
    <row r="45" spans="1:7" s="8" customFormat="1" ht="12.75" customHeight="1" x14ac:dyDescent="0.25">
      <c r="A45" s="9" t="s">
        <v>696</v>
      </c>
      <c r="B45" s="9" t="s">
        <v>697</v>
      </c>
      <c r="C45" s="9" t="s">
        <v>54</v>
      </c>
      <c r="D45" s="139" t="s">
        <v>1187</v>
      </c>
      <c r="E45" s="213" t="str">
        <f t="shared" si="1"/>
        <v>N/A</v>
      </c>
      <c r="F45" s="117" t="str">
        <f t="shared" si="0"/>
        <v>-</v>
      </c>
      <c r="G45" s="31"/>
    </row>
    <row r="46" spans="1:7" s="8" customFormat="1" ht="26" x14ac:dyDescent="0.25">
      <c r="A46" s="9"/>
      <c r="B46" s="35" t="s">
        <v>698</v>
      </c>
      <c r="C46" s="9"/>
      <c r="D46" s="139"/>
      <c r="E46" s="213"/>
      <c r="F46" s="117"/>
      <c r="G46" s="31"/>
    </row>
    <row r="47" spans="1:7" s="8" customFormat="1" ht="25" x14ac:dyDescent="0.25">
      <c r="A47" s="9" t="s">
        <v>699</v>
      </c>
      <c r="B47" s="9" t="s">
        <v>683</v>
      </c>
      <c r="C47" s="9" t="s">
        <v>54</v>
      </c>
      <c r="D47" s="139" t="s">
        <v>1187</v>
      </c>
      <c r="E47" s="213" t="str">
        <f t="shared" si="1"/>
        <v>N/A</v>
      </c>
      <c r="F47" s="117" t="str">
        <f t="shared" si="0"/>
        <v>-</v>
      </c>
      <c r="G47" s="31"/>
    </row>
    <row r="48" spans="1:7" s="8" customFormat="1" ht="50" x14ac:dyDescent="0.25">
      <c r="A48" s="9" t="s">
        <v>700</v>
      </c>
      <c r="B48" s="9" t="s">
        <v>701</v>
      </c>
      <c r="C48" s="9" t="s">
        <v>54</v>
      </c>
      <c r="D48" s="139" t="s">
        <v>1187</v>
      </c>
      <c r="E48" s="213" t="str">
        <f t="shared" si="1"/>
        <v>N/A</v>
      </c>
      <c r="F48" s="117" t="str">
        <f t="shared" si="0"/>
        <v>-</v>
      </c>
      <c r="G48" s="31"/>
    </row>
    <row r="49" spans="1:9" s="8" customFormat="1" ht="37.5" x14ac:dyDescent="0.25">
      <c r="A49" s="9" t="s">
        <v>702</v>
      </c>
      <c r="B49" s="9" t="s">
        <v>703</v>
      </c>
      <c r="C49" s="9" t="s">
        <v>11</v>
      </c>
      <c r="D49" s="139" t="s">
        <v>1187</v>
      </c>
      <c r="E49" s="213" t="str">
        <f t="shared" si="1"/>
        <v>N/A</v>
      </c>
      <c r="F49" s="117" t="str">
        <f t="shared" si="0"/>
        <v>-</v>
      </c>
      <c r="G49" s="31"/>
    </row>
    <row r="50" spans="1:9" s="8" customFormat="1" x14ac:dyDescent="0.25">
      <c r="A50" s="9"/>
      <c r="B50" s="50" t="s">
        <v>704</v>
      </c>
      <c r="C50" s="9"/>
      <c r="D50" s="139"/>
      <c r="E50" s="213"/>
      <c r="F50" s="117"/>
      <c r="G50" s="31"/>
    </row>
    <row r="51" spans="1:9" s="8" customFormat="1" ht="62.5" x14ac:dyDescent="0.25">
      <c r="A51" s="9" t="s">
        <v>705</v>
      </c>
      <c r="B51" s="9" t="s">
        <v>706</v>
      </c>
      <c r="C51" s="9" t="s">
        <v>54</v>
      </c>
      <c r="D51" s="139" t="s">
        <v>1187</v>
      </c>
      <c r="E51" s="213" t="str">
        <f t="shared" si="1"/>
        <v>N/A</v>
      </c>
      <c r="F51" s="117" t="str">
        <f t="shared" si="0"/>
        <v>-</v>
      </c>
      <c r="G51" s="31"/>
    </row>
    <row r="52" spans="1:9" s="8" customFormat="1" ht="62.5" x14ac:dyDescent="0.25">
      <c r="A52" s="9" t="s">
        <v>707</v>
      </c>
      <c r="B52" s="9" t="s">
        <v>708</v>
      </c>
      <c r="C52" s="9" t="s">
        <v>54</v>
      </c>
      <c r="D52" s="139" t="s">
        <v>1187</v>
      </c>
      <c r="E52" s="213" t="str">
        <f t="shared" si="1"/>
        <v>N/A</v>
      </c>
      <c r="F52" s="117" t="str">
        <f t="shared" si="0"/>
        <v>-</v>
      </c>
      <c r="G52" s="31"/>
    </row>
    <row r="53" spans="1:9" s="8" customFormat="1" ht="62.5" x14ac:dyDescent="0.25">
      <c r="A53" s="9" t="s">
        <v>709</v>
      </c>
      <c r="B53" s="9" t="s">
        <v>710</v>
      </c>
      <c r="C53" s="9" t="s">
        <v>54</v>
      </c>
      <c r="D53" s="139" t="s">
        <v>1187</v>
      </c>
      <c r="E53" s="213" t="str">
        <f t="shared" si="1"/>
        <v>N/A</v>
      </c>
      <c r="F53" s="117" t="str">
        <f t="shared" si="0"/>
        <v>-</v>
      </c>
      <c r="G53" s="31"/>
    </row>
    <row r="54" spans="1:9" s="8" customFormat="1" ht="25" x14ac:dyDescent="0.25">
      <c r="A54" s="9" t="s">
        <v>711</v>
      </c>
      <c r="B54" s="9" t="s">
        <v>712</v>
      </c>
      <c r="C54" s="9" t="s">
        <v>181</v>
      </c>
      <c r="D54" s="139" t="s">
        <v>1187</v>
      </c>
      <c r="E54" s="213" t="str">
        <f t="shared" si="1"/>
        <v>N/A</v>
      </c>
      <c r="F54" s="117" t="str">
        <f t="shared" si="0"/>
        <v>-</v>
      </c>
      <c r="G54" s="31"/>
    </row>
    <row r="55" spans="1:9" s="8" customFormat="1" ht="37.5" x14ac:dyDescent="0.25">
      <c r="A55" s="9" t="s">
        <v>713</v>
      </c>
      <c r="B55" s="9" t="s">
        <v>714</v>
      </c>
      <c r="C55" s="9" t="s">
        <v>54</v>
      </c>
      <c r="D55" s="139" t="s">
        <v>1187</v>
      </c>
      <c r="E55" s="213" t="str">
        <f t="shared" si="1"/>
        <v>N/A</v>
      </c>
      <c r="F55" s="117" t="str">
        <f t="shared" si="0"/>
        <v>-</v>
      </c>
      <c r="G55" s="31"/>
    </row>
    <row r="56" spans="1:9" s="8" customFormat="1" ht="13" x14ac:dyDescent="0.25">
      <c r="A56" s="9"/>
      <c r="B56" s="35" t="s">
        <v>715</v>
      </c>
      <c r="C56" s="9"/>
      <c r="D56" s="139"/>
      <c r="E56" s="213"/>
      <c r="F56" s="117"/>
      <c r="G56" s="31"/>
    </row>
    <row r="57" spans="1:9" s="8" customFormat="1" ht="25" x14ac:dyDescent="0.25">
      <c r="A57" s="129" t="s">
        <v>716</v>
      </c>
      <c r="B57" s="129" t="s">
        <v>717</v>
      </c>
      <c r="C57" s="129" t="s">
        <v>54</v>
      </c>
      <c r="D57" s="139">
        <v>10</v>
      </c>
      <c r="E57" s="213">
        <v>50</v>
      </c>
      <c r="F57" s="117">
        <f>IFERROR(IF(ISNUMBER(D57),D57*E57,"-"),"")</f>
        <v>500</v>
      </c>
      <c r="G57" s="31"/>
      <c r="I57" s="168"/>
    </row>
    <row r="58" spans="1:9" s="8" customFormat="1" ht="25" x14ac:dyDescent="0.25">
      <c r="A58" s="129" t="s">
        <v>718</v>
      </c>
      <c r="B58" s="129" t="s">
        <v>719</v>
      </c>
      <c r="C58" s="129" t="s">
        <v>54</v>
      </c>
      <c r="D58" s="139" t="s">
        <v>1187</v>
      </c>
      <c r="E58" s="213"/>
      <c r="F58" s="117" t="str">
        <f t="shared" si="0"/>
        <v>-</v>
      </c>
      <c r="G58" s="31"/>
      <c r="I58" s="180"/>
    </row>
    <row r="59" spans="1:9" s="8" customFormat="1" ht="25" x14ac:dyDescent="0.25">
      <c r="A59" s="129" t="s">
        <v>720</v>
      </c>
      <c r="B59" s="129" t="s">
        <v>1361</v>
      </c>
      <c r="C59" s="129" t="s">
        <v>54</v>
      </c>
      <c r="D59" s="139">
        <v>10</v>
      </c>
      <c r="E59" s="213">
        <v>50</v>
      </c>
      <c r="F59" s="117">
        <f>IFERROR(IF(ISNUMBER(D59),D59*E59,"-"),"")</f>
        <v>500</v>
      </c>
      <c r="G59" s="31"/>
    </row>
    <row r="60" spans="1:9" s="8" customFormat="1" x14ac:dyDescent="0.25">
      <c r="A60" s="9" t="s">
        <v>721</v>
      </c>
      <c r="B60" s="9" t="s">
        <v>722</v>
      </c>
      <c r="C60" s="9" t="s">
        <v>210</v>
      </c>
      <c r="D60" s="139" t="s">
        <v>1187</v>
      </c>
      <c r="E60" s="213" t="str">
        <f t="shared" si="1"/>
        <v>N/A</v>
      </c>
      <c r="F60" s="117" t="str">
        <f t="shared" si="0"/>
        <v>-</v>
      </c>
      <c r="G60" s="31"/>
    </row>
    <row r="61" spans="1:9" s="8" customFormat="1" x14ac:dyDescent="0.25">
      <c r="A61" s="9" t="s">
        <v>723</v>
      </c>
      <c r="B61" s="9" t="s">
        <v>724</v>
      </c>
      <c r="C61" s="9" t="s">
        <v>210</v>
      </c>
      <c r="D61" s="139" t="s">
        <v>1187</v>
      </c>
      <c r="E61" s="213" t="str">
        <f t="shared" si="1"/>
        <v>N/A</v>
      </c>
      <c r="F61" s="117" t="str">
        <f t="shared" si="0"/>
        <v>-</v>
      </c>
      <c r="G61" s="31"/>
    </row>
    <row r="62" spans="1:9" s="8" customFormat="1" x14ac:dyDescent="0.25">
      <c r="A62" s="9" t="s">
        <v>725</v>
      </c>
      <c r="B62" s="9" t="s">
        <v>726</v>
      </c>
      <c r="C62" s="9" t="s">
        <v>210</v>
      </c>
      <c r="D62" s="139" t="s">
        <v>1187</v>
      </c>
      <c r="E62" s="213" t="str">
        <f t="shared" si="1"/>
        <v>N/A</v>
      </c>
      <c r="F62" s="117" t="str">
        <f t="shared" si="0"/>
        <v>-</v>
      </c>
      <c r="G62" s="31"/>
    </row>
    <row r="63" spans="1:9" s="8" customFormat="1" ht="12.75" customHeight="1" thickBot="1" x14ac:dyDescent="0.3">
      <c r="A63" s="56"/>
      <c r="B63" s="56"/>
      <c r="C63" s="56"/>
      <c r="D63" s="130"/>
      <c r="E63" s="58"/>
      <c r="F63" s="117"/>
      <c r="G63" s="31"/>
    </row>
    <row r="64" spans="1:9" ht="13.5" thickBot="1" x14ac:dyDescent="0.35">
      <c r="B64" s="51" t="s">
        <v>727</v>
      </c>
      <c r="C64" s="52"/>
      <c r="D64" s="205"/>
      <c r="E64" s="122"/>
      <c r="F64" s="119">
        <f>IF(SUM(F5:F62)=0,"",SUM(F5:F62))</f>
        <v>78040</v>
      </c>
      <c r="G64" s="77"/>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43FC-B086-4D8B-8C6D-D21F1E3F7BC1}">
  <dimension ref="A2:I44"/>
  <sheetViews>
    <sheetView view="pageBreakPreview" zoomScale="90" zoomScaleNormal="100" zoomScaleSheetLayoutView="90" workbookViewId="0">
      <selection activeCell="H1" sqref="H1:L1048576"/>
    </sheetView>
  </sheetViews>
  <sheetFormatPr defaultColWidth="9.1796875" defaultRowHeight="12.5" x14ac:dyDescent="0.25"/>
  <cols>
    <col min="1" max="1" width="9.1796875" style="16"/>
    <col min="2" max="2" width="35.54296875" style="16" customWidth="1"/>
    <col min="3" max="3" width="8.453125" style="21" customWidth="1"/>
    <col min="4" max="4" width="11.453125" style="190" customWidth="1"/>
    <col min="5" max="5" width="11.453125" style="21" customWidth="1"/>
    <col min="6" max="6" width="11.453125" style="88" customWidth="1"/>
    <col min="7" max="7" width="3.1796875" style="23" customWidth="1"/>
    <col min="8" max="16384" width="9.1796875" style="16"/>
  </cols>
  <sheetData>
    <row r="2" spans="1:9" x14ac:dyDescent="0.25">
      <c r="A2" s="1" t="s">
        <v>0</v>
      </c>
      <c r="B2" s="1" t="s">
        <v>1</v>
      </c>
      <c r="C2" s="1" t="s">
        <v>2</v>
      </c>
      <c r="D2" s="131" t="s">
        <v>3</v>
      </c>
      <c r="E2" s="1" t="s">
        <v>4</v>
      </c>
      <c r="F2" s="78" t="s">
        <v>5</v>
      </c>
      <c r="G2" s="79"/>
    </row>
    <row r="3" spans="1:9" x14ac:dyDescent="0.25">
      <c r="A3" s="40"/>
      <c r="B3" s="40"/>
      <c r="C3" s="41"/>
      <c r="D3" s="134"/>
      <c r="E3" s="41" t="s">
        <v>6</v>
      </c>
      <c r="F3" s="80" t="s">
        <v>6</v>
      </c>
    </row>
    <row r="4" spans="1:9" ht="13" x14ac:dyDescent="0.25">
      <c r="A4" s="44" t="s">
        <v>728</v>
      </c>
      <c r="B4" s="44" t="s">
        <v>729</v>
      </c>
      <c r="C4" s="81"/>
      <c r="D4" s="200"/>
      <c r="E4" s="81"/>
      <c r="F4" s="82"/>
      <c r="G4" s="83"/>
    </row>
    <row r="5" spans="1:9" ht="13" x14ac:dyDescent="0.25">
      <c r="A5" s="84"/>
      <c r="B5" s="35" t="s">
        <v>730</v>
      </c>
      <c r="C5" s="85"/>
      <c r="D5" s="201"/>
      <c r="E5" s="86"/>
      <c r="F5" s="36"/>
      <c r="G5" s="87"/>
    </row>
    <row r="6" spans="1:9" ht="25" x14ac:dyDescent="0.25">
      <c r="A6" s="46" t="s">
        <v>731</v>
      </c>
      <c r="B6" s="46" t="s">
        <v>732</v>
      </c>
      <c r="C6" s="86" t="s">
        <v>149</v>
      </c>
      <c r="D6" s="192">
        <v>164</v>
      </c>
      <c r="E6" s="137">
        <v>10</v>
      </c>
      <c r="F6" s="117">
        <f>IFERROR(IF(ISNUMBER(D6),D6*E6,"-"),"")</f>
        <v>1640</v>
      </c>
      <c r="G6" s="87"/>
    </row>
    <row r="7" spans="1:9" ht="25" x14ac:dyDescent="0.25">
      <c r="A7" s="46" t="s">
        <v>733</v>
      </c>
      <c r="B7" s="46" t="s">
        <v>734</v>
      </c>
      <c r="C7" s="86" t="s">
        <v>54</v>
      </c>
      <c r="D7" s="192" t="s">
        <v>1187</v>
      </c>
      <c r="E7" s="137" t="str">
        <f t="shared" ref="E7:E43" si="0">IF(ISNUMBER(D7),"","N/A")</f>
        <v>N/A</v>
      </c>
      <c r="F7" s="117" t="str">
        <f t="shared" ref="F7:F43" si="1">IFERROR(IF(ISNUMBER(D7),D7*E7,"-"),"")</f>
        <v>-</v>
      </c>
      <c r="G7" s="87"/>
    </row>
    <row r="8" spans="1:9" x14ac:dyDescent="0.25">
      <c r="A8" s="46" t="s">
        <v>735</v>
      </c>
      <c r="B8" s="46" t="s">
        <v>736</v>
      </c>
      <c r="C8" s="86" t="s">
        <v>149</v>
      </c>
      <c r="D8" s="192" t="s">
        <v>1187</v>
      </c>
      <c r="E8" s="137" t="str">
        <f t="shared" si="0"/>
        <v>N/A</v>
      </c>
      <c r="F8" s="117" t="str">
        <f t="shared" si="1"/>
        <v>-</v>
      </c>
      <c r="G8" s="87"/>
    </row>
    <row r="9" spans="1:9" ht="25" x14ac:dyDescent="0.25">
      <c r="A9" s="46" t="s">
        <v>737</v>
      </c>
      <c r="B9" s="46" t="s">
        <v>738</v>
      </c>
      <c r="C9" s="86" t="s">
        <v>149</v>
      </c>
      <c r="D9" s="192" t="s">
        <v>1187</v>
      </c>
      <c r="E9" s="137" t="str">
        <f t="shared" si="0"/>
        <v>N/A</v>
      </c>
      <c r="F9" s="117" t="str">
        <f t="shared" si="1"/>
        <v>-</v>
      </c>
      <c r="G9" s="87"/>
    </row>
    <row r="10" spans="1:9" x14ac:dyDescent="0.25">
      <c r="A10" s="46" t="s">
        <v>739</v>
      </c>
      <c r="B10" s="46" t="s">
        <v>740</v>
      </c>
      <c r="C10" s="86" t="s">
        <v>149</v>
      </c>
      <c r="D10" s="192" t="s">
        <v>1187</v>
      </c>
      <c r="E10" s="137" t="str">
        <f t="shared" si="0"/>
        <v>N/A</v>
      </c>
      <c r="F10" s="117" t="str">
        <f t="shared" si="1"/>
        <v>-</v>
      </c>
      <c r="G10" s="87"/>
    </row>
    <row r="11" spans="1:9" ht="25" x14ac:dyDescent="0.25">
      <c r="A11" s="46" t="s">
        <v>741</v>
      </c>
      <c r="B11" s="46" t="s">
        <v>742</v>
      </c>
      <c r="C11" s="86" t="s">
        <v>149</v>
      </c>
      <c r="D11" s="192">
        <v>260</v>
      </c>
      <c r="E11" s="137">
        <v>15</v>
      </c>
      <c r="F11" s="117">
        <f t="shared" si="1"/>
        <v>3900</v>
      </c>
      <c r="G11" s="87"/>
      <c r="I11" s="175"/>
    </row>
    <row r="12" spans="1:9" x14ac:dyDescent="0.25">
      <c r="A12" s="46" t="s">
        <v>743</v>
      </c>
      <c r="B12" s="46" t="s">
        <v>744</v>
      </c>
      <c r="C12" s="86" t="s">
        <v>149</v>
      </c>
      <c r="D12" s="192">
        <v>260</v>
      </c>
      <c r="E12" s="137">
        <v>10</v>
      </c>
      <c r="F12" s="117">
        <f t="shared" si="1"/>
        <v>2600</v>
      </c>
      <c r="G12" s="87"/>
    </row>
    <row r="13" spans="1:9" ht="25" x14ac:dyDescent="0.25">
      <c r="A13" s="46" t="s">
        <v>745</v>
      </c>
      <c r="B13" s="46" t="s">
        <v>746</v>
      </c>
      <c r="C13" s="86" t="s">
        <v>149</v>
      </c>
      <c r="D13" s="192">
        <v>164</v>
      </c>
      <c r="E13" s="137">
        <v>15</v>
      </c>
      <c r="F13" s="117">
        <f t="shared" si="1"/>
        <v>2460</v>
      </c>
      <c r="G13" s="87"/>
    </row>
    <row r="14" spans="1:9" x14ac:dyDescent="0.25">
      <c r="A14" s="46" t="s">
        <v>747</v>
      </c>
      <c r="B14" s="46" t="s">
        <v>748</v>
      </c>
      <c r="C14" s="86" t="s">
        <v>149</v>
      </c>
      <c r="D14" s="192">
        <v>11</v>
      </c>
      <c r="E14" s="137">
        <v>10</v>
      </c>
      <c r="F14" s="117">
        <f t="shared" si="1"/>
        <v>110</v>
      </c>
      <c r="G14" s="87"/>
    </row>
    <row r="15" spans="1:9" ht="32.15" customHeight="1" x14ac:dyDescent="0.25">
      <c r="A15" s="46" t="s">
        <v>749</v>
      </c>
      <c r="B15" s="46" t="s">
        <v>750</v>
      </c>
      <c r="C15" s="86" t="s">
        <v>149</v>
      </c>
      <c r="D15" s="192" t="s">
        <v>1187</v>
      </c>
      <c r="E15" s="137" t="str">
        <f t="shared" si="0"/>
        <v>N/A</v>
      </c>
      <c r="F15" s="117" t="str">
        <f t="shared" si="1"/>
        <v>-</v>
      </c>
      <c r="G15" s="87"/>
    </row>
    <row r="16" spans="1:9" x14ac:dyDescent="0.25">
      <c r="A16" s="46" t="s">
        <v>751</v>
      </c>
      <c r="B16" s="46" t="s">
        <v>752</v>
      </c>
      <c r="C16" s="86" t="s">
        <v>149</v>
      </c>
      <c r="D16" s="192" t="s">
        <v>1187</v>
      </c>
      <c r="E16" s="137" t="str">
        <f t="shared" si="0"/>
        <v>N/A</v>
      </c>
      <c r="F16" s="117" t="str">
        <f t="shared" si="1"/>
        <v>-</v>
      </c>
      <c r="G16" s="87"/>
    </row>
    <row r="17" spans="1:9" ht="25" x14ac:dyDescent="0.25">
      <c r="A17" s="46" t="s">
        <v>753</v>
      </c>
      <c r="B17" s="46" t="s">
        <v>754</v>
      </c>
      <c r="C17" s="86" t="s">
        <v>149</v>
      </c>
      <c r="D17" s="192" t="s">
        <v>1187</v>
      </c>
      <c r="E17" s="137" t="str">
        <f t="shared" si="0"/>
        <v>N/A</v>
      </c>
      <c r="F17" s="117" t="str">
        <f t="shared" si="1"/>
        <v>-</v>
      </c>
      <c r="G17" s="87"/>
    </row>
    <row r="18" spans="1:9" x14ac:dyDescent="0.25">
      <c r="A18" s="46" t="s">
        <v>755</v>
      </c>
      <c r="B18" s="46" t="s">
        <v>756</v>
      </c>
      <c r="C18" s="86" t="s">
        <v>149</v>
      </c>
      <c r="D18" s="192" t="s">
        <v>1187</v>
      </c>
      <c r="E18" s="137" t="str">
        <f t="shared" si="0"/>
        <v>N/A</v>
      </c>
      <c r="F18" s="117" t="str">
        <f t="shared" si="1"/>
        <v>-</v>
      </c>
      <c r="G18" s="87"/>
    </row>
    <row r="19" spans="1:9" x14ac:dyDescent="0.25">
      <c r="A19" s="46" t="s">
        <v>757</v>
      </c>
      <c r="B19" s="46" t="s">
        <v>758</v>
      </c>
      <c r="C19" s="86" t="s">
        <v>54</v>
      </c>
      <c r="D19" s="192">
        <v>44</v>
      </c>
      <c r="E19" s="137">
        <v>5</v>
      </c>
      <c r="F19" s="117">
        <f t="shared" si="1"/>
        <v>220</v>
      </c>
      <c r="G19" s="87"/>
    </row>
    <row r="20" spans="1:9" ht="25" x14ac:dyDescent="0.25">
      <c r="A20" s="46" t="s">
        <v>759</v>
      </c>
      <c r="B20" s="46" t="s">
        <v>760</v>
      </c>
      <c r="C20" s="86" t="s">
        <v>54</v>
      </c>
      <c r="D20" s="192" t="s">
        <v>1187</v>
      </c>
      <c r="E20" s="137" t="str">
        <f t="shared" si="0"/>
        <v>N/A</v>
      </c>
      <c r="F20" s="117" t="str">
        <f t="shared" si="1"/>
        <v>-</v>
      </c>
      <c r="G20" s="87"/>
    </row>
    <row r="21" spans="1:9" ht="25.5" customHeight="1" x14ac:dyDescent="0.25">
      <c r="A21" s="46" t="s">
        <v>761</v>
      </c>
      <c r="B21" s="46" t="s">
        <v>762</v>
      </c>
      <c r="C21" s="86" t="s">
        <v>54</v>
      </c>
      <c r="D21" s="192">
        <v>21</v>
      </c>
      <c r="E21" s="137">
        <v>100</v>
      </c>
      <c r="F21" s="117">
        <f t="shared" si="1"/>
        <v>2100</v>
      </c>
      <c r="G21" s="87"/>
    </row>
    <row r="22" spans="1:9" ht="26.25" customHeight="1" x14ac:dyDescent="0.25">
      <c r="A22" s="46" t="s">
        <v>763</v>
      </c>
      <c r="B22" s="46" t="s">
        <v>764</v>
      </c>
      <c r="C22" s="86" t="s">
        <v>54</v>
      </c>
      <c r="D22" s="192" t="s">
        <v>1187</v>
      </c>
      <c r="E22" s="137">
        <v>100</v>
      </c>
      <c r="F22" s="117" t="str">
        <f>IFERROR(IF(ISNUMBER(D22),D22*E22,"-"),"")</f>
        <v>-</v>
      </c>
      <c r="G22" s="87"/>
    </row>
    <row r="23" spans="1:9" ht="25" x14ac:dyDescent="0.25">
      <c r="A23" s="46" t="s">
        <v>765</v>
      </c>
      <c r="B23" s="46" t="s">
        <v>766</v>
      </c>
      <c r="C23" s="86" t="s">
        <v>54</v>
      </c>
      <c r="D23" s="192">
        <v>11</v>
      </c>
      <c r="E23" s="137">
        <v>150</v>
      </c>
      <c r="F23" s="117">
        <f>IFERROR(IF(ISNUMBER(D23),D23*E23,"-"),"")</f>
        <v>1650</v>
      </c>
      <c r="G23" s="87"/>
      <c r="I23" s="172"/>
    </row>
    <row r="24" spans="1:9" ht="37.5" x14ac:dyDescent="0.25">
      <c r="A24" s="46" t="s">
        <v>767</v>
      </c>
      <c r="B24" s="46" t="s">
        <v>768</v>
      </c>
      <c r="C24" s="86" t="s">
        <v>54</v>
      </c>
      <c r="D24" s="192" t="s">
        <v>1187</v>
      </c>
      <c r="E24" s="137" t="str">
        <f t="shared" si="0"/>
        <v>N/A</v>
      </c>
      <c r="F24" s="117" t="str">
        <f t="shared" si="1"/>
        <v>-</v>
      </c>
      <c r="G24" s="87"/>
    </row>
    <row r="25" spans="1:9" ht="25" x14ac:dyDescent="0.25">
      <c r="A25" s="46" t="s">
        <v>769</v>
      </c>
      <c r="B25" s="46" t="s">
        <v>770</v>
      </c>
      <c r="C25" s="86" t="s">
        <v>54</v>
      </c>
      <c r="D25" s="192" t="s">
        <v>1187</v>
      </c>
      <c r="E25" s="137" t="str">
        <f t="shared" si="0"/>
        <v>N/A</v>
      </c>
      <c r="F25" s="117" t="str">
        <f t="shared" si="1"/>
        <v>-</v>
      </c>
      <c r="G25" s="87"/>
    </row>
    <row r="26" spans="1:9" ht="26" x14ac:dyDescent="0.25">
      <c r="A26" s="46"/>
      <c r="B26" s="45" t="s">
        <v>771</v>
      </c>
      <c r="C26" s="86"/>
      <c r="D26" s="192"/>
      <c r="E26" s="137"/>
      <c r="F26" s="117"/>
      <c r="G26" s="87"/>
    </row>
    <row r="27" spans="1:9" ht="25" x14ac:dyDescent="0.25">
      <c r="A27" s="46" t="s">
        <v>772</v>
      </c>
      <c r="B27" s="46" t="s">
        <v>773</v>
      </c>
      <c r="C27" s="86" t="s">
        <v>11</v>
      </c>
      <c r="D27" s="192">
        <v>10</v>
      </c>
      <c r="E27" s="137">
        <v>250</v>
      </c>
      <c r="F27" s="117">
        <f>IFERROR(IF(ISNUMBER(D27),D27*E27,"-"),"")</f>
        <v>2500</v>
      </c>
      <c r="G27" s="87"/>
    </row>
    <row r="28" spans="1:9" ht="25" x14ac:dyDescent="0.25">
      <c r="A28" s="46" t="s">
        <v>774</v>
      </c>
      <c r="B28" s="46" t="s">
        <v>1184</v>
      </c>
      <c r="C28" s="86" t="s">
        <v>1177</v>
      </c>
      <c r="D28" s="192">
        <v>10</v>
      </c>
      <c r="E28" s="137">
        <v>100</v>
      </c>
      <c r="F28" s="117">
        <f>IFERROR(IF(ISNUMBER(D28),D28*E28,"-"),"")</f>
        <v>1000</v>
      </c>
      <c r="G28" s="87"/>
    </row>
    <row r="29" spans="1:9" x14ac:dyDescent="0.25">
      <c r="A29" s="46" t="s">
        <v>775</v>
      </c>
      <c r="B29" s="46" t="s">
        <v>776</v>
      </c>
      <c r="C29" s="86" t="s">
        <v>54</v>
      </c>
      <c r="D29" s="192" t="s">
        <v>1187</v>
      </c>
      <c r="E29" s="137" t="str">
        <f t="shared" si="0"/>
        <v>N/A</v>
      </c>
      <c r="F29" s="117" t="str">
        <f t="shared" si="1"/>
        <v>-</v>
      </c>
      <c r="G29" s="87"/>
    </row>
    <row r="30" spans="1:9" x14ac:dyDescent="0.25">
      <c r="A30" s="46" t="s">
        <v>777</v>
      </c>
      <c r="B30" s="46" t="s">
        <v>778</v>
      </c>
      <c r="C30" s="86" t="s">
        <v>1177</v>
      </c>
      <c r="D30" s="192">
        <v>10</v>
      </c>
      <c r="E30" s="137">
        <v>150</v>
      </c>
      <c r="F30" s="117">
        <f t="shared" si="1"/>
        <v>1500</v>
      </c>
      <c r="G30" s="87"/>
    </row>
    <row r="31" spans="1:9" x14ac:dyDescent="0.25">
      <c r="A31" s="46" t="s">
        <v>779</v>
      </c>
      <c r="B31" s="46" t="s">
        <v>780</v>
      </c>
      <c r="C31" s="86" t="s">
        <v>54</v>
      </c>
      <c r="D31" s="192" t="s">
        <v>1187</v>
      </c>
      <c r="E31" s="137" t="str">
        <f t="shared" si="0"/>
        <v>N/A</v>
      </c>
      <c r="F31" s="117" t="str">
        <f t="shared" si="1"/>
        <v>-</v>
      </c>
      <c r="G31" s="87"/>
    </row>
    <row r="32" spans="1:9" x14ac:dyDescent="0.25">
      <c r="A32" s="46" t="s">
        <v>781</v>
      </c>
      <c r="B32" s="46" t="s">
        <v>782</v>
      </c>
      <c r="C32" s="86" t="s">
        <v>783</v>
      </c>
      <c r="D32" s="192" t="s">
        <v>1187</v>
      </c>
      <c r="E32" s="137" t="str">
        <f t="shared" si="0"/>
        <v>N/A</v>
      </c>
      <c r="F32" s="117" t="str">
        <f t="shared" si="1"/>
        <v>-</v>
      </c>
      <c r="G32" s="87"/>
    </row>
    <row r="33" spans="1:7" ht="13" x14ac:dyDescent="0.25">
      <c r="A33" s="46"/>
      <c r="B33" s="45" t="s">
        <v>784</v>
      </c>
      <c r="C33" s="86"/>
      <c r="D33" s="192"/>
      <c r="E33" s="137"/>
      <c r="F33" s="117"/>
      <c r="G33" s="87"/>
    </row>
    <row r="34" spans="1:7" ht="37.5" x14ac:dyDescent="0.25">
      <c r="A34" s="46" t="s">
        <v>785</v>
      </c>
      <c r="B34" s="46" t="s">
        <v>786</v>
      </c>
      <c r="C34" s="86" t="s">
        <v>149</v>
      </c>
      <c r="D34" s="192" t="s">
        <v>1187</v>
      </c>
      <c r="E34" s="137" t="str">
        <f t="shared" si="0"/>
        <v>N/A</v>
      </c>
      <c r="F34" s="117" t="str">
        <f t="shared" si="1"/>
        <v>-</v>
      </c>
      <c r="G34" s="87"/>
    </row>
    <row r="35" spans="1:7" ht="25" x14ac:dyDescent="0.25">
      <c r="A35" s="46" t="s">
        <v>787</v>
      </c>
      <c r="B35" s="46" t="s">
        <v>788</v>
      </c>
      <c r="C35" s="86" t="s">
        <v>165</v>
      </c>
      <c r="D35" s="198" t="s">
        <v>1187</v>
      </c>
      <c r="E35" s="137" t="str">
        <f t="shared" si="0"/>
        <v>N/A</v>
      </c>
      <c r="F35" s="117" t="str">
        <f t="shared" si="1"/>
        <v>-</v>
      </c>
      <c r="G35" s="87"/>
    </row>
    <row r="36" spans="1:7" ht="25" x14ac:dyDescent="0.25">
      <c r="A36" s="46" t="s">
        <v>789</v>
      </c>
      <c r="B36" s="46" t="s">
        <v>790</v>
      </c>
      <c r="C36" s="86" t="s">
        <v>57</v>
      </c>
      <c r="D36" s="192" t="s">
        <v>1187</v>
      </c>
      <c r="E36" s="137" t="str">
        <f t="shared" si="0"/>
        <v>N/A</v>
      </c>
      <c r="F36" s="117" t="str">
        <f t="shared" si="1"/>
        <v>-</v>
      </c>
      <c r="G36" s="87"/>
    </row>
    <row r="37" spans="1:7" ht="25" x14ac:dyDescent="0.25">
      <c r="A37" s="46" t="s">
        <v>791</v>
      </c>
      <c r="B37" s="46" t="s">
        <v>792</v>
      </c>
      <c r="C37" s="86" t="s">
        <v>181</v>
      </c>
      <c r="D37" s="192" t="s">
        <v>1187</v>
      </c>
      <c r="E37" s="137" t="str">
        <f t="shared" si="0"/>
        <v>N/A</v>
      </c>
      <c r="F37" s="117" t="str">
        <f t="shared" si="1"/>
        <v>-</v>
      </c>
      <c r="G37" s="87"/>
    </row>
    <row r="38" spans="1:7" x14ac:dyDescent="0.25">
      <c r="A38" s="46" t="s">
        <v>793</v>
      </c>
      <c r="B38" s="46" t="s">
        <v>762</v>
      </c>
      <c r="C38" s="86" t="s">
        <v>54</v>
      </c>
      <c r="D38" s="192" t="s">
        <v>1187</v>
      </c>
      <c r="E38" s="137" t="str">
        <f t="shared" si="0"/>
        <v>N/A</v>
      </c>
      <c r="F38" s="117" t="str">
        <f t="shared" si="1"/>
        <v>-</v>
      </c>
      <c r="G38" s="87"/>
    </row>
    <row r="39" spans="1:7" ht="13" x14ac:dyDescent="0.25">
      <c r="A39" s="46"/>
      <c r="B39" s="45" t="s">
        <v>794</v>
      </c>
      <c r="C39" s="86"/>
      <c r="D39" s="192"/>
      <c r="E39" s="137"/>
      <c r="F39" s="117"/>
      <c r="G39" s="87"/>
    </row>
    <row r="40" spans="1:7" ht="25" x14ac:dyDescent="0.25">
      <c r="A40" s="46" t="s">
        <v>795</v>
      </c>
      <c r="B40" s="46" t="s">
        <v>796</v>
      </c>
      <c r="C40" s="86" t="s">
        <v>54</v>
      </c>
      <c r="D40" s="192" t="s">
        <v>1187</v>
      </c>
      <c r="E40" s="137" t="str">
        <f t="shared" si="0"/>
        <v>N/A</v>
      </c>
      <c r="F40" s="117" t="str">
        <f t="shared" si="1"/>
        <v>-</v>
      </c>
      <c r="G40" s="87"/>
    </row>
    <row r="41" spans="1:7" ht="37.5" x14ac:dyDescent="0.25">
      <c r="A41" s="46" t="s">
        <v>797</v>
      </c>
      <c r="B41" s="46" t="s">
        <v>798</v>
      </c>
      <c r="C41" s="86" t="s">
        <v>149</v>
      </c>
      <c r="D41" s="192" t="s">
        <v>1187</v>
      </c>
      <c r="E41" s="137" t="str">
        <f t="shared" si="0"/>
        <v>N/A</v>
      </c>
      <c r="F41" s="117" t="str">
        <f t="shared" si="1"/>
        <v>-</v>
      </c>
      <c r="G41" s="87"/>
    </row>
    <row r="42" spans="1:7" x14ac:dyDescent="0.25">
      <c r="A42" s="46" t="s">
        <v>799</v>
      </c>
      <c r="B42" s="46" t="s">
        <v>762</v>
      </c>
      <c r="C42" s="86" t="s">
        <v>54</v>
      </c>
      <c r="D42" s="192" t="s">
        <v>1187</v>
      </c>
      <c r="E42" s="137" t="str">
        <f t="shared" si="0"/>
        <v>N/A</v>
      </c>
      <c r="F42" s="117" t="str">
        <f t="shared" si="1"/>
        <v>-</v>
      </c>
      <c r="G42" s="87"/>
    </row>
    <row r="43" spans="1:7" ht="25" x14ac:dyDescent="0.25">
      <c r="A43" s="46" t="s">
        <v>800</v>
      </c>
      <c r="B43" s="46" t="s">
        <v>801</v>
      </c>
      <c r="C43" s="86" t="s">
        <v>54</v>
      </c>
      <c r="D43" s="192" t="s">
        <v>1187</v>
      </c>
      <c r="E43" s="137" t="str">
        <f t="shared" si="0"/>
        <v>N/A</v>
      </c>
      <c r="F43" s="117" t="str">
        <f t="shared" si="1"/>
        <v>-</v>
      </c>
      <c r="G43" s="87"/>
    </row>
    <row r="44" spans="1:7" ht="12.75" customHeight="1" x14ac:dyDescent="0.25">
      <c r="A44" s="37"/>
      <c r="B44" s="38" t="s">
        <v>802</v>
      </c>
      <c r="C44" s="38"/>
      <c r="D44" s="196"/>
      <c r="E44" s="39"/>
      <c r="F44" s="121">
        <f>IF(SUM(F6:F43)=0,"",SUM(F6:F43))</f>
        <v>19680</v>
      </c>
      <c r="G44" s="88"/>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BE55-4386-4F72-B855-6D079E05587B}">
  <dimension ref="A2:H32"/>
  <sheetViews>
    <sheetView view="pageBreakPreview" zoomScale="80" zoomScaleNormal="100" zoomScaleSheetLayoutView="80" workbookViewId="0">
      <selection activeCell="H1" sqref="H1:I1048576"/>
    </sheetView>
  </sheetViews>
  <sheetFormatPr defaultColWidth="9.1796875" defaultRowHeight="12.5" x14ac:dyDescent="0.25"/>
  <cols>
    <col min="1" max="1" width="9.1796875" style="16"/>
    <col min="2" max="2" width="35.54296875" style="16" customWidth="1"/>
    <col min="3" max="3" width="9.54296875" style="21" customWidth="1"/>
    <col min="4" max="4" width="11.453125" style="190" customWidth="1"/>
    <col min="5" max="5" width="11.453125" style="21" customWidth="1"/>
    <col min="6" max="6" width="11.453125" style="23" customWidth="1"/>
    <col min="7" max="16384" width="9.1796875" style="16"/>
  </cols>
  <sheetData>
    <row r="2" spans="1:8" x14ac:dyDescent="0.25">
      <c r="A2" s="1" t="s">
        <v>0</v>
      </c>
      <c r="B2" s="1" t="s">
        <v>1</v>
      </c>
      <c r="C2" s="1" t="s">
        <v>2</v>
      </c>
      <c r="D2" s="131" t="s">
        <v>3</v>
      </c>
      <c r="E2" s="1" t="s">
        <v>4</v>
      </c>
      <c r="F2" s="3" t="s">
        <v>5</v>
      </c>
    </row>
    <row r="3" spans="1:8" x14ac:dyDescent="0.25">
      <c r="A3" s="40"/>
      <c r="B3" s="40"/>
      <c r="C3" s="41"/>
      <c r="D3" s="134"/>
      <c r="E3" s="41" t="s">
        <v>6</v>
      </c>
      <c r="F3" s="42" t="s">
        <v>6</v>
      </c>
    </row>
    <row r="4" spans="1:8" ht="26" x14ac:dyDescent="0.25">
      <c r="A4" s="44" t="s">
        <v>803</v>
      </c>
      <c r="B4" s="44" t="s">
        <v>804</v>
      </c>
      <c r="C4" s="81"/>
      <c r="D4" s="200"/>
      <c r="E4" s="81"/>
      <c r="F4" s="89"/>
    </row>
    <row r="5" spans="1:8" ht="37.5" x14ac:dyDescent="0.25">
      <c r="A5" s="9" t="s">
        <v>805</v>
      </c>
      <c r="B5" s="9" t="s">
        <v>806</v>
      </c>
      <c r="C5" s="130" t="s">
        <v>1180</v>
      </c>
      <c r="D5" s="192">
        <v>10</v>
      </c>
      <c r="E5" s="137">
        <v>250</v>
      </c>
      <c r="F5" s="117">
        <f>IFERROR(IF(ISNUMBER(D5),D5*E5,"-"),"")</f>
        <v>2500</v>
      </c>
    </row>
    <row r="6" spans="1:8" ht="37.5" x14ac:dyDescent="0.25">
      <c r="A6" s="9" t="s">
        <v>807</v>
      </c>
      <c r="B6" s="9" t="s">
        <v>808</v>
      </c>
      <c r="C6" s="130" t="s">
        <v>1180</v>
      </c>
      <c r="D6" s="192" t="s">
        <v>1187</v>
      </c>
      <c r="E6" s="137">
        <v>250</v>
      </c>
      <c r="F6" s="117" t="str">
        <f t="shared" ref="F6:F31" si="0">IFERROR(IF(ISNUMBER(D6),D6*E6,"-"),"")</f>
        <v>-</v>
      </c>
    </row>
    <row r="7" spans="1:8" ht="37.5" x14ac:dyDescent="0.25">
      <c r="A7" s="9" t="s">
        <v>809</v>
      </c>
      <c r="B7" s="9" t="s">
        <v>810</v>
      </c>
      <c r="C7" s="130" t="s">
        <v>54</v>
      </c>
      <c r="D7" s="192" t="s">
        <v>1187</v>
      </c>
      <c r="E7" s="137" t="str">
        <f t="shared" ref="E7:E31" si="1">IF(ISNUMBER(D7),"","N/A")</f>
        <v>N/A</v>
      </c>
      <c r="F7" s="117" t="str">
        <f t="shared" si="0"/>
        <v>-</v>
      </c>
    </row>
    <row r="8" spans="1:8" ht="37.5" x14ac:dyDescent="0.25">
      <c r="A8" s="9" t="s">
        <v>811</v>
      </c>
      <c r="B8" s="9" t="s">
        <v>812</v>
      </c>
      <c r="C8" s="130" t="s">
        <v>54</v>
      </c>
      <c r="D8" s="192" t="s">
        <v>1187</v>
      </c>
      <c r="E8" s="137" t="str">
        <f t="shared" si="1"/>
        <v>N/A</v>
      </c>
      <c r="F8" s="117" t="str">
        <f t="shared" si="0"/>
        <v>-</v>
      </c>
    </row>
    <row r="9" spans="1:8" ht="50" x14ac:dyDescent="0.25">
      <c r="A9" s="129" t="s">
        <v>813</v>
      </c>
      <c r="B9" s="129" t="s">
        <v>1186</v>
      </c>
      <c r="C9" s="130" t="s">
        <v>1177</v>
      </c>
      <c r="D9" s="192">
        <v>1</v>
      </c>
      <c r="E9" s="137">
        <v>500</v>
      </c>
      <c r="F9" s="117">
        <f t="shared" si="0"/>
        <v>500</v>
      </c>
      <c r="H9" s="172"/>
    </row>
    <row r="10" spans="1:8" ht="25" x14ac:dyDescent="0.25">
      <c r="A10" s="129" t="s">
        <v>814</v>
      </c>
      <c r="B10" s="129" t="s">
        <v>815</v>
      </c>
      <c r="C10" s="130" t="s">
        <v>160</v>
      </c>
      <c r="D10" s="192">
        <v>10</v>
      </c>
      <c r="E10" s="137">
        <v>25</v>
      </c>
      <c r="F10" s="117">
        <f>IFERROR(IF(ISNUMBER(D10),D10*E10,"-"),"")</f>
        <v>250</v>
      </c>
      <c r="H10" s="179"/>
    </row>
    <row r="11" spans="1:8" ht="37.5" x14ac:dyDescent="0.25">
      <c r="A11" s="129" t="s">
        <v>816</v>
      </c>
      <c r="B11" s="129" t="s">
        <v>1178</v>
      </c>
      <c r="C11" s="130" t="s">
        <v>54</v>
      </c>
      <c r="D11" s="192" t="s">
        <v>1187</v>
      </c>
      <c r="E11" s="137">
        <v>25</v>
      </c>
      <c r="F11" s="117" t="str">
        <f>IFERROR(IF(ISNUMBER(D11),D11*E11,"-"),"")</f>
        <v>-</v>
      </c>
    </row>
    <row r="12" spans="1:8" ht="37.5" x14ac:dyDescent="0.25">
      <c r="A12" s="129" t="s">
        <v>817</v>
      </c>
      <c r="B12" s="129" t="s">
        <v>818</v>
      </c>
      <c r="C12" s="130" t="s">
        <v>54</v>
      </c>
      <c r="D12" s="192">
        <v>10</v>
      </c>
      <c r="E12" s="137">
        <v>25</v>
      </c>
      <c r="F12" s="117">
        <f>IFERROR(IF(ISNUMBER(D12),D12*E12,"-"),"")</f>
        <v>250</v>
      </c>
    </row>
    <row r="13" spans="1:8" ht="26" x14ac:dyDescent="0.25">
      <c r="A13" s="84"/>
      <c r="B13" s="35" t="s">
        <v>819</v>
      </c>
      <c r="C13" s="85"/>
      <c r="D13" s="192"/>
      <c r="E13" s="137"/>
      <c r="F13" s="117"/>
    </row>
    <row r="14" spans="1:8" ht="25" x14ac:dyDescent="0.25">
      <c r="A14" s="9" t="s">
        <v>820</v>
      </c>
      <c r="B14" s="9" t="s">
        <v>821</v>
      </c>
      <c r="C14" s="130" t="s">
        <v>1181</v>
      </c>
      <c r="D14" s="192">
        <v>4</v>
      </c>
      <c r="E14" s="137">
        <v>250</v>
      </c>
      <c r="F14" s="117">
        <f t="shared" si="0"/>
        <v>1000</v>
      </c>
    </row>
    <row r="15" spans="1:8" ht="37.5" x14ac:dyDescent="0.25">
      <c r="A15" s="9" t="s">
        <v>822</v>
      </c>
      <c r="B15" s="9" t="s">
        <v>1183</v>
      </c>
      <c r="C15" s="130" t="s">
        <v>1181</v>
      </c>
      <c r="D15" s="192">
        <v>4</v>
      </c>
      <c r="E15" s="137">
        <v>250</v>
      </c>
      <c r="F15" s="117">
        <f t="shared" si="0"/>
        <v>1000</v>
      </c>
    </row>
    <row r="16" spans="1:8" ht="37.5" x14ac:dyDescent="0.25">
      <c r="A16" s="9" t="s">
        <v>823</v>
      </c>
      <c r="B16" s="9" t="s">
        <v>1182</v>
      </c>
      <c r="C16" s="130" t="s">
        <v>1181</v>
      </c>
      <c r="D16" s="189">
        <v>4</v>
      </c>
      <c r="E16" s="137">
        <v>250</v>
      </c>
      <c r="F16" s="117">
        <f>IFERROR(IF(ISNUMBER(D16),D16*E16,"-"),"")</f>
        <v>1000</v>
      </c>
    </row>
    <row r="17" spans="1:6" ht="37.5" x14ac:dyDescent="0.25">
      <c r="A17" s="9" t="s">
        <v>824</v>
      </c>
      <c r="B17" s="9" t="s">
        <v>825</v>
      </c>
      <c r="C17" s="130" t="s">
        <v>54</v>
      </c>
      <c r="D17" s="192" t="s">
        <v>1187</v>
      </c>
      <c r="E17" s="137" t="str">
        <f t="shared" si="1"/>
        <v>N/A</v>
      </c>
      <c r="F17" s="117" t="str">
        <f t="shared" si="0"/>
        <v>-</v>
      </c>
    </row>
    <row r="18" spans="1:6" ht="24.75" customHeight="1" x14ac:dyDescent="0.25">
      <c r="A18" s="9" t="s">
        <v>826</v>
      </c>
      <c r="B18" s="9" t="s">
        <v>827</v>
      </c>
      <c r="C18" s="130" t="s">
        <v>54</v>
      </c>
      <c r="D18" s="192" t="s">
        <v>1187</v>
      </c>
      <c r="E18" s="137" t="str">
        <f t="shared" si="1"/>
        <v>N/A</v>
      </c>
      <c r="F18" s="117" t="str">
        <f t="shared" si="0"/>
        <v>-</v>
      </c>
    </row>
    <row r="19" spans="1:6" ht="50" x14ac:dyDescent="0.25">
      <c r="A19" s="129" t="s">
        <v>828</v>
      </c>
      <c r="B19" s="129" t="s">
        <v>829</v>
      </c>
      <c r="C19" s="130" t="s">
        <v>54</v>
      </c>
      <c r="D19" s="192" t="s">
        <v>1187</v>
      </c>
      <c r="E19" s="137" t="str">
        <f t="shared" si="1"/>
        <v>N/A</v>
      </c>
      <c r="F19" s="117" t="str">
        <f t="shared" si="0"/>
        <v>-</v>
      </c>
    </row>
    <row r="20" spans="1:6" ht="25" x14ac:dyDescent="0.25">
      <c r="A20" s="9" t="s">
        <v>830</v>
      </c>
      <c r="B20" s="9" t="s">
        <v>831</v>
      </c>
      <c r="C20" s="130" t="s">
        <v>160</v>
      </c>
      <c r="D20" s="192" t="s">
        <v>1187</v>
      </c>
      <c r="E20" s="137" t="str">
        <f t="shared" si="1"/>
        <v>N/A</v>
      </c>
      <c r="F20" s="117" t="str">
        <f t="shared" si="0"/>
        <v>-</v>
      </c>
    </row>
    <row r="21" spans="1:6" ht="37.5" x14ac:dyDescent="0.25">
      <c r="A21" s="9" t="s">
        <v>832</v>
      </c>
      <c r="B21" s="9" t="s">
        <v>833</v>
      </c>
      <c r="C21" s="130" t="s">
        <v>54</v>
      </c>
      <c r="D21" s="192" t="s">
        <v>1187</v>
      </c>
      <c r="E21" s="137" t="str">
        <f t="shared" si="1"/>
        <v>N/A</v>
      </c>
      <c r="F21" s="117" t="str">
        <f t="shared" si="0"/>
        <v>-</v>
      </c>
    </row>
    <row r="22" spans="1:6" ht="37.5" x14ac:dyDescent="0.25">
      <c r="A22" s="9" t="s">
        <v>834</v>
      </c>
      <c r="B22" s="9" t="s">
        <v>835</v>
      </c>
      <c r="C22" s="130" t="s">
        <v>54</v>
      </c>
      <c r="D22" s="192" t="s">
        <v>1187</v>
      </c>
      <c r="E22" s="137" t="str">
        <f t="shared" si="1"/>
        <v>N/A</v>
      </c>
      <c r="F22" s="117" t="str">
        <f t="shared" si="0"/>
        <v>-</v>
      </c>
    </row>
    <row r="23" spans="1:6" ht="25" x14ac:dyDescent="0.25">
      <c r="A23" s="9" t="s">
        <v>836</v>
      </c>
      <c r="B23" s="9" t="s">
        <v>837</v>
      </c>
      <c r="C23" s="130" t="s">
        <v>11</v>
      </c>
      <c r="D23" s="192" t="s">
        <v>1187</v>
      </c>
      <c r="E23" s="137" t="str">
        <f t="shared" si="1"/>
        <v>N/A</v>
      </c>
      <c r="F23" s="117" t="str">
        <f t="shared" si="0"/>
        <v>-</v>
      </c>
    </row>
    <row r="24" spans="1:6" ht="25" x14ac:dyDescent="0.25">
      <c r="A24" s="9" t="s">
        <v>838</v>
      </c>
      <c r="B24" s="9" t="s">
        <v>839</v>
      </c>
      <c r="C24" s="130" t="s">
        <v>54</v>
      </c>
      <c r="D24" s="192" t="s">
        <v>1187</v>
      </c>
      <c r="E24" s="137" t="str">
        <f t="shared" si="1"/>
        <v>N/A</v>
      </c>
      <c r="F24" s="117" t="str">
        <f t="shared" si="0"/>
        <v>-</v>
      </c>
    </row>
    <row r="25" spans="1:6" ht="25" x14ac:dyDescent="0.25">
      <c r="A25" s="9" t="s">
        <v>840</v>
      </c>
      <c r="B25" s="9" t="s">
        <v>841</v>
      </c>
      <c r="C25" s="130" t="s">
        <v>54</v>
      </c>
      <c r="D25" s="192" t="s">
        <v>1187</v>
      </c>
      <c r="E25" s="137" t="str">
        <f t="shared" si="1"/>
        <v>N/A</v>
      </c>
      <c r="F25" s="117" t="str">
        <f t="shared" si="0"/>
        <v>-</v>
      </c>
    </row>
    <row r="26" spans="1:6" ht="37.5" x14ac:dyDescent="0.25">
      <c r="A26" s="9" t="s">
        <v>842</v>
      </c>
      <c r="B26" s="9" t="s">
        <v>843</v>
      </c>
      <c r="C26" s="130" t="s">
        <v>210</v>
      </c>
      <c r="D26" s="192" t="s">
        <v>1187</v>
      </c>
      <c r="E26" s="137" t="str">
        <f t="shared" si="1"/>
        <v>N/A</v>
      </c>
      <c r="F26" s="117" t="str">
        <f t="shared" si="0"/>
        <v>-</v>
      </c>
    </row>
    <row r="27" spans="1:6" ht="26" x14ac:dyDescent="0.25">
      <c r="A27" s="84"/>
      <c r="B27" s="35" t="s">
        <v>844</v>
      </c>
      <c r="C27" s="85"/>
      <c r="D27" s="192"/>
      <c r="E27" s="137"/>
      <c r="F27" s="117"/>
    </row>
    <row r="28" spans="1:6" ht="25" x14ac:dyDescent="0.25">
      <c r="A28" s="9" t="s">
        <v>845</v>
      </c>
      <c r="B28" s="9" t="s">
        <v>846</v>
      </c>
      <c r="C28" s="130" t="s">
        <v>54</v>
      </c>
      <c r="D28" s="192" t="s">
        <v>1187</v>
      </c>
      <c r="E28" s="137" t="str">
        <f t="shared" si="1"/>
        <v>N/A</v>
      </c>
      <c r="F28" s="117" t="str">
        <f t="shared" si="0"/>
        <v>-</v>
      </c>
    </row>
    <row r="29" spans="1:6" ht="25" x14ac:dyDescent="0.25">
      <c r="A29" s="9" t="s">
        <v>847</v>
      </c>
      <c r="B29" s="9" t="s">
        <v>848</v>
      </c>
      <c r="C29" s="130" t="s">
        <v>54</v>
      </c>
      <c r="D29" s="192" t="s">
        <v>1187</v>
      </c>
      <c r="E29" s="137" t="str">
        <f t="shared" si="1"/>
        <v>N/A</v>
      </c>
      <c r="F29" s="117" t="str">
        <f t="shared" si="0"/>
        <v>-</v>
      </c>
    </row>
    <row r="30" spans="1:6" ht="37.5" x14ac:dyDescent="0.25">
      <c r="A30" s="9" t="s">
        <v>849</v>
      </c>
      <c r="B30" s="9" t="s">
        <v>850</v>
      </c>
      <c r="C30" s="130" t="s">
        <v>54</v>
      </c>
      <c r="D30" s="192" t="s">
        <v>1187</v>
      </c>
      <c r="E30" s="137" t="str">
        <f t="shared" si="1"/>
        <v>N/A</v>
      </c>
      <c r="F30" s="117" t="str">
        <f t="shared" si="0"/>
        <v>-</v>
      </c>
    </row>
    <row r="31" spans="1:6" ht="50" x14ac:dyDescent="0.25">
      <c r="A31" s="9" t="s">
        <v>851</v>
      </c>
      <c r="B31" s="9" t="s">
        <v>852</v>
      </c>
      <c r="C31" s="130" t="s">
        <v>54</v>
      </c>
      <c r="D31" s="192" t="s">
        <v>1187</v>
      </c>
      <c r="E31" s="137" t="str">
        <f t="shared" si="1"/>
        <v>N/A</v>
      </c>
      <c r="F31" s="117" t="str">
        <f t="shared" si="0"/>
        <v>-</v>
      </c>
    </row>
    <row r="32" spans="1:6" ht="12.75" customHeight="1" x14ac:dyDescent="0.25">
      <c r="A32" s="37"/>
      <c r="B32" s="37" t="s">
        <v>853</v>
      </c>
      <c r="C32" s="38"/>
      <c r="D32" s="196"/>
      <c r="E32" s="39"/>
      <c r="F32" s="121">
        <f>IF(SUM(F5:F31)=0,"",SUM(F5:F31))</f>
        <v>6500</v>
      </c>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53EE-95CD-4056-92F9-E6C53208AE0D}">
  <dimension ref="A2:I133"/>
  <sheetViews>
    <sheetView view="pageBreakPreview" zoomScale="90" zoomScaleNormal="100" zoomScaleSheetLayoutView="90" workbookViewId="0">
      <selection activeCell="H40" sqref="H1:J1048576"/>
    </sheetView>
  </sheetViews>
  <sheetFormatPr defaultColWidth="9.1796875" defaultRowHeight="12.5" x14ac:dyDescent="0.25"/>
  <cols>
    <col min="1" max="1" width="9.1796875" style="16"/>
    <col min="2" max="2" width="35.54296875" style="16" customWidth="1"/>
    <col min="3" max="3" width="9.54296875" style="21" customWidth="1"/>
    <col min="4" max="4" width="11.453125" style="204" customWidth="1"/>
    <col min="5" max="5" width="11.453125" style="97" customWidth="1"/>
    <col min="6" max="6" width="11.453125" style="23" customWidth="1"/>
    <col min="7" max="16384" width="9.1796875" style="16"/>
  </cols>
  <sheetData>
    <row r="2" spans="1:6" x14ac:dyDescent="0.25">
      <c r="A2" s="1" t="s">
        <v>0</v>
      </c>
      <c r="B2" s="1" t="s">
        <v>1</v>
      </c>
      <c r="C2" s="1" t="s">
        <v>2</v>
      </c>
      <c r="D2" s="1" t="s">
        <v>3</v>
      </c>
      <c r="E2" s="92" t="s">
        <v>4</v>
      </c>
      <c r="F2" s="3" t="s">
        <v>5</v>
      </c>
    </row>
    <row r="3" spans="1:6" x14ac:dyDescent="0.25">
      <c r="A3" s="40"/>
      <c r="B3" s="40"/>
      <c r="C3" s="41"/>
      <c r="D3" s="41"/>
      <c r="E3" s="93" t="s">
        <v>6</v>
      </c>
      <c r="F3" s="42" t="s">
        <v>6</v>
      </c>
    </row>
    <row r="4" spans="1:6" ht="13" x14ac:dyDescent="0.25">
      <c r="A4" s="44" t="s">
        <v>854</v>
      </c>
      <c r="B4" s="44" t="s">
        <v>855</v>
      </c>
      <c r="C4" s="81"/>
      <c r="D4" s="81"/>
      <c r="E4" s="94"/>
      <c r="F4" s="89"/>
    </row>
    <row r="5" spans="1:6" x14ac:dyDescent="0.25">
      <c r="A5" s="46" t="s">
        <v>856</v>
      </c>
      <c r="B5" s="95" t="s">
        <v>857</v>
      </c>
      <c r="C5" s="86"/>
      <c r="D5" s="86"/>
      <c r="E5" s="96"/>
      <c r="F5" s="90"/>
    </row>
    <row r="6" spans="1:6" x14ac:dyDescent="0.25">
      <c r="A6" s="46" t="s">
        <v>858</v>
      </c>
      <c r="B6" s="46" t="s">
        <v>859</v>
      </c>
      <c r="C6" s="86" t="s">
        <v>54</v>
      </c>
      <c r="D6" s="140">
        <v>2285</v>
      </c>
      <c r="E6" s="214">
        <v>5</v>
      </c>
      <c r="F6" s="117">
        <f>IFERROR(IF(ISNUMBER(D6),D6*E6,"-"),"")</f>
        <v>11425</v>
      </c>
    </row>
    <row r="7" spans="1:6" x14ac:dyDescent="0.25">
      <c r="A7" s="46" t="s">
        <v>860</v>
      </c>
      <c r="B7" s="46" t="s">
        <v>861</v>
      </c>
      <c r="C7" s="86" t="s">
        <v>54</v>
      </c>
      <c r="D7" s="140">
        <v>699</v>
      </c>
      <c r="E7" s="214">
        <v>25</v>
      </c>
      <c r="F7" s="117">
        <f t="shared" ref="F7:F73" si="0">IFERROR(IF(ISNUMBER(D7),D7*E7,"-"),"")</f>
        <v>17475</v>
      </c>
    </row>
    <row r="8" spans="1:6" x14ac:dyDescent="0.25">
      <c r="A8" s="46" t="s">
        <v>862</v>
      </c>
      <c r="B8" s="46" t="s">
        <v>863</v>
      </c>
      <c r="C8" s="86" t="s">
        <v>54</v>
      </c>
      <c r="D8" s="140" t="s">
        <v>1187</v>
      </c>
      <c r="E8" s="214" t="str">
        <f t="shared" ref="E8:E73" si="1">IF(ISNUMBER(D8),"","N/A")</f>
        <v>N/A</v>
      </c>
      <c r="F8" s="117" t="str">
        <f t="shared" si="0"/>
        <v>-</v>
      </c>
    </row>
    <row r="9" spans="1:6" x14ac:dyDescent="0.25">
      <c r="A9" s="46" t="s">
        <v>864</v>
      </c>
      <c r="B9" s="46" t="s">
        <v>865</v>
      </c>
      <c r="C9" s="86" t="s">
        <v>54</v>
      </c>
      <c r="D9" s="140" t="s">
        <v>1187</v>
      </c>
      <c r="E9" s="214" t="str">
        <f t="shared" si="1"/>
        <v>N/A</v>
      </c>
      <c r="F9" s="117" t="str">
        <f t="shared" si="0"/>
        <v>-</v>
      </c>
    </row>
    <row r="10" spans="1:6" x14ac:dyDescent="0.25">
      <c r="A10" s="46" t="s">
        <v>866</v>
      </c>
      <c r="B10" s="46" t="s">
        <v>867</v>
      </c>
      <c r="C10" s="86" t="s">
        <v>54</v>
      </c>
      <c r="D10" s="140" t="s">
        <v>1187</v>
      </c>
      <c r="E10" s="214" t="str">
        <f t="shared" si="1"/>
        <v>N/A</v>
      </c>
      <c r="F10" s="117" t="str">
        <f t="shared" si="0"/>
        <v>-</v>
      </c>
    </row>
    <row r="11" spans="1:6" ht="25" x14ac:dyDescent="0.25">
      <c r="A11" s="46" t="s">
        <v>868</v>
      </c>
      <c r="B11" s="46" t="s">
        <v>869</v>
      </c>
      <c r="C11" s="86" t="s">
        <v>54</v>
      </c>
      <c r="D11" s="140" t="s">
        <v>1187</v>
      </c>
      <c r="E11" s="214" t="str">
        <f t="shared" si="1"/>
        <v>N/A</v>
      </c>
      <c r="F11" s="117" t="str">
        <f t="shared" si="0"/>
        <v>-</v>
      </c>
    </row>
    <row r="12" spans="1:6" ht="25" x14ac:dyDescent="0.25">
      <c r="A12" s="46" t="s">
        <v>870</v>
      </c>
      <c r="B12" s="46" t="s">
        <v>871</v>
      </c>
      <c r="C12" s="86" t="s">
        <v>54</v>
      </c>
      <c r="D12" s="140" t="s">
        <v>1187</v>
      </c>
      <c r="E12" s="214" t="str">
        <f t="shared" si="1"/>
        <v>N/A</v>
      </c>
      <c r="F12" s="117" t="str">
        <f t="shared" si="0"/>
        <v>-</v>
      </c>
    </row>
    <row r="13" spans="1:6" x14ac:dyDescent="0.25">
      <c r="A13" s="46" t="s">
        <v>872</v>
      </c>
      <c r="B13" s="46" t="s">
        <v>873</v>
      </c>
      <c r="C13" s="86" t="s">
        <v>54</v>
      </c>
      <c r="D13" s="140" t="s">
        <v>1187</v>
      </c>
      <c r="E13" s="214" t="str">
        <f t="shared" si="1"/>
        <v>N/A</v>
      </c>
      <c r="F13" s="117" t="str">
        <f t="shared" si="0"/>
        <v>-</v>
      </c>
    </row>
    <row r="14" spans="1:6" x14ac:dyDescent="0.25">
      <c r="A14" s="46" t="s">
        <v>874</v>
      </c>
      <c r="B14" s="46" t="s">
        <v>875</v>
      </c>
      <c r="C14" s="86" t="s">
        <v>54</v>
      </c>
      <c r="D14" s="140">
        <v>554</v>
      </c>
      <c r="E14" s="214">
        <v>25</v>
      </c>
      <c r="F14" s="117">
        <f t="shared" si="0"/>
        <v>13850</v>
      </c>
    </row>
    <row r="15" spans="1:6" x14ac:dyDescent="0.25">
      <c r="A15" s="46" t="s">
        <v>876</v>
      </c>
      <c r="B15" s="46" t="s">
        <v>877</v>
      </c>
      <c r="C15" s="86" t="s">
        <v>54</v>
      </c>
      <c r="D15" s="140" t="s">
        <v>1187</v>
      </c>
      <c r="E15" s="214" t="s">
        <v>1373</v>
      </c>
      <c r="F15" s="117" t="str">
        <f t="shared" si="0"/>
        <v>-</v>
      </c>
    </row>
    <row r="16" spans="1:6" x14ac:dyDescent="0.25">
      <c r="A16" s="46" t="s">
        <v>878</v>
      </c>
      <c r="B16" s="46" t="s">
        <v>879</v>
      </c>
      <c r="C16" s="86" t="s">
        <v>54</v>
      </c>
      <c r="D16" s="140" t="s">
        <v>1187</v>
      </c>
      <c r="E16" s="214" t="str">
        <f t="shared" si="1"/>
        <v>N/A</v>
      </c>
      <c r="F16" s="117" t="str">
        <f t="shared" si="0"/>
        <v>-</v>
      </c>
    </row>
    <row r="17" spans="1:9" x14ac:dyDescent="0.25">
      <c r="A17" s="46" t="s">
        <v>880</v>
      </c>
      <c r="B17" s="46" t="s">
        <v>881</v>
      </c>
      <c r="C17" s="86" t="s">
        <v>54</v>
      </c>
      <c r="D17" s="140">
        <v>450</v>
      </c>
      <c r="E17" s="214">
        <v>35</v>
      </c>
      <c r="F17" s="117">
        <f t="shared" si="0"/>
        <v>15750</v>
      </c>
    </row>
    <row r="18" spans="1:9" x14ac:dyDescent="0.25">
      <c r="A18" s="46"/>
      <c r="B18" s="46"/>
      <c r="C18" s="86"/>
      <c r="D18" s="140"/>
      <c r="E18" s="214"/>
      <c r="F18" s="117"/>
    </row>
    <row r="19" spans="1:9" x14ac:dyDescent="0.25">
      <c r="A19" s="46" t="s">
        <v>882</v>
      </c>
      <c r="B19" s="95" t="s">
        <v>883</v>
      </c>
      <c r="C19" s="86"/>
      <c r="D19" s="140"/>
      <c r="E19" s="214"/>
      <c r="F19" s="117"/>
    </row>
    <row r="20" spans="1:9" x14ac:dyDescent="0.25">
      <c r="A20" s="46" t="s">
        <v>884</v>
      </c>
      <c r="B20" s="46" t="s">
        <v>885</v>
      </c>
      <c r="C20" s="86" t="s">
        <v>54</v>
      </c>
      <c r="D20" s="140">
        <v>10</v>
      </c>
      <c r="E20" s="214">
        <v>10</v>
      </c>
      <c r="F20" s="117">
        <f t="shared" si="0"/>
        <v>100</v>
      </c>
    </row>
    <row r="21" spans="1:9" x14ac:dyDescent="0.25">
      <c r="A21" s="46" t="s">
        <v>886</v>
      </c>
      <c r="B21" s="46" t="s">
        <v>887</v>
      </c>
      <c r="C21" s="86" t="s">
        <v>54</v>
      </c>
      <c r="D21" s="140">
        <v>10</v>
      </c>
      <c r="E21" s="214">
        <v>10</v>
      </c>
      <c r="F21" s="117">
        <f t="shared" si="0"/>
        <v>100</v>
      </c>
    </row>
    <row r="22" spans="1:9" x14ac:dyDescent="0.25">
      <c r="A22" s="46" t="s">
        <v>888</v>
      </c>
      <c r="B22" s="46" t="s">
        <v>889</v>
      </c>
      <c r="C22" s="86" t="s">
        <v>54</v>
      </c>
      <c r="D22" s="140" t="s">
        <v>1187</v>
      </c>
      <c r="E22" s="214" t="str">
        <f t="shared" si="1"/>
        <v>N/A</v>
      </c>
      <c r="F22" s="117" t="str">
        <f t="shared" si="0"/>
        <v>-</v>
      </c>
    </row>
    <row r="23" spans="1:9" x14ac:dyDescent="0.25">
      <c r="A23" s="46" t="s">
        <v>890</v>
      </c>
      <c r="B23" s="46" t="s">
        <v>891</v>
      </c>
      <c r="C23" s="86" t="s">
        <v>54</v>
      </c>
      <c r="D23" s="140">
        <v>250</v>
      </c>
      <c r="E23" s="214">
        <v>10</v>
      </c>
      <c r="F23" s="117">
        <f t="shared" si="0"/>
        <v>2500</v>
      </c>
    </row>
    <row r="24" spans="1:9" x14ac:dyDescent="0.25">
      <c r="A24" s="46" t="s">
        <v>892</v>
      </c>
      <c r="B24" s="46" t="s">
        <v>893</v>
      </c>
      <c r="C24" s="86" t="s">
        <v>54</v>
      </c>
      <c r="D24" s="140">
        <v>50</v>
      </c>
      <c r="E24" s="214">
        <v>10</v>
      </c>
      <c r="F24" s="117">
        <f t="shared" si="0"/>
        <v>500</v>
      </c>
    </row>
    <row r="25" spans="1:9" x14ac:dyDescent="0.25">
      <c r="A25" s="46" t="s">
        <v>894</v>
      </c>
      <c r="B25" s="46" t="s">
        <v>895</v>
      </c>
      <c r="C25" s="86" t="s">
        <v>54</v>
      </c>
      <c r="D25" s="140" t="s">
        <v>1187</v>
      </c>
      <c r="E25" s="214" t="str">
        <f t="shared" si="1"/>
        <v>N/A</v>
      </c>
      <c r="F25" s="117" t="str">
        <f t="shared" si="0"/>
        <v>-</v>
      </c>
    </row>
    <row r="26" spans="1:9" x14ac:dyDescent="0.25">
      <c r="A26" s="46" t="s">
        <v>896</v>
      </c>
      <c r="B26" s="46" t="s">
        <v>897</v>
      </c>
      <c r="C26" s="86" t="s">
        <v>54</v>
      </c>
      <c r="D26" s="140" t="s">
        <v>1187</v>
      </c>
      <c r="E26" s="214" t="str">
        <f t="shared" si="1"/>
        <v>N/A</v>
      </c>
      <c r="F26" s="117" t="str">
        <f t="shared" si="0"/>
        <v>-</v>
      </c>
    </row>
    <row r="27" spans="1:9" x14ac:dyDescent="0.25">
      <c r="A27" s="46" t="s">
        <v>898</v>
      </c>
      <c r="B27" s="46" t="s">
        <v>899</v>
      </c>
      <c r="C27" s="86" t="s">
        <v>54</v>
      </c>
      <c r="D27" s="140" t="s">
        <v>1187</v>
      </c>
      <c r="E27" s="214" t="str">
        <f t="shared" si="1"/>
        <v>N/A</v>
      </c>
      <c r="F27" s="117" t="str">
        <f t="shared" si="0"/>
        <v>-</v>
      </c>
    </row>
    <row r="28" spans="1:9" ht="13.4" customHeight="1" x14ac:dyDescent="0.25">
      <c r="A28" s="46" t="s">
        <v>900</v>
      </c>
      <c r="B28" s="46" t="s">
        <v>901</v>
      </c>
      <c r="C28" s="86" t="s">
        <v>54</v>
      </c>
      <c r="D28" s="140" t="s">
        <v>1187</v>
      </c>
      <c r="E28" s="214" t="str">
        <f t="shared" si="1"/>
        <v>N/A</v>
      </c>
      <c r="F28" s="117" t="str">
        <f t="shared" si="0"/>
        <v>-</v>
      </c>
    </row>
    <row r="29" spans="1:9" x14ac:dyDescent="0.25">
      <c r="A29" s="46" t="s">
        <v>902</v>
      </c>
      <c r="B29" s="46" t="s">
        <v>903</v>
      </c>
      <c r="C29" s="86" t="s">
        <v>54</v>
      </c>
      <c r="D29" s="140">
        <v>10</v>
      </c>
      <c r="E29" s="214">
        <v>10</v>
      </c>
      <c r="F29" s="117">
        <f t="shared" si="0"/>
        <v>100</v>
      </c>
      <c r="I29" s="175"/>
    </row>
    <row r="30" spans="1:9" x14ac:dyDescent="0.25">
      <c r="A30" s="46" t="s">
        <v>904</v>
      </c>
      <c r="B30" s="46" t="s">
        <v>905</v>
      </c>
      <c r="C30" s="86" t="s">
        <v>54</v>
      </c>
      <c r="D30" s="140" t="s">
        <v>1187</v>
      </c>
      <c r="E30" s="214" t="str">
        <f t="shared" si="1"/>
        <v>N/A</v>
      </c>
      <c r="F30" s="117" t="str">
        <f t="shared" si="0"/>
        <v>-</v>
      </c>
    </row>
    <row r="31" spans="1:9" x14ac:dyDescent="0.25">
      <c r="A31" s="46" t="s">
        <v>906</v>
      </c>
      <c r="B31" s="46" t="s">
        <v>907</v>
      </c>
      <c r="C31" s="86" t="s">
        <v>54</v>
      </c>
      <c r="D31" s="140">
        <v>250</v>
      </c>
      <c r="E31" s="214">
        <v>5</v>
      </c>
      <c r="F31" s="117">
        <f t="shared" si="0"/>
        <v>1250</v>
      </c>
    </row>
    <row r="32" spans="1:9" x14ac:dyDescent="0.25">
      <c r="A32" s="46" t="s">
        <v>908</v>
      </c>
      <c r="B32" s="46" t="s">
        <v>909</v>
      </c>
      <c r="C32" s="86" t="s">
        <v>54</v>
      </c>
      <c r="D32" s="140">
        <v>62</v>
      </c>
      <c r="E32" s="214">
        <v>50</v>
      </c>
      <c r="F32" s="117">
        <f t="shared" si="0"/>
        <v>3100</v>
      </c>
      <c r="I32" s="175"/>
    </row>
    <row r="33" spans="1:6" x14ac:dyDescent="0.25">
      <c r="A33" s="46" t="s">
        <v>910</v>
      </c>
      <c r="B33" s="46" t="s">
        <v>911</v>
      </c>
      <c r="C33" s="86" t="s">
        <v>54</v>
      </c>
      <c r="D33" s="140" t="s">
        <v>1187</v>
      </c>
      <c r="E33" s="214" t="str">
        <f t="shared" si="1"/>
        <v>N/A</v>
      </c>
      <c r="F33" s="117" t="str">
        <f t="shared" si="0"/>
        <v>-</v>
      </c>
    </row>
    <row r="34" spans="1:6" x14ac:dyDescent="0.25">
      <c r="A34" s="46"/>
      <c r="B34" s="46"/>
      <c r="C34" s="86"/>
      <c r="D34" s="140"/>
      <c r="E34" s="214"/>
      <c r="F34" s="117"/>
    </row>
    <row r="35" spans="1:6" x14ac:dyDescent="0.25">
      <c r="A35" s="46" t="s">
        <v>912</v>
      </c>
      <c r="B35" s="95" t="s">
        <v>913</v>
      </c>
      <c r="C35" s="86"/>
      <c r="D35" s="140"/>
      <c r="E35" s="214"/>
      <c r="F35" s="117"/>
    </row>
    <row r="36" spans="1:6" ht="25" x14ac:dyDescent="0.25">
      <c r="A36" s="46" t="s">
        <v>914</v>
      </c>
      <c r="B36" s="46" t="s">
        <v>915</v>
      </c>
      <c r="C36" s="86" t="s">
        <v>54</v>
      </c>
      <c r="D36" s="140">
        <v>10</v>
      </c>
      <c r="E36" s="214">
        <v>50</v>
      </c>
      <c r="F36" s="117">
        <f t="shared" si="0"/>
        <v>500</v>
      </c>
    </row>
    <row r="37" spans="1:6" ht="25" x14ac:dyDescent="0.25">
      <c r="A37" s="46" t="s">
        <v>916</v>
      </c>
      <c r="B37" s="46" t="s">
        <v>917</v>
      </c>
      <c r="C37" s="86" t="s">
        <v>54</v>
      </c>
      <c r="D37" s="140" t="s">
        <v>1187</v>
      </c>
      <c r="E37" s="214" t="str">
        <f t="shared" si="1"/>
        <v>N/A</v>
      </c>
      <c r="F37" s="117" t="str">
        <f t="shared" si="0"/>
        <v>-</v>
      </c>
    </row>
    <row r="38" spans="1:6" ht="25" x14ac:dyDescent="0.25">
      <c r="A38" s="46" t="s">
        <v>918</v>
      </c>
      <c r="B38" s="46" t="s">
        <v>919</v>
      </c>
      <c r="C38" s="86" t="s">
        <v>54</v>
      </c>
      <c r="D38" s="140" t="s">
        <v>1187</v>
      </c>
      <c r="E38" s="214" t="str">
        <f t="shared" si="1"/>
        <v>N/A</v>
      </c>
      <c r="F38" s="117" t="str">
        <f t="shared" si="0"/>
        <v>-</v>
      </c>
    </row>
    <row r="39" spans="1:6" ht="25" x14ac:dyDescent="0.25">
      <c r="A39" s="46" t="s">
        <v>920</v>
      </c>
      <c r="B39" s="46" t="s">
        <v>921</v>
      </c>
      <c r="C39" s="86" t="s">
        <v>54</v>
      </c>
      <c r="D39" s="140" t="s">
        <v>1187</v>
      </c>
      <c r="E39" s="214" t="str">
        <f t="shared" si="1"/>
        <v>N/A</v>
      </c>
      <c r="F39" s="117" t="str">
        <f t="shared" si="0"/>
        <v>-</v>
      </c>
    </row>
    <row r="40" spans="1:6" ht="25" x14ac:dyDescent="0.25">
      <c r="A40" s="46" t="s">
        <v>922</v>
      </c>
      <c r="B40" s="46" t="s">
        <v>923</v>
      </c>
      <c r="C40" s="86" t="s">
        <v>54</v>
      </c>
      <c r="D40" s="140">
        <v>50</v>
      </c>
      <c r="E40" s="214">
        <v>20</v>
      </c>
      <c r="F40" s="117">
        <f t="shared" si="0"/>
        <v>1000</v>
      </c>
    </row>
    <row r="41" spans="1:6" ht="25" x14ac:dyDescent="0.25">
      <c r="A41" s="46" t="s">
        <v>924</v>
      </c>
      <c r="B41" s="46" t="s">
        <v>925</v>
      </c>
      <c r="C41" s="86" t="s">
        <v>54</v>
      </c>
      <c r="D41" s="140">
        <v>50</v>
      </c>
      <c r="E41" s="214">
        <v>50</v>
      </c>
      <c r="F41" s="117">
        <f t="shared" si="0"/>
        <v>2500</v>
      </c>
    </row>
    <row r="42" spans="1:6" x14ac:dyDescent="0.25">
      <c r="A42" s="46" t="s">
        <v>926</v>
      </c>
      <c r="B42" s="46" t="s">
        <v>927</v>
      </c>
      <c r="C42" s="86" t="s">
        <v>54</v>
      </c>
      <c r="D42" s="140" t="s">
        <v>1187</v>
      </c>
      <c r="E42" s="214" t="str">
        <f t="shared" si="1"/>
        <v>N/A</v>
      </c>
      <c r="F42" s="117" t="str">
        <f t="shared" si="0"/>
        <v>-</v>
      </c>
    </row>
    <row r="43" spans="1:6" ht="25" x14ac:dyDescent="0.25">
      <c r="A43" s="46" t="s">
        <v>928</v>
      </c>
      <c r="B43" s="46" t="s">
        <v>929</v>
      </c>
      <c r="C43" s="86" t="s">
        <v>54</v>
      </c>
      <c r="D43" s="140">
        <v>25</v>
      </c>
      <c r="E43" s="214">
        <v>30</v>
      </c>
      <c r="F43" s="117">
        <f t="shared" si="0"/>
        <v>750</v>
      </c>
    </row>
    <row r="44" spans="1:6" ht="25" x14ac:dyDescent="0.25">
      <c r="A44" s="46" t="s">
        <v>930</v>
      </c>
      <c r="B44" s="46" t="s">
        <v>931</v>
      </c>
      <c r="C44" s="86" t="s">
        <v>54</v>
      </c>
      <c r="D44" s="140" t="s">
        <v>1187</v>
      </c>
      <c r="E44" s="214" t="str">
        <f t="shared" si="1"/>
        <v>N/A</v>
      </c>
      <c r="F44" s="117" t="str">
        <f t="shared" si="0"/>
        <v>-</v>
      </c>
    </row>
    <row r="45" spans="1:6" x14ac:dyDescent="0.25">
      <c r="A45" s="46" t="s">
        <v>932</v>
      </c>
      <c r="B45" s="46" t="s">
        <v>933</v>
      </c>
      <c r="C45" s="86" t="s">
        <v>210</v>
      </c>
      <c r="D45" s="140">
        <v>10</v>
      </c>
      <c r="E45" s="214">
        <v>12.5</v>
      </c>
      <c r="F45" s="117">
        <f>IFERROR(IF(ISNUMBER(D45),D45*E45,"-"),"")</f>
        <v>125</v>
      </c>
    </row>
    <row r="46" spans="1:6" x14ac:dyDescent="0.25">
      <c r="A46" s="46"/>
      <c r="B46" s="46"/>
      <c r="C46" s="86"/>
      <c r="D46" s="140"/>
      <c r="E46" s="214"/>
      <c r="F46" s="117"/>
    </row>
    <row r="47" spans="1:6" x14ac:dyDescent="0.25">
      <c r="A47" s="46" t="s">
        <v>934</v>
      </c>
      <c r="B47" s="95" t="s">
        <v>935</v>
      </c>
      <c r="C47" s="86"/>
      <c r="D47" s="140"/>
      <c r="E47" s="214"/>
      <c r="F47" s="117"/>
    </row>
    <row r="48" spans="1:6" ht="25" x14ac:dyDescent="0.25">
      <c r="A48" s="46" t="s">
        <v>936</v>
      </c>
      <c r="B48" s="46" t="s">
        <v>937</v>
      </c>
      <c r="C48" s="86" t="s">
        <v>54</v>
      </c>
      <c r="D48" s="140">
        <v>105</v>
      </c>
      <c r="E48" s="214">
        <v>75</v>
      </c>
      <c r="F48" s="117">
        <f t="shared" si="0"/>
        <v>7875</v>
      </c>
    </row>
    <row r="49" spans="1:6" ht="25" x14ac:dyDescent="0.25">
      <c r="A49" s="46" t="s">
        <v>938</v>
      </c>
      <c r="B49" s="46" t="s">
        <v>939</v>
      </c>
      <c r="C49" s="86" t="s">
        <v>210</v>
      </c>
      <c r="D49" s="140">
        <v>10</v>
      </c>
      <c r="E49" s="214">
        <v>25</v>
      </c>
      <c r="F49" s="117">
        <f>IFERROR(IF(ISNUMBER(D49),D49*E49,"-"),"")</f>
        <v>250</v>
      </c>
    </row>
    <row r="50" spans="1:6" ht="25" x14ac:dyDescent="0.25">
      <c r="A50" s="46" t="s">
        <v>940</v>
      </c>
      <c r="B50" s="46" t="s">
        <v>941</v>
      </c>
      <c r="C50" s="86" t="s">
        <v>54</v>
      </c>
      <c r="D50" s="140" t="s">
        <v>1187</v>
      </c>
      <c r="E50" s="214" t="str">
        <f t="shared" si="1"/>
        <v>N/A</v>
      </c>
      <c r="F50" s="117" t="str">
        <f t="shared" si="0"/>
        <v>-</v>
      </c>
    </row>
    <row r="51" spans="1:6" ht="25" x14ac:dyDescent="0.25">
      <c r="A51" s="46" t="s">
        <v>942</v>
      </c>
      <c r="B51" s="46" t="s">
        <v>943</v>
      </c>
      <c r="C51" s="86" t="s">
        <v>54</v>
      </c>
      <c r="D51" s="140" t="s">
        <v>1187</v>
      </c>
      <c r="E51" s="214" t="str">
        <f t="shared" si="1"/>
        <v>N/A</v>
      </c>
      <c r="F51" s="117" t="str">
        <f t="shared" si="0"/>
        <v>-</v>
      </c>
    </row>
    <row r="52" spans="1:6" ht="25" x14ac:dyDescent="0.25">
      <c r="A52" s="46" t="s">
        <v>944</v>
      </c>
      <c r="B52" s="46" t="s">
        <v>945</v>
      </c>
      <c r="C52" s="86" t="s">
        <v>54</v>
      </c>
      <c r="D52" s="140" t="s">
        <v>1187</v>
      </c>
      <c r="E52" s="214" t="str">
        <f t="shared" si="1"/>
        <v>N/A</v>
      </c>
      <c r="F52" s="117" t="str">
        <f t="shared" si="0"/>
        <v>-</v>
      </c>
    </row>
    <row r="53" spans="1:6" ht="25" x14ac:dyDescent="0.25">
      <c r="A53" s="46" t="s">
        <v>946</v>
      </c>
      <c r="B53" s="46" t="s">
        <v>947</v>
      </c>
      <c r="C53" s="86" t="s">
        <v>210</v>
      </c>
      <c r="D53" s="140" t="s">
        <v>1187</v>
      </c>
      <c r="E53" s="214" t="str">
        <f t="shared" si="1"/>
        <v>N/A</v>
      </c>
      <c r="F53" s="117" t="str">
        <f t="shared" si="0"/>
        <v>-</v>
      </c>
    </row>
    <row r="54" spans="1:6" x14ac:dyDescent="0.25">
      <c r="A54" s="46" t="s">
        <v>948</v>
      </c>
      <c r="B54" s="46" t="s">
        <v>949</v>
      </c>
      <c r="C54" s="86" t="s">
        <v>54</v>
      </c>
      <c r="D54" s="140" t="s">
        <v>1187</v>
      </c>
      <c r="E54" s="214" t="str">
        <f t="shared" si="1"/>
        <v>N/A</v>
      </c>
      <c r="F54" s="117" t="str">
        <f t="shared" si="0"/>
        <v>-</v>
      </c>
    </row>
    <row r="55" spans="1:6" x14ac:dyDescent="0.25">
      <c r="A55" s="46" t="s">
        <v>950</v>
      </c>
      <c r="B55" s="46" t="s">
        <v>951</v>
      </c>
      <c r="C55" s="86" t="s">
        <v>54</v>
      </c>
      <c r="D55" s="140" t="s">
        <v>1187</v>
      </c>
      <c r="E55" s="214" t="str">
        <f t="shared" si="1"/>
        <v>N/A</v>
      </c>
      <c r="F55" s="117" t="str">
        <f t="shared" si="0"/>
        <v>-</v>
      </c>
    </row>
    <row r="56" spans="1:6" x14ac:dyDescent="0.25">
      <c r="A56" s="46" t="s">
        <v>952</v>
      </c>
      <c r="B56" s="46" t="s">
        <v>953</v>
      </c>
      <c r="C56" s="86" t="s">
        <v>54</v>
      </c>
      <c r="D56" s="140" t="s">
        <v>1187</v>
      </c>
      <c r="E56" s="214" t="str">
        <f t="shared" si="1"/>
        <v>N/A</v>
      </c>
      <c r="F56" s="117" t="str">
        <f t="shared" si="0"/>
        <v>-</v>
      </c>
    </row>
    <row r="57" spans="1:6" x14ac:dyDescent="0.25">
      <c r="A57" s="46" t="s">
        <v>954</v>
      </c>
      <c r="B57" s="46" t="s">
        <v>955</v>
      </c>
      <c r="C57" s="86" t="s">
        <v>54</v>
      </c>
      <c r="D57" s="140" t="s">
        <v>1187</v>
      </c>
      <c r="E57" s="214" t="str">
        <f t="shared" si="1"/>
        <v>N/A</v>
      </c>
      <c r="F57" s="117" t="str">
        <f t="shared" si="0"/>
        <v>-</v>
      </c>
    </row>
    <row r="58" spans="1:6" x14ac:dyDescent="0.25">
      <c r="A58" s="46" t="s">
        <v>956</v>
      </c>
      <c r="B58" s="46" t="s">
        <v>957</v>
      </c>
      <c r="C58" s="86" t="s">
        <v>54</v>
      </c>
      <c r="D58" s="140" t="s">
        <v>1187</v>
      </c>
      <c r="E58" s="214" t="str">
        <f t="shared" si="1"/>
        <v>N/A</v>
      </c>
      <c r="F58" s="117" t="str">
        <f t="shared" si="0"/>
        <v>-</v>
      </c>
    </row>
    <row r="59" spans="1:6" ht="25" x14ac:dyDescent="0.25">
      <c r="A59" s="46" t="s">
        <v>958</v>
      </c>
      <c r="B59" s="46" t="s">
        <v>959</v>
      </c>
      <c r="C59" s="86" t="s">
        <v>54</v>
      </c>
      <c r="D59" s="140" t="s">
        <v>1187</v>
      </c>
      <c r="E59" s="214" t="str">
        <f t="shared" si="1"/>
        <v>N/A</v>
      </c>
      <c r="F59" s="117" t="str">
        <f t="shared" si="0"/>
        <v>-</v>
      </c>
    </row>
    <row r="60" spans="1:6" ht="37.5" x14ac:dyDescent="0.25">
      <c r="A60" s="46" t="s">
        <v>960</v>
      </c>
      <c r="B60" s="46" t="s">
        <v>961</v>
      </c>
      <c r="C60" s="86" t="s">
        <v>54</v>
      </c>
      <c r="D60" s="140" t="s">
        <v>1187</v>
      </c>
      <c r="E60" s="214" t="str">
        <f t="shared" si="1"/>
        <v>N/A</v>
      </c>
      <c r="F60" s="117" t="str">
        <f t="shared" si="0"/>
        <v>-</v>
      </c>
    </row>
    <row r="61" spans="1:6" ht="25" x14ac:dyDescent="0.25">
      <c r="A61" s="46" t="s">
        <v>962</v>
      </c>
      <c r="B61" s="46" t="s">
        <v>963</v>
      </c>
      <c r="C61" s="86" t="s">
        <v>54</v>
      </c>
      <c r="D61" s="140" t="s">
        <v>1187</v>
      </c>
      <c r="E61" s="214" t="str">
        <f t="shared" si="1"/>
        <v>N/A</v>
      </c>
      <c r="F61" s="117" t="str">
        <f t="shared" si="0"/>
        <v>-</v>
      </c>
    </row>
    <row r="62" spans="1:6" ht="25" x14ac:dyDescent="0.25">
      <c r="A62" s="46" t="s">
        <v>964</v>
      </c>
      <c r="B62" s="46" t="s">
        <v>965</v>
      </c>
      <c r="C62" s="86" t="s">
        <v>54</v>
      </c>
      <c r="D62" s="140" t="s">
        <v>1187</v>
      </c>
      <c r="E62" s="214" t="str">
        <f t="shared" si="1"/>
        <v>N/A</v>
      </c>
      <c r="F62" s="117" t="str">
        <f t="shared" si="0"/>
        <v>-</v>
      </c>
    </row>
    <row r="63" spans="1:6" ht="25" x14ac:dyDescent="0.25">
      <c r="A63" s="46" t="s">
        <v>966</v>
      </c>
      <c r="B63" s="46" t="s">
        <v>967</v>
      </c>
      <c r="C63" s="86" t="s">
        <v>54</v>
      </c>
      <c r="D63" s="140" t="s">
        <v>1187</v>
      </c>
      <c r="E63" s="214" t="str">
        <f t="shared" si="1"/>
        <v>N/A</v>
      </c>
      <c r="F63" s="117" t="str">
        <f t="shared" si="0"/>
        <v>-</v>
      </c>
    </row>
    <row r="64" spans="1:6" ht="25" x14ac:dyDescent="0.25">
      <c r="A64" s="46" t="s">
        <v>968</v>
      </c>
      <c r="B64" s="46" t="s">
        <v>969</v>
      </c>
      <c r="C64" s="86" t="s">
        <v>210</v>
      </c>
      <c r="D64" s="140" t="s">
        <v>1187</v>
      </c>
      <c r="E64" s="214" t="str">
        <f t="shared" si="1"/>
        <v>N/A</v>
      </c>
      <c r="F64" s="117" t="str">
        <f t="shared" si="0"/>
        <v>-</v>
      </c>
    </row>
    <row r="65" spans="1:9" ht="37.5" x14ac:dyDescent="0.25">
      <c r="A65" s="46" t="s">
        <v>970</v>
      </c>
      <c r="B65" s="46" t="s">
        <v>971</v>
      </c>
      <c r="C65" s="86" t="s">
        <v>54</v>
      </c>
      <c r="D65" s="140" t="s">
        <v>1187</v>
      </c>
      <c r="E65" s="214" t="str">
        <f t="shared" si="1"/>
        <v>N/A</v>
      </c>
      <c r="F65" s="117" t="str">
        <f t="shared" si="0"/>
        <v>-</v>
      </c>
    </row>
    <row r="66" spans="1:9" ht="25" x14ac:dyDescent="0.25">
      <c r="A66" s="46" t="s">
        <v>972</v>
      </c>
      <c r="B66" s="46" t="s">
        <v>973</v>
      </c>
      <c r="C66" s="86" t="s">
        <v>54</v>
      </c>
      <c r="D66" s="140" t="s">
        <v>1187</v>
      </c>
      <c r="E66" s="214" t="str">
        <f t="shared" si="1"/>
        <v>N/A</v>
      </c>
      <c r="F66" s="117" t="str">
        <f t="shared" si="0"/>
        <v>-</v>
      </c>
    </row>
    <row r="67" spans="1:9" ht="25" x14ac:dyDescent="0.25">
      <c r="A67" s="46" t="s">
        <v>974</v>
      </c>
      <c r="B67" s="46" t="s">
        <v>975</v>
      </c>
      <c r="C67" s="86" t="s">
        <v>54</v>
      </c>
      <c r="D67" s="140" t="s">
        <v>1187</v>
      </c>
      <c r="E67" s="214" t="str">
        <f t="shared" si="1"/>
        <v>N/A</v>
      </c>
      <c r="F67" s="117" t="str">
        <f t="shared" si="0"/>
        <v>-</v>
      </c>
    </row>
    <row r="68" spans="1:9" ht="25" x14ac:dyDescent="0.25">
      <c r="A68" s="46" t="s">
        <v>976</v>
      </c>
      <c r="B68" s="46" t="s">
        <v>977</v>
      </c>
      <c r="C68" s="86" t="s">
        <v>54</v>
      </c>
      <c r="D68" s="140" t="s">
        <v>1187</v>
      </c>
      <c r="E68" s="214" t="str">
        <f t="shared" si="1"/>
        <v>N/A</v>
      </c>
      <c r="F68" s="117" t="str">
        <f t="shared" si="0"/>
        <v>-</v>
      </c>
    </row>
    <row r="69" spans="1:9" ht="25" x14ac:dyDescent="0.25">
      <c r="A69" s="46" t="s">
        <v>978</v>
      </c>
      <c r="B69" s="46" t="s">
        <v>979</v>
      </c>
      <c r="C69" s="86" t="s">
        <v>210</v>
      </c>
      <c r="D69" s="140" t="s">
        <v>1187</v>
      </c>
      <c r="E69" s="214" t="str">
        <f t="shared" si="1"/>
        <v>N/A</v>
      </c>
      <c r="F69" s="117" t="str">
        <f t="shared" si="0"/>
        <v>-</v>
      </c>
    </row>
    <row r="70" spans="1:9" ht="25" x14ac:dyDescent="0.25">
      <c r="A70" s="46" t="s">
        <v>980</v>
      </c>
      <c r="B70" s="46" t="s">
        <v>981</v>
      </c>
      <c r="C70" s="86" t="s">
        <v>54</v>
      </c>
      <c r="D70" s="140" t="s">
        <v>1187</v>
      </c>
      <c r="E70" s="214" t="str">
        <f t="shared" si="1"/>
        <v>N/A</v>
      </c>
      <c r="F70" s="117" t="str">
        <f t="shared" si="0"/>
        <v>-</v>
      </c>
    </row>
    <row r="71" spans="1:9" ht="25" x14ac:dyDescent="0.25">
      <c r="A71" s="46" t="s">
        <v>982</v>
      </c>
      <c r="B71" s="46" t="s">
        <v>983</v>
      </c>
      <c r="C71" s="86" t="s">
        <v>210</v>
      </c>
      <c r="D71" s="140" t="s">
        <v>1187</v>
      </c>
      <c r="E71" s="214" t="str">
        <f t="shared" si="1"/>
        <v>N/A</v>
      </c>
      <c r="F71" s="117" t="str">
        <f t="shared" si="0"/>
        <v>-</v>
      </c>
    </row>
    <row r="72" spans="1:9" ht="25" x14ac:dyDescent="0.25">
      <c r="A72" s="46" t="s">
        <v>984</v>
      </c>
      <c r="B72" s="46" t="s">
        <v>985</v>
      </c>
      <c r="C72" s="86" t="s">
        <v>54</v>
      </c>
      <c r="D72" s="140" t="s">
        <v>1187</v>
      </c>
      <c r="E72" s="214" t="str">
        <f t="shared" si="1"/>
        <v>N/A</v>
      </c>
      <c r="F72" s="117" t="str">
        <f t="shared" si="0"/>
        <v>-</v>
      </c>
    </row>
    <row r="73" spans="1:9" ht="25" x14ac:dyDescent="0.25">
      <c r="A73" s="46" t="s">
        <v>986</v>
      </c>
      <c r="B73" s="46" t="s">
        <v>987</v>
      </c>
      <c r="C73" s="86" t="s">
        <v>210</v>
      </c>
      <c r="D73" s="140" t="s">
        <v>1187</v>
      </c>
      <c r="E73" s="214" t="str">
        <f t="shared" si="1"/>
        <v>N/A</v>
      </c>
      <c r="F73" s="117" t="str">
        <f t="shared" si="0"/>
        <v>-</v>
      </c>
    </row>
    <row r="74" spans="1:9" x14ac:dyDescent="0.25">
      <c r="A74" s="46"/>
      <c r="B74" s="46"/>
      <c r="C74" s="86"/>
      <c r="D74" s="140"/>
      <c r="E74" s="214"/>
      <c r="F74" s="117"/>
    </row>
    <row r="75" spans="1:9" x14ac:dyDescent="0.25">
      <c r="A75" s="46" t="s">
        <v>988</v>
      </c>
      <c r="B75" s="95" t="s">
        <v>989</v>
      </c>
      <c r="C75" s="86"/>
      <c r="D75" s="140"/>
      <c r="E75" s="214"/>
      <c r="F75" s="117"/>
    </row>
    <row r="76" spans="1:9" ht="25" x14ac:dyDescent="0.25">
      <c r="A76" s="46" t="s">
        <v>990</v>
      </c>
      <c r="B76" s="46" t="s">
        <v>991</v>
      </c>
      <c r="C76" s="86" t="s">
        <v>54</v>
      </c>
      <c r="D76" s="140">
        <v>25</v>
      </c>
      <c r="E76" s="214" t="str">
        <f t="shared" ref="E76:E126" si="2">IF(ISNUMBER(D76),"","N/A")</f>
        <v/>
      </c>
      <c r="F76" s="117" t="str">
        <f t="shared" ref="F76:F126" si="3">IFERROR(IF(ISNUMBER(D76),D76*E76,"-"),"")</f>
        <v/>
      </c>
    </row>
    <row r="77" spans="1:9" ht="23.9" customHeight="1" x14ac:dyDescent="0.25">
      <c r="A77" s="46" t="s">
        <v>992</v>
      </c>
      <c r="B77" s="46" t="s">
        <v>993</v>
      </c>
      <c r="C77" s="86" t="s">
        <v>54</v>
      </c>
      <c r="D77" s="140">
        <v>25</v>
      </c>
      <c r="E77" s="214">
        <v>5</v>
      </c>
      <c r="F77" s="117">
        <f>IFERROR(IF(ISNUMBER(D77),D77*E77,"-"),"")</f>
        <v>125</v>
      </c>
      <c r="I77" s="172"/>
    </row>
    <row r="78" spans="1:9" ht="25" x14ac:dyDescent="0.25">
      <c r="A78" s="46" t="s">
        <v>994</v>
      </c>
      <c r="B78" s="46" t="s">
        <v>995</v>
      </c>
      <c r="C78" s="86" t="s">
        <v>54</v>
      </c>
      <c r="D78" s="140" t="s">
        <v>1187</v>
      </c>
      <c r="E78" s="214" t="str">
        <f t="shared" si="2"/>
        <v>N/A</v>
      </c>
      <c r="F78" s="117" t="str">
        <f t="shared" si="3"/>
        <v>-</v>
      </c>
    </row>
    <row r="79" spans="1:9" ht="52.4" customHeight="1" x14ac:dyDescent="0.25">
      <c r="A79" s="46" t="s">
        <v>996</v>
      </c>
      <c r="B79" s="46" t="s">
        <v>997</v>
      </c>
      <c r="C79" s="86" t="s">
        <v>54</v>
      </c>
      <c r="D79" s="140" t="s">
        <v>1187</v>
      </c>
      <c r="E79" s="214" t="str">
        <f t="shared" si="2"/>
        <v>N/A</v>
      </c>
      <c r="F79" s="117" t="str">
        <f t="shared" si="3"/>
        <v>-</v>
      </c>
    </row>
    <row r="80" spans="1:9" ht="25" x14ac:dyDescent="0.25">
      <c r="A80" s="46" t="s">
        <v>998</v>
      </c>
      <c r="B80" s="46" t="s">
        <v>999</v>
      </c>
      <c r="C80" s="86" t="s">
        <v>1000</v>
      </c>
      <c r="D80" s="140" t="s">
        <v>1187</v>
      </c>
      <c r="E80" s="214" t="str">
        <f t="shared" si="2"/>
        <v>N/A</v>
      </c>
      <c r="F80" s="117" t="str">
        <f t="shared" si="3"/>
        <v>-</v>
      </c>
    </row>
    <row r="81" spans="1:8" ht="37.5" x14ac:dyDescent="0.25">
      <c r="A81" s="46" t="s">
        <v>1001</v>
      </c>
      <c r="B81" s="46" t="s">
        <v>1002</v>
      </c>
      <c r="C81" s="86" t="s">
        <v>54</v>
      </c>
      <c r="D81" s="140" t="s">
        <v>1187</v>
      </c>
      <c r="E81" s="214" t="str">
        <f t="shared" si="2"/>
        <v>N/A</v>
      </c>
      <c r="F81" s="117" t="str">
        <f t="shared" si="3"/>
        <v>-</v>
      </c>
    </row>
    <row r="82" spans="1:8" ht="25" x14ac:dyDescent="0.25">
      <c r="A82" s="46" t="s">
        <v>1003</v>
      </c>
      <c r="B82" s="46" t="s">
        <v>1004</v>
      </c>
      <c r="C82" s="86" t="s">
        <v>210</v>
      </c>
      <c r="D82" s="140" t="s">
        <v>1187</v>
      </c>
      <c r="E82" s="214" t="str">
        <f t="shared" si="2"/>
        <v>N/A</v>
      </c>
      <c r="F82" s="117" t="str">
        <f t="shared" si="3"/>
        <v>-</v>
      </c>
    </row>
    <row r="83" spans="1:8" ht="50" x14ac:dyDescent="0.25">
      <c r="A83" s="46" t="s">
        <v>1005</v>
      </c>
      <c r="B83" s="46" t="s">
        <v>1006</v>
      </c>
      <c r="C83" s="86" t="s">
        <v>54</v>
      </c>
      <c r="D83" s="140" t="s">
        <v>1187</v>
      </c>
      <c r="E83" s="214" t="str">
        <f t="shared" si="2"/>
        <v>N/A</v>
      </c>
      <c r="F83" s="117" t="str">
        <f t="shared" si="3"/>
        <v>-</v>
      </c>
    </row>
    <row r="84" spans="1:8" ht="25" x14ac:dyDescent="0.25">
      <c r="A84" s="46" t="s">
        <v>1007</v>
      </c>
      <c r="B84" s="46" t="s">
        <v>1008</v>
      </c>
      <c r="C84" s="86" t="s">
        <v>1000</v>
      </c>
      <c r="D84" s="140" t="s">
        <v>1187</v>
      </c>
      <c r="E84" s="214" t="str">
        <f t="shared" si="2"/>
        <v>N/A</v>
      </c>
      <c r="F84" s="117" t="str">
        <f t="shared" si="3"/>
        <v>-</v>
      </c>
    </row>
    <row r="85" spans="1:8" ht="37.5" x14ac:dyDescent="0.25">
      <c r="A85" s="46" t="s">
        <v>1009</v>
      </c>
      <c r="B85" s="46" t="s">
        <v>1010</v>
      </c>
      <c r="C85" s="86" t="s">
        <v>54</v>
      </c>
      <c r="D85" s="140" t="s">
        <v>1187</v>
      </c>
      <c r="E85" s="214" t="str">
        <f t="shared" si="2"/>
        <v>N/A</v>
      </c>
      <c r="F85" s="117" t="str">
        <f t="shared" si="3"/>
        <v>-</v>
      </c>
    </row>
    <row r="86" spans="1:8" ht="25" x14ac:dyDescent="0.25">
      <c r="A86" s="46" t="s">
        <v>1011</v>
      </c>
      <c r="B86" s="46" t="s">
        <v>1012</v>
      </c>
      <c r="C86" s="86" t="s">
        <v>210</v>
      </c>
      <c r="D86" s="140" t="s">
        <v>1187</v>
      </c>
      <c r="E86" s="214" t="str">
        <f t="shared" si="2"/>
        <v>N/A</v>
      </c>
      <c r="F86" s="117" t="str">
        <f t="shared" si="3"/>
        <v>-</v>
      </c>
    </row>
    <row r="87" spans="1:8" ht="50" x14ac:dyDescent="0.25">
      <c r="A87" s="46" t="s">
        <v>1013</v>
      </c>
      <c r="B87" s="46" t="s">
        <v>1014</v>
      </c>
      <c r="C87" s="86" t="s">
        <v>54</v>
      </c>
      <c r="D87" s="140" t="s">
        <v>1187</v>
      </c>
      <c r="E87" s="214" t="str">
        <f t="shared" si="2"/>
        <v>N/A</v>
      </c>
      <c r="F87" s="117" t="str">
        <f t="shared" si="3"/>
        <v>-</v>
      </c>
    </row>
    <row r="88" spans="1:8" ht="25" x14ac:dyDescent="0.25">
      <c r="A88" s="46" t="s">
        <v>1015</v>
      </c>
      <c r="B88" s="46" t="s">
        <v>1016</v>
      </c>
      <c r="C88" s="86" t="s">
        <v>210</v>
      </c>
      <c r="D88" s="140" t="s">
        <v>1187</v>
      </c>
      <c r="E88" s="214" t="str">
        <f t="shared" si="2"/>
        <v>N/A</v>
      </c>
      <c r="F88" s="117" t="str">
        <f t="shared" si="3"/>
        <v>-</v>
      </c>
    </row>
    <row r="89" spans="1:8" ht="25" x14ac:dyDescent="0.25">
      <c r="A89" s="46" t="s">
        <v>1017</v>
      </c>
      <c r="B89" s="46" t="s">
        <v>1018</v>
      </c>
      <c r="C89" s="86" t="s">
        <v>54</v>
      </c>
      <c r="D89" s="140" t="s">
        <v>1187</v>
      </c>
      <c r="E89" s="214" t="str">
        <f t="shared" si="2"/>
        <v>N/A</v>
      </c>
      <c r="F89" s="117" t="str">
        <f t="shared" si="3"/>
        <v>-</v>
      </c>
    </row>
    <row r="90" spans="1:8" ht="50" x14ac:dyDescent="0.25">
      <c r="A90" s="46" t="s">
        <v>1019</v>
      </c>
      <c r="B90" s="46" t="s">
        <v>1020</v>
      </c>
      <c r="C90" s="86" t="s">
        <v>54</v>
      </c>
      <c r="D90" s="140">
        <v>110</v>
      </c>
      <c r="E90" s="214">
        <v>30</v>
      </c>
      <c r="F90" s="117">
        <f t="shared" si="3"/>
        <v>3300</v>
      </c>
    </row>
    <row r="91" spans="1:8" ht="37.5" x14ac:dyDescent="0.25">
      <c r="A91" s="46" t="s">
        <v>1021</v>
      </c>
      <c r="B91" s="46" t="s">
        <v>1022</v>
      </c>
      <c r="C91" s="86" t="s">
        <v>54</v>
      </c>
      <c r="D91" s="140">
        <v>110</v>
      </c>
      <c r="E91" s="214">
        <v>35</v>
      </c>
      <c r="F91" s="117">
        <f t="shared" si="3"/>
        <v>3850</v>
      </c>
    </row>
    <row r="92" spans="1:8" ht="50" x14ac:dyDescent="0.25">
      <c r="A92" s="46" t="s">
        <v>1023</v>
      </c>
      <c r="B92" s="46" t="s">
        <v>1024</v>
      </c>
      <c r="C92" s="86" t="s">
        <v>54</v>
      </c>
      <c r="D92" s="140">
        <v>110</v>
      </c>
      <c r="E92" s="214">
        <v>40</v>
      </c>
      <c r="F92" s="117">
        <f t="shared" si="3"/>
        <v>4400</v>
      </c>
    </row>
    <row r="93" spans="1:8" x14ac:dyDescent="0.25">
      <c r="A93" s="46" t="s">
        <v>1025</v>
      </c>
      <c r="B93" s="95" t="s">
        <v>1026</v>
      </c>
      <c r="C93" s="86"/>
      <c r="D93" s="140"/>
      <c r="E93" s="214"/>
      <c r="F93" s="117"/>
    </row>
    <row r="94" spans="1:8" ht="62.5" x14ac:dyDescent="0.25">
      <c r="A94" s="46" t="s">
        <v>1027</v>
      </c>
      <c r="B94" s="46" t="s">
        <v>1028</v>
      </c>
      <c r="C94" s="86" t="s">
        <v>54</v>
      </c>
      <c r="D94" s="140">
        <v>30</v>
      </c>
      <c r="E94" s="214">
        <v>75</v>
      </c>
      <c r="F94" s="117">
        <f t="shared" si="3"/>
        <v>2250</v>
      </c>
    </row>
    <row r="95" spans="1:8" ht="25" x14ac:dyDescent="0.25">
      <c r="A95" s="46" t="s">
        <v>1029</v>
      </c>
      <c r="B95" s="46" t="s">
        <v>1030</v>
      </c>
      <c r="C95" s="86" t="s">
        <v>54</v>
      </c>
      <c r="D95" s="140">
        <v>30</v>
      </c>
      <c r="E95" s="214">
        <v>100</v>
      </c>
      <c r="F95" s="117">
        <f t="shared" si="3"/>
        <v>3000</v>
      </c>
      <c r="H95" s="172"/>
    </row>
    <row r="96" spans="1:8" ht="62.5" x14ac:dyDescent="0.25">
      <c r="A96" s="46" t="s">
        <v>1031</v>
      </c>
      <c r="B96" s="46" t="s">
        <v>1032</v>
      </c>
      <c r="C96" s="86" t="s">
        <v>54</v>
      </c>
      <c r="D96" s="140">
        <v>30</v>
      </c>
      <c r="E96" s="214">
        <v>125</v>
      </c>
      <c r="F96" s="117">
        <f t="shared" si="3"/>
        <v>3750</v>
      </c>
    </row>
    <row r="97" spans="1:8" ht="50" x14ac:dyDescent="0.25">
      <c r="A97" s="46" t="s">
        <v>1033</v>
      </c>
      <c r="B97" s="46" t="s">
        <v>1034</v>
      </c>
      <c r="C97" s="86" t="s">
        <v>54</v>
      </c>
      <c r="D97" s="140">
        <v>30</v>
      </c>
      <c r="E97" s="214">
        <v>125</v>
      </c>
      <c r="F97" s="117">
        <f t="shared" si="3"/>
        <v>3750</v>
      </c>
      <c r="H97" s="172"/>
    </row>
    <row r="98" spans="1:8" ht="25" x14ac:dyDescent="0.25">
      <c r="A98" s="46" t="s">
        <v>1035</v>
      </c>
      <c r="B98" s="46" t="s">
        <v>1036</v>
      </c>
      <c r="C98" s="86" t="s">
        <v>1000</v>
      </c>
      <c r="D98" s="140">
        <v>10</v>
      </c>
      <c r="E98" s="214">
        <v>12.5</v>
      </c>
      <c r="F98" s="117">
        <f>IFERROR(IF(ISNUMBER(D98),D98*E98,"-"),"")</f>
        <v>125</v>
      </c>
    </row>
    <row r="99" spans="1:8" ht="25" x14ac:dyDescent="0.25">
      <c r="A99" s="46" t="s">
        <v>1037</v>
      </c>
      <c r="B99" s="46" t="s">
        <v>1038</v>
      </c>
      <c r="C99" s="86" t="s">
        <v>210</v>
      </c>
      <c r="D99" s="140" t="s">
        <v>1187</v>
      </c>
      <c r="E99" s="214" t="str">
        <f t="shared" si="2"/>
        <v>N/A</v>
      </c>
      <c r="F99" s="117" t="str">
        <f t="shared" si="3"/>
        <v>-</v>
      </c>
    </row>
    <row r="100" spans="1:8" x14ac:dyDescent="0.25">
      <c r="A100" s="46"/>
      <c r="B100" s="46"/>
      <c r="C100" s="86"/>
      <c r="D100" s="140"/>
      <c r="E100" s="214"/>
      <c r="F100" s="117"/>
    </row>
    <row r="101" spans="1:8" x14ac:dyDescent="0.25">
      <c r="A101" s="46" t="s">
        <v>1039</v>
      </c>
      <c r="B101" s="95" t="s">
        <v>1040</v>
      </c>
      <c r="C101" s="86"/>
      <c r="D101" s="140"/>
      <c r="E101" s="214"/>
      <c r="F101" s="117"/>
    </row>
    <row r="102" spans="1:8" x14ac:dyDescent="0.25">
      <c r="A102" s="46" t="s">
        <v>1041</v>
      </c>
      <c r="B102" s="46" t="s">
        <v>1042</v>
      </c>
      <c r="C102" s="86" t="s">
        <v>54</v>
      </c>
      <c r="D102" s="140" t="s">
        <v>1187</v>
      </c>
      <c r="E102" s="214" t="str">
        <f t="shared" si="2"/>
        <v>N/A</v>
      </c>
      <c r="F102" s="117" t="str">
        <f t="shared" si="3"/>
        <v>-</v>
      </c>
    </row>
    <row r="103" spans="1:8" ht="25" x14ac:dyDescent="0.25">
      <c r="A103" s="46" t="s">
        <v>1043</v>
      </c>
      <c r="B103" s="46" t="s">
        <v>1044</v>
      </c>
      <c r="C103" s="86" t="s">
        <v>54</v>
      </c>
      <c r="D103" s="140" t="s">
        <v>1187</v>
      </c>
      <c r="E103" s="214" t="str">
        <f t="shared" si="2"/>
        <v>N/A</v>
      </c>
      <c r="F103" s="117" t="str">
        <f t="shared" si="3"/>
        <v>-</v>
      </c>
    </row>
    <row r="104" spans="1:8" ht="25" x14ac:dyDescent="0.25">
      <c r="A104" s="46" t="s">
        <v>1045</v>
      </c>
      <c r="B104" s="46" t="s">
        <v>1046</v>
      </c>
      <c r="C104" s="86" t="s">
        <v>54</v>
      </c>
      <c r="D104" s="140" t="s">
        <v>1187</v>
      </c>
      <c r="E104" s="214" t="str">
        <f t="shared" si="2"/>
        <v>N/A</v>
      </c>
      <c r="F104" s="117" t="str">
        <f t="shared" si="3"/>
        <v>-</v>
      </c>
    </row>
    <row r="105" spans="1:8" x14ac:dyDescent="0.25">
      <c r="A105" s="46" t="s">
        <v>1047</v>
      </c>
      <c r="B105" s="46" t="s">
        <v>1048</v>
      </c>
      <c r="C105" s="86" t="s">
        <v>54</v>
      </c>
      <c r="D105" s="140" t="s">
        <v>1187</v>
      </c>
      <c r="E105" s="214" t="str">
        <f t="shared" si="2"/>
        <v>N/A</v>
      </c>
      <c r="F105" s="117" t="str">
        <f t="shared" si="3"/>
        <v>-</v>
      </c>
    </row>
    <row r="106" spans="1:8" x14ac:dyDescent="0.25">
      <c r="A106" s="46" t="s">
        <v>1049</v>
      </c>
      <c r="B106" s="46" t="s">
        <v>1050</v>
      </c>
      <c r="C106" s="86" t="s">
        <v>54</v>
      </c>
      <c r="D106" s="140" t="s">
        <v>1187</v>
      </c>
      <c r="E106" s="214" t="str">
        <f t="shared" si="2"/>
        <v>N/A</v>
      </c>
      <c r="F106" s="117" t="str">
        <f t="shared" si="3"/>
        <v>-</v>
      </c>
    </row>
    <row r="107" spans="1:8" ht="12.75" customHeight="1" x14ac:dyDescent="0.25">
      <c r="A107" s="46" t="s">
        <v>1051</v>
      </c>
      <c r="B107" s="46" t="s">
        <v>1052</v>
      </c>
      <c r="C107" s="86" t="s">
        <v>54</v>
      </c>
      <c r="D107" s="140" t="s">
        <v>1187</v>
      </c>
      <c r="E107" s="214" t="str">
        <f t="shared" si="2"/>
        <v>N/A</v>
      </c>
      <c r="F107" s="117" t="str">
        <f t="shared" si="3"/>
        <v>-</v>
      </c>
    </row>
    <row r="108" spans="1:8" x14ac:dyDescent="0.25">
      <c r="A108" s="46" t="s">
        <v>1053</v>
      </c>
      <c r="B108" s="46" t="s">
        <v>1054</v>
      </c>
      <c r="C108" s="86" t="s">
        <v>54</v>
      </c>
      <c r="D108" s="140" t="s">
        <v>1187</v>
      </c>
      <c r="E108" s="214" t="str">
        <f t="shared" si="2"/>
        <v>N/A</v>
      </c>
      <c r="F108" s="117" t="str">
        <f t="shared" si="3"/>
        <v>-</v>
      </c>
    </row>
    <row r="109" spans="1:8" x14ac:dyDescent="0.25">
      <c r="A109" s="46" t="s">
        <v>1055</v>
      </c>
      <c r="B109" s="46" t="s">
        <v>1056</v>
      </c>
      <c r="C109" s="86" t="s">
        <v>54</v>
      </c>
      <c r="D109" s="140" t="s">
        <v>1187</v>
      </c>
      <c r="E109" s="214" t="str">
        <f t="shared" si="2"/>
        <v>N/A</v>
      </c>
      <c r="F109" s="117" t="str">
        <f t="shared" si="3"/>
        <v>-</v>
      </c>
    </row>
    <row r="110" spans="1:8" x14ac:dyDescent="0.25">
      <c r="A110" s="46" t="s">
        <v>1057</v>
      </c>
      <c r="B110" s="46" t="s">
        <v>1058</v>
      </c>
      <c r="C110" s="86" t="s">
        <v>54</v>
      </c>
      <c r="D110" s="140" t="s">
        <v>1187</v>
      </c>
      <c r="E110" s="214" t="str">
        <f t="shared" si="2"/>
        <v>N/A</v>
      </c>
      <c r="F110" s="117" t="str">
        <f t="shared" si="3"/>
        <v>-</v>
      </c>
    </row>
    <row r="111" spans="1:8" x14ac:dyDescent="0.25">
      <c r="A111" s="46" t="s">
        <v>1059</v>
      </c>
      <c r="B111" s="46" t="s">
        <v>1060</v>
      </c>
      <c r="C111" s="86" t="s">
        <v>54</v>
      </c>
      <c r="D111" s="140" t="s">
        <v>1187</v>
      </c>
      <c r="E111" s="214" t="str">
        <f t="shared" si="2"/>
        <v>N/A</v>
      </c>
      <c r="F111" s="117" t="str">
        <f t="shared" si="3"/>
        <v>-</v>
      </c>
    </row>
    <row r="112" spans="1:8" x14ac:dyDescent="0.25">
      <c r="A112" s="46" t="s">
        <v>1061</v>
      </c>
      <c r="B112" s="46" t="s">
        <v>1062</v>
      </c>
      <c r="C112" s="86" t="s">
        <v>54</v>
      </c>
      <c r="D112" s="140" t="s">
        <v>1187</v>
      </c>
      <c r="E112" s="214" t="str">
        <f t="shared" si="2"/>
        <v>N/A</v>
      </c>
      <c r="F112" s="117" t="str">
        <f t="shared" si="3"/>
        <v>-</v>
      </c>
    </row>
    <row r="113" spans="1:6" x14ac:dyDescent="0.25">
      <c r="A113" s="46" t="s">
        <v>1063</v>
      </c>
      <c r="B113" s="46" t="s">
        <v>1064</v>
      </c>
      <c r="C113" s="86" t="s">
        <v>54</v>
      </c>
      <c r="D113" s="140" t="s">
        <v>1187</v>
      </c>
      <c r="E113" s="214" t="str">
        <f t="shared" si="2"/>
        <v>N/A</v>
      </c>
      <c r="F113" s="117" t="str">
        <f t="shared" si="3"/>
        <v>-</v>
      </c>
    </row>
    <row r="114" spans="1:6" x14ac:dyDescent="0.25">
      <c r="A114" s="46" t="s">
        <v>1065</v>
      </c>
      <c r="B114" s="46" t="s">
        <v>1066</v>
      </c>
      <c r="C114" s="86" t="s">
        <v>54</v>
      </c>
      <c r="D114" s="140" t="s">
        <v>1187</v>
      </c>
      <c r="E114" s="214" t="str">
        <f t="shared" si="2"/>
        <v>N/A</v>
      </c>
      <c r="F114" s="117" t="str">
        <f t="shared" si="3"/>
        <v>-</v>
      </c>
    </row>
    <row r="115" spans="1:6" x14ac:dyDescent="0.25">
      <c r="A115" s="46" t="s">
        <v>1067</v>
      </c>
      <c r="B115" s="46" t="s">
        <v>1068</v>
      </c>
      <c r="C115" s="86" t="s">
        <v>54</v>
      </c>
      <c r="D115" s="140">
        <v>100</v>
      </c>
      <c r="E115" s="214" t="str">
        <f t="shared" si="2"/>
        <v/>
      </c>
      <c r="F115" s="117" t="str">
        <f t="shared" si="3"/>
        <v/>
      </c>
    </row>
    <row r="116" spans="1:6" x14ac:dyDescent="0.25">
      <c r="A116" s="46" t="s">
        <v>1069</v>
      </c>
      <c r="B116" s="46" t="s">
        <v>1070</v>
      </c>
      <c r="C116" s="86" t="s">
        <v>54</v>
      </c>
      <c r="D116" s="140" t="s">
        <v>1187</v>
      </c>
      <c r="E116" s="214" t="str">
        <f t="shared" si="2"/>
        <v>N/A</v>
      </c>
      <c r="F116" s="117" t="str">
        <f t="shared" si="3"/>
        <v>-</v>
      </c>
    </row>
    <row r="117" spans="1:6" x14ac:dyDescent="0.25">
      <c r="A117" s="46" t="s">
        <v>1071</v>
      </c>
      <c r="B117" s="46" t="s">
        <v>1072</v>
      </c>
      <c r="C117" s="86" t="s">
        <v>54</v>
      </c>
      <c r="D117" s="140" t="s">
        <v>1187</v>
      </c>
      <c r="E117" s="214" t="str">
        <f t="shared" si="2"/>
        <v>N/A</v>
      </c>
      <c r="F117" s="117" t="str">
        <f t="shared" si="3"/>
        <v>-</v>
      </c>
    </row>
    <row r="118" spans="1:6" ht="25" x14ac:dyDescent="0.25">
      <c r="A118" s="46" t="s">
        <v>1073</v>
      </c>
      <c r="B118" s="46" t="s">
        <v>1074</v>
      </c>
      <c r="C118" s="86" t="s">
        <v>54</v>
      </c>
      <c r="D118" s="140" t="s">
        <v>1187</v>
      </c>
      <c r="E118" s="214" t="str">
        <f t="shared" si="2"/>
        <v>N/A</v>
      </c>
      <c r="F118" s="117" t="str">
        <f t="shared" si="3"/>
        <v>-</v>
      </c>
    </row>
    <row r="119" spans="1:6" ht="25" x14ac:dyDescent="0.25">
      <c r="A119" s="46" t="s">
        <v>1075</v>
      </c>
      <c r="B119" s="46" t="s">
        <v>1076</v>
      </c>
      <c r="C119" s="86" t="s">
        <v>54</v>
      </c>
      <c r="D119" s="140">
        <v>200</v>
      </c>
      <c r="E119" s="214">
        <v>5</v>
      </c>
      <c r="F119" s="117">
        <f t="shared" si="3"/>
        <v>1000</v>
      </c>
    </row>
    <row r="120" spans="1:6" ht="37.5" x14ac:dyDescent="0.25">
      <c r="A120" s="46" t="s">
        <v>1077</v>
      </c>
      <c r="B120" s="46" t="s">
        <v>1078</v>
      </c>
      <c r="C120" s="86" t="s">
        <v>54</v>
      </c>
      <c r="D120" s="140">
        <v>15</v>
      </c>
      <c r="E120" s="214">
        <v>35</v>
      </c>
      <c r="F120" s="117">
        <f t="shared" si="3"/>
        <v>525</v>
      </c>
    </row>
    <row r="121" spans="1:6" x14ac:dyDescent="0.25">
      <c r="A121" s="46" t="s">
        <v>1079</v>
      </c>
      <c r="B121" s="46" t="s">
        <v>1080</v>
      </c>
      <c r="C121" s="86" t="s">
        <v>54</v>
      </c>
      <c r="D121" s="140" t="s">
        <v>1187</v>
      </c>
      <c r="E121" s="214" t="str">
        <f t="shared" si="2"/>
        <v>N/A</v>
      </c>
      <c r="F121" s="117" t="str">
        <f t="shared" si="3"/>
        <v>-</v>
      </c>
    </row>
    <row r="122" spans="1:6" x14ac:dyDescent="0.25">
      <c r="A122" s="46" t="s">
        <v>1081</v>
      </c>
      <c r="B122" s="46" t="s">
        <v>1082</v>
      </c>
      <c r="C122" s="86" t="s">
        <v>54</v>
      </c>
      <c r="D122" s="140" t="s">
        <v>1187</v>
      </c>
      <c r="E122" s="214" t="str">
        <f t="shared" si="2"/>
        <v>N/A</v>
      </c>
      <c r="F122" s="117" t="str">
        <f t="shared" si="3"/>
        <v>-</v>
      </c>
    </row>
    <row r="123" spans="1:6" ht="37.5" x14ac:dyDescent="0.25">
      <c r="A123" s="46"/>
      <c r="B123" s="95" t="s">
        <v>1083</v>
      </c>
      <c r="C123" s="86"/>
      <c r="D123" s="140"/>
      <c r="E123" s="214"/>
      <c r="F123" s="117"/>
    </row>
    <row r="124" spans="1:6" ht="37.5" x14ac:dyDescent="0.25">
      <c r="A124" s="46" t="s">
        <v>1084</v>
      </c>
      <c r="B124" s="46" t="s">
        <v>1085</v>
      </c>
      <c r="C124" s="86" t="s">
        <v>54</v>
      </c>
      <c r="D124" s="140" t="s">
        <v>1187</v>
      </c>
      <c r="E124" s="214" t="str">
        <f t="shared" si="2"/>
        <v>N/A</v>
      </c>
      <c r="F124" s="117" t="str">
        <f t="shared" si="3"/>
        <v>-</v>
      </c>
    </row>
    <row r="125" spans="1:6" ht="75" x14ac:dyDescent="0.25">
      <c r="A125" s="46" t="s">
        <v>1086</v>
      </c>
      <c r="B125" s="46" t="s">
        <v>1087</v>
      </c>
      <c r="C125" s="86" t="s">
        <v>54</v>
      </c>
      <c r="D125" s="140" t="s">
        <v>1187</v>
      </c>
      <c r="E125" s="214" t="str">
        <f t="shared" si="2"/>
        <v>N/A</v>
      </c>
      <c r="F125" s="117" t="str">
        <f t="shared" si="3"/>
        <v>-</v>
      </c>
    </row>
    <row r="126" spans="1:6" ht="100" x14ac:dyDescent="0.25">
      <c r="A126" s="46" t="s">
        <v>1088</v>
      </c>
      <c r="B126" s="46" t="s">
        <v>1089</v>
      </c>
      <c r="C126" s="86" t="s">
        <v>54</v>
      </c>
      <c r="D126" s="140" t="s">
        <v>1187</v>
      </c>
      <c r="E126" s="214" t="str">
        <f t="shared" si="2"/>
        <v>N/A</v>
      </c>
      <c r="F126" s="117" t="str">
        <f t="shared" si="3"/>
        <v>-</v>
      </c>
    </row>
    <row r="127" spans="1:6" ht="12.75" customHeight="1" x14ac:dyDescent="0.25">
      <c r="B127" s="13" t="s">
        <v>1090</v>
      </c>
      <c r="C127" s="14"/>
      <c r="D127" s="14"/>
      <c r="E127" s="15"/>
      <c r="F127" s="121">
        <f>IF(SUM(F6:F126)=0,"",SUM(F6:F126))</f>
        <v>105225</v>
      </c>
    </row>
    <row r="128" spans="1:6" x14ac:dyDescent="0.25">
      <c r="E128" s="22"/>
    </row>
    <row r="129" spans="5:5" x14ac:dyDescent="0.25">
      <c r="E129" s="22"/>
    </row>
    <row r="130" spans="5:5" x14ac:dyDescent="0.25">
      <c r="E130" s="22"/>
    </row>
    <row r="131" spans="5:5" x14ac:dyDescent="0.25">
      <c r="E131" s="22"/>
    </row>
    <row r="132" spans="5:5" x14ac:dyDescent="0.25">
      <c r="E132" s="22"/>
    </row>
    <row r="133" spans="5:5" x14ac:dyDescent="0.25">
      <c r="E133" s="22"/>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3C4F-4326-4F58-A251-4586593D5E7E}">
  <dimension ref="A2:H22"/>
  <sheetViews>
    <sheetView view="pageBreakPreview" zoomScaleNormal="100" zoomScaleSheetLayoutView="100" workbookViewId="0">
      <selection activeCell="H1" sqref="H1:H1048576"/>
    </sheetView>
  </sheetViews>
  <sheetFormatPr defaultColWidth="9.1796875" defaultRowHeight="12.5" x14ac:dyDescent="0.25"/>
  <cols>
    <col min="1" max="1" width="9.1796875" style="16"/>
    <col min="2" max="2" width="35.54296875" style="16" customWidth="1"/>
    <col min="3" max="3" width="8.453125" style="21" customWidth="1"/>
    <col min="4" max="4" width="11.453125" style="204" customWidth="1"/>
    <col min="5" max="5" width="11.453125" style="22" customWidth="1"/>
    <col min="6" max="6" width="11.453125" style="23" customWidth="1"/>
    <col min="7" max="16384" width="9.1796875" style="16"/>
  </cols>
  <sheetData>
    <row r="2" spans="1:8" x14ac:dyDescent="0.25">
      <c r="A2" s="1" t="s">
        <v>0</v>
      </c>
      <c r="B2" s="1" t="s">
        <v>1</v>
      </c>
      <c r="C2" s="1" t="s">
        <v>2</v>
      </c>
      <c r="D2" s="1" t="s">
        <v>3</v>
      </c>
      <c r="E2" s="2" t="s">
        <v>4</v>
      </c>
      <c r="F2" s="3" t="s">
        <v>5</v>
      </c>
    </row>
    <row r="3" spans="1:8" x14ac:dyDescent="0.25">
      <c r="A3" s="40"/>
      <c r="B3" s="40"/>
      <c r="C3" s="41"/>
      <c r="D3" s="41"/>
      <c r="E3" s="63" t="s">
        <v>6</v>
      </c>
      <c r="F3" s="42" t="s">
        <v>6</v>
      </c>
    </row>
    <row r="4" spans="1:8" ht="13" x14ac:dyDescent="0.25">
      <c r="A4" s="44" t="s">
        <v>1091</v>
      </c>
      <c r="B4" s="44" t="s">
        <v>1092</v>
      </c>
      <c r="C4" s="81"/>
      <c r="D4" s="81"/>
      <c r="E4" s="99"/>
      <c r="F4" s="89"/>
    </row>
    <row r="5" spans="1:8" ht="25" x14ac:dyDescent="0.25">
      <c r="A5" s="46"/>
      <c r="B5" s="95" t="s">
        <v>1093</v>
      </c>
      <c r="C5" s="86"/>
      <c r="D5" s="86"/>
      <c r="E5" s="98"/>
      <c r="F5" s="91"/>
    </row>
    <row r="6" spans="1:8" x14ac:dyDescent="0.25">
      <c r="A6" s="46" t="s">
        <v>1094</v>
      </c>
      <c r="B6" s="46" t="s">
        <v>1095</v>
      </c>
      <c r="C6" s="86" t="s">
        <v>54</v>
      </c>
      <c r="D6" s="86">
        <v>150</v>
      </c>
      <c r="E6" s="214">
        <v>75</v>
      </c>
      <c r="F6" s="117">
        <f t="shared" ref="F6:F11" si="0">IFERROR(IF(ISNUMBER(D6),D6*E6,"-"),"")</f>
        <v>11250</v>
      </c>
    </row>
    <row r="7" spans="1:8" x14ac:dyDescent="0.25">
      <c r="A7" s="46" t="s">
        <v>1096</v>
      </c>
      <c r="B7" s="46" t="s">
        <v>1097</v>
      </c>
      <c r="C7" s="86" t="s">
        <v>54</v>
      </c>
      <c r="D7" s="86" t="s">
        <v>1187</v>
      </c>
      <c r="E7" s="214" t="str">
        <f t="shared" ref="E7" si="1">IF(ISNUMBER(D7),"","N/A")</f>
        <v>N/A</v>
      </c>
      <c r="F7" s="117" t="str">
        <f t="shared" si="0"/>
        <v>-</v>
      </c>
    </row>
    <row r="8" spans="1:8" x14ac:dyDescent="0.25">
      <c r="A8" s="129" t="s">
        <v>1098</v>
      </c>
      <c r="B8" s="129" t="s">
        <v>1099</v>
      </c>
      <c r="C8" s="130" t="s">
        <v>54</v>
      </c>
      <c r="D8" s="86" t="s">
        <v>1187</v>
      </c>
      <c r="E8" s="214" t="s">
        <v>1373</v>
      </c>
      <c r="F8" s="117" t="str">
        <f t="shared" si="0"/>
        <v>-</v>
      </c>
      <c r="H8" s="172"/>
    </row>
    <row r="9" spans="1:8" x14ac:dyDescent="0.25">
      <c r="A9" s="129" t="s">
        <v>1100</v>
      </c>
      <c r="B9" s="129" t="s">
        <v>1101</v>
      </c>
      <c r="C9" s="130" t="s">
        <v>54</v>
      </c>
      <c r="D9" s="86">
        <v>10</v>
      </c>
      <c r="E9" s="214">
        <v>100</v>
      </c>
      <c r="F9" s="117">
        <f t="shared" si="0"/>
        <v>1000</v>
      </c>
      <c r="H9" s="179"/>
    </row>
    <row r="10" spans="1:8" x14ac:dyDescent="0.25">
      <c r="A10" s="9" t="s">
        <v>1102</v>
      </c>
      <c r="B10" s="9" t="s">
        <v>1103</v>
      </c>
      <c r="C10" s="11" t="s">
        <v>54</v>
      </c>
      <c r="D10" s="86">
        <v>150</v>
      </c>
      <c r="E10" s="214">
        <v>125</v>
      </c>
      <c r="F10" s="117">
        <f t="shared" si="0"/>
        <v>18750</v>
      </c>
    </row>
    <row r="11" spans="1:8" x14ac:dyDescent="0.25">
      <c r="A11" s="9" t="s">
        <v>1104</v>
      </c>
      <c r="B11" s="9" t="s">
        <v>1105</v>
      </c>
      <c r="C11" s="11" t="s">
        <v>54</v>
      </c>
      <c r="D11" s="86" t="s">
        <v>1187</v>
      </c>
      <c r="E11" s="214">
        <v>140</v>
      </c>
      <c r="F11" s="117" t="str">
        <f t="shared" si="0"/>
        <v>-</v>
      </c>
    </row>
    <row r="12" spans="1:8" ht="12.75" customHeight="1" x14ac:dyDescent="0.25">
      <c r="B12" s="13" t="s">
        <v>1106</v>
      </c>
      <c r="C12" s="14"/>
      <c r="D12" s="14"/>
      <c r="E12" s="15"/>
      <c r="F12" s="121">
        <f>IF(SUM(F6:F11)=0,"",SUM(F6:F11))</f>
        <v>31000</v>
      </c>
    </row>
    <row r="22" spans="6:6" x14ac:dyDescent="0.25">
      <c r="F22" s="73"/>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E330-AC8D-4CEF-A470-CF0EE76385B1}">
  <dimension ref="A2:N22"/>
  <sheetViews>
    <sheetView view="pageBreakPreview" zoomScale="90" zoomScaleNormal="100" zoomScaleSheetLayoutView="90" workbookViewId="0">
      <selection activeCell="J13" sqref="J13"/>
    </sheetView>
  </sheetViews>
  <sheetFormatPr defaultRowHeight="14.5" x14ac:dyDescent="0.35"/>
  <cols>
    <col min="2" max="2" width="43.81640625" style="154" customWidth="1"/>
    <col min="3" max="4" width="8.81640625" style="154"/>
    <col min="6" max="6" width="9" bestFit="1" customWidth="1"/>
    <col min="8" max="8" width="19.1796875" bestFit="1" customWidth="1"/>
  </cols>
  <sheetData>
    <row r="2" spans="1:14" x14ac:dyDescent="0.35">
      <c r="A2" s="131" t="s">
        <v>0</v>
      </c>
      <c r="B2" s="1" t="s">
        <v>1</v>
      </c>
      <c r="C2" s="1" t="s">
        <v>2</v>
      </c>
      <c r="D2" s="1" t="s">
        <v>3</v>
      </c>
      <c r="E2" s="131" t="s">
        <v>4</v>
      </c>
      <c r="F2" s="132" t="s">
        <v>5</v>
      </c>
    </row>
    <row r="3" spans="1:14" ht="18" x14ac:dyDescent="0.4">
      <c r="A3" s="133"/>
      <c r="B3" s="146" t="s">
        <v>1198</v>
      </c>
      <c r="C3" s="41"/>
      <c r="D3" s="41"/>
      <c r="E3" s="134" t="s">
        <v>6</v>
      </c>
      <c r="F3" s="135" t="s">
        <v>6</v>
      </c>
    </row>
    <row r="4" spans="1:14" ht="43.5" x14ac:dyDescent="0.35">
      <c r="A4" s="136" t="s">
        <v>1212</v>
      </c>
      <c r="B4" s="164" t="s">
        <v>1189</v>
      </c>
      <c r="C4" s="86" t="s">
        <v>1177</v>
      </c>
      <c r="D4" s="86" t="s">
        <v>1170</v>
      </c>
      <c r="E4" s="137" t="s">
        <v>1170</v>
      </c>
      <c r="F4" s="138">
        <v>30000</v>
      </c>
    </row>
    <row r="5" spans="1:14" ht="29" x14ac:dyDescent="0.35">
      <c r="A5" s="147" t="s">
        <v>1213</v>
      </c>
      <c r="B5" s="164" t="s">
        <v>1305</v>
      </c>
      <c r="C5" s="161" t="s">
        <v>1211</v>
      </c>
      <c r="D5" s="161" t="s">
        <v>1210</v>
      </c>
      <c r="E5" s="147"/>
      <c r="F5" s="147"/>
    </row>
    <row r="6" spans="1:14" x14ac:dyDescent="0.35">
      <c r="A6" s="136"/>
      <c r="B6" s="159" t="s">
        <v>1228</v>
      </c>
      <c r="C6" s="160"/>
      <c r="D6" s="139"/>
      <c r="E6" s="147"/>
      <c r="F6" s="147"/>
    </row>
    <row r="7" spans="1:14" ht="58" x14ac:dyDescent="0.35">
      <c r="A7" s="147" t="s">
        <v>1281</v>
      </c>
      <c r="B7" s="164" t="s">
        <v>1284</v>
      </c>
      <c r="C7" s="160" t="s">
        <v>1230</v>
      </c>
      <c r="D7" s="139" t="s">
        <v>1210</v>
      </c>
      <c r="E7" s="147"/>
      <c r="F7" s="147"/>
    </row>
    <row r="8" spans="1:14" x14ac:dyDescent="0.35">
      <c r="A8" s="136" t="s">
        <v>1282</v>
      </c>
      <c r="B8" s="164" t="s">
        <v>1285</v>
      </c>
      <c r="C8" s="160" t="s">
        <v>1230</v>
      </c>
      <c r="D8" s="139" t="s">
        <v>1210</v>
      </c>
      <c r="E8" s="147"/>
      <c r="F8" s="147"/>
    </row>
    <row r="9" spans="1:14" ht="29" x14ac:dyDescent="0.35">
      <c r="A9" s="161" t="s">
        <v>1283</v>
      </c>
      <c r="B9" s="164" t="s">
        <v>1286</v>
      </c>
      <c r="C9" s="160" t="s">
        <v>1230</v>
      </c>
      <c r="D9" s="139" t="s">
        <v>1210</v>
      </c>
      <c r="E9" s="147"/>
      <c r="F9" s="147"/>
      <c r="K9" s="154"/>
    </row>
    <row r="10" spans="1:14" x14ac:dyDescent="0.35">
      <c r="A10" s="147"/>
      <c r="B10" s="159" t="s">
        <v>477</v>
      </c>
      <c r="C10" s="160"/>
      <c r="D10" s="139"/>
      <c r="E10" s="147"/>
      <c r="F10" s="147"/>
    </row>
    <row r="11" spans="1:14" ht="29" x14ac:dyDescent="0.35">
      <c r="A11" s="136" t="s">
        <v>1287</v>
      </c>
      <c r="B11" s="164" t="s">
        <v>479</v>
      </c>
      <c r="C11" s="160" t="s">
        <v>1270</v>
      </c>
      <c r="D11" s="139" t="s">
        <v>1210</v>
      </c>
      <c r="E11" s="147"/>
      <c r="F11" s="147"/>
    </row>
    <row r="12" spans="1:14" x14ac:dyDescent="0.35">
      <c r="A12" s="161" t="s">
        <v>1288</v>
      </c>
      <c r="B12" s="164" t="s">
        <v>481</v>
      </c>
      <c r="C12" s="160" t="s">
        <v>160</v>
      </c>
      <c r="D12" s="139" t="s">
        <v>1210</v>
      </c>
      <c r="E12" s="147"/>
      <c r="F12" s="147"/>
    </row>
    <row r="13" spans="1:14" ht="29" x14ac:dyDescent="0.35">
      <c r="A13" s="136" t="s">
        <v>1289</v>
      </c>
      <c r="B13" s="164" t="s">
        <v>1290</v>
      </c>
      <c r="C13" s="160" t="s">
        <v>11</v>
      </c>
      <c r="D13" s="139" t="s">
        <v>1210</v>
      </c>
      <c r="E13" s="147"/>
      <c r="F13" s="147"/>
    </row>
    <row r="14" spans="1:14" x14ac:dyDescent="0.35">
      <c r="A14" s="37"/>
      <c r="B14" s="38" t="s">
        <v>1280</v>
      </c>
      <c r="C14" s="38"/>
      <c r="D14" s="38"/>
      <c r="E14" s="39"/>
      <c r="F14" s="121">
        <f>SUM(F4:F5)</f>
        <v>30000</v>
      </c>
      <c r="G14" s="154"/>
      <c r="H14" s="154"/>
      <c r="I14" s="154"/>
      <c r="J14" s="154"/>
      <c r="K14" s="154"/>
      <c r="L14" s="154"/>
      <c r="M14" s="154"/>
      <c r="N14" s="154"/>
    </row>
    <row r="16" spans="1:14" x14ac:dyDescent="0.35">
      <c r="H16" s="166" t="s">
        <v>1362</v>
      </c>
      <c r="I16" s="167">
        <v>11</v>
      </c>
    </row>
    <row r="17" spans="8:9" x14ac:dyDescent="0.35">
      <c r="H17" s="167" t="s">
        <v>1363</v>
      </c>
      <c r="I17" s="167">
        <v>1</v>
      </c>
    </row>
    <row r="18" spans="8:9" x14ac:dyDescent="0.35">
      <c r="H18" s="167" t="s">
        <v>1364</v>
      </c>
      <c r="I18" s="167">
        <v>4</v>
      </c>
    </row>
    <row r="19" spans="8:9" x14ac:dyDescent="0.35">
      <c r="H19" s="167" t="s">
        <v>1365</v>
      </c>
      <c r="I19" s="167">
        <v>4</v>
      </c>
    </row>
    <row r="20" spans="8:9" x14ac:dyDescent="0.35">
      <c r="H20" s="167" t="s">
        <v>1366</v>
      </c>
      <c r="I20" s="167">
        <v>600</v>
      </c>
    </row>
    <row r="21" spans="8:9" x14ac:dyDescent="0.35">
      <c r="H21" s="167" t="s">
        <v>1367</v>
      </c>
      <c r="I21" s="167">
        <f>I16/I19</f>
        <v>2.75</v>
      </c>
    </row>
    <row r="22" spans="8:9" x14ac:dyDescent="0.35">
      <c r="H22" s="167" t="s">
        <v>1368</v>
      </c>
      <c r="I22" s="167">
        <f>I20*I21</f>
        <v>1650</v>
      </c>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73EF2-4FA2-4A55-8CCB-F15E5CF14AE1}">
  <sheetPr>
    <pageSetUpPr fitToPage="1"/>
  </sheetPr>
  <dimension ref="A2:F25"/>
  <sheetViews>
    <sheetView tabSelected="1" view="pageBreakPreview" zoomScaleNormal="100" zoomScaleSheetLayoutView="100" workbookViewId="0">
      <selection activeCell="G17" sqref="G17"/>
    </sheetView>
  </sheetViews>
  <sheetFormatPr defaultColWidth="9.1796875" defaultRowHeight="12.5" x14ac:dyDescent="0.25"/>
  <cols>
    <col min="1" max="1" width="9.1796875" style="16"/>
    <col min="2" max="2" width="52.453125" style="16" customWidth="1"/>
    <col min="3" max="3" width="11.453125" style="21" customWidth="1"/>
    <col min="4" max="4" width="11.7265625" style="16" bestFit="1" customWidth="1"/>
    <col min="5" max="5" width="9.1796875" style="16"/>
    <col min="6" max="6" width="10.54296875" style="16" bestFit="1" customWidth="1"/>
    <col min="7" max="16384" width="9.1796875" style="16"/>
  </cols>
  <sheetData>
    <row r="2" spans="1:3" ht="13" x14ac:dyDescent="0.3">
      <c r="A2" s="100" t="s">
        <v>1107</v>
      </c>
      <c r="B2" s="100"/>
      <c r="C2" s="100"/>
    </row>
    <row r="3" spans="1:3" x14ac:dyDescent="0.25">
      <c r="A3" s="40"/>
      <c r="B3" s="40"/>
      <c r="C3" s="41" t="s">
        <v>6</v>
      </c>
    </row>
    <row r="4" spans="1:3" x14ac:dyDescent="0.25">
      <c r="A4" s="46" t="s">
        <v>1108</v>
      </c>
      <c r="B4" s="46" t="s">
        <v>8</v>
      </c>
      <c r="C4" s="173">
        <f>'Section A'!F83</f>
        <v>380680</v>
      </c>
    </row>
    <row r="5" spans="1:3" ht="13" x14ac:dyDescent="0.25">
      <c r="A5" s="46" t="s">
        <v>1109</v>
      </c>
      <c r="B5" s="46" t="s">
        <v>1310</v>
      </c>
      <c r="C5" s="173">
        <f>'Section B'!F45</f>
        <v>73900</v>
      </c>
    </row>
    <row r="6" spans="1:3" ht="13" x14ac:dyDescent="0.25">
      <c r="A6" s="46" t="s">
        <v>1200</v>
      </c>
      <c r="B6" s="46" t="s">
        <v>1309</v>
      </c>
      <c r="C6" s="173">
        <f>'Section B.1'!F44</f>
        <v>211950</v>
      </c>
    </row>
    <row r="7" spans="1:3" ht="13" x14ac:dyDescent="0.25">
      <c r="A7" s="46" t="s">
        <v>1110</v>
      </c>
      <c r="B7" s="46" t="s">
        <v>1311</v>
      </c>
      <c r="C7" s="173">
        <f>'Section C'!F119</f>
        <v>197005</v>
      </c>
    </row>
    <row r="8" spans="1:3" ht="13" x14ac:dyDescent="0.25">
      <c r="A8" s="46" t="s">
        <v>1209</v>
      </c>
      <c r="B8" s="46" t="s">
        <v>1308</v>
      </c>
      <c r="C8" s="173">
        <f>'Section C.1'!F119</f>
        <v>50920</v>
      </c>
    </row>
    <row r="9" spans="1:3" ht="13" x14ac:dyDescent="0.25">
      <c r="A9" s="46" t="s">
        <v>1111</v>
      </c>
      <c r="B9" s="46" t="s">
        <v>1307</v>
      </c>
      <c r="C9" s="173">
        <f>'Section D'!F112</f>
        <v>202150</v>
      </c>
    </row>
    <row r="10" spans="1:3" x14ac:dyDescent="0.25">
      <c r="A10" s="46" t="s">
        <v>1112</v>
      </c>
      <c r="B10" s="46" t="s">
        <v>509</v>
      </c>
      <c r="C10" s="173">
        <f>'Section E'!F28</f>
        <v>34606</v>
      </c>
    </row>
    <row r="11" spans="1:3" ht="13" x14ac:dyDescent="0.25">
      <c r="A11" s="46" t="s">
        <v>1113</v>
      </c>
      <c r="B11" s="46" t="s">
        <v>1306</v>
      </c>
      <c r="C11" s="173">
        <f>'Section F'!F29</f>
        <v>54750</v>
      </c>
    </row>
    <row r="12" spans="1:3" ht="13" x14ac:dyDescent="0.25">
      <c r="A12" s="46" t="s">
        <v>1114</v>
      </c>
      <c r="B12" s="46" t="s">
        <v>1356</v>
      </c>
      <c r="C12" s="173">
        <f>'Section G'!F20</f>
        <v>307500</v>
      </c>
    </row>
    <row r="13" spans="1:3" x14ac:dyDescent="0.25">
      <c r="A13" s="46" t="s">
        <v>1115</v>
      </c>
      <c r="B13" s="46" t="s">
        <v>623</v>
      </c>
      <c r="C13" s="173">
        <f>'Section H'!F64</f>
        <v>78040</v>
      </c>
    </row>
    <row r="14" spans="1:3" ht="12.75" customHeight="1" x14ac:dyDescent="0.25">
      <c r="A14" s="46" t="s">
        <v>1116</v>
      </c>
      <c r="B14" s="46" t="s">
        <v>729</v>
      </c>
      <c r="C14" s="173">
        <f>'Section I'!F44</f>
        <v>19680</v>
      </c>
    </row>
    <row r="15" spans="1:3" x14ac:dyDescent="0.25">
      <c r="A15" s="46" t="s">
        <v>1117</v>
      </c>
      <c r="B15" s="46" t="s">
        <v>1118</v>
      </c>
      <c r="C15" s="173">
        <f>'Section J'!F32</f>
        <v>6500</v>
      </c>
    </row>
    <row r="16" spans="1:3" x14ac:dyDescent="0.25">
      <c r="A16" s="46" t="s">
        <v>1119</v>
      </c>
      <c r="B16" s="46" t="s">
        <v>855</v>
      </c>
      <c r="C16" s="173">
        <f>'Section K'!F127</f>
        <v>105225</v>
      </c>
    </row>
    <row r="17" spans="1:6" x14ac:dyDescent="0.25">
      <c r="A17" s="46" t="s">
        <v>1120</v>
      </c>
      <c r="B17" s="46" t="s">
        <v>1092</v>
      </c>
      <c r="C17" s="173">
        <f>'Section L'!F12</f>
        <v>31000</v>
      </c>
    </row>
    <row r="18" spans="1:6" ht="13" x14ac:dyDescent="0.25">
      <c r="A18" s="46" t="s">
        <v>1176</v>
      </c>
      <c r="B18" s="46" t="s">
        <v>1312</v>
      </c>
      <c r="C18" s="173">
        <f>'Section M - Structure Survey'!F14</f>
        <v>30000</v>
      </c>
    </row>
    <row r="19" spans="1:6" ht="13" x14ac:dyDescent="0.3">
      <c r="A19" s="101"/>
      <c r="B19" s="101" t="s">
        <v>1121</v>
      </c>
      <c r="C19" s="174">
        <f>IF(SUM(C4:C18)=0,"",SUM(C4:C18))</f>
        <v>1783906</v>
      </c>
    </row>
    <row r="25" spans="1:6" x14ac:dyDescent="0.25">
      <c r="F25" s="102"/>
    </row>
  </sheetData>
  <pageMargins left="0.62992125984251968" right="0.62992125984251968" top="1.1417322834645669" bottom="0.74803149606299213" header="0.31496062992125984" footer="0.31496062992125984"/>
  <pageSetup paperSize="9" scale="95" fitToHeight="0" orientation="portrait" r:id="rId1"/>
  <headerFooter>
    <oddHeader>&amp;L&amp;G&amp;C&amp;G&amp;R&amp;G</oddHeader>
    <oddFooter>&amp;L&amp;F</oddFooter>
    <firstHeader>&amp;L&amp;G&amp;C&amp;F&amp;R&amp;G</firstHead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2E92-51ED-4C8A-813C-A7F56DBE38D8}">
  <dimension ref="A2:F40"/>
  <sheetViews>
    <sheetView view="pageBreakPreview" zoomScale="80" zoomScaleNormal="100" zoomScaleSheetLayoutView="80" workbookViewId="0">
      <selection activeCell="J15" sqref="J15"/>
    </sheetView>
  </sheetViews>
  <sheetFormatPr defaultColWidth="9.1796875" defaultRowHeight="12.5" x14ac:dyDescent="0.25"/>
  <cols>
    <col min="1" max="1" width="9.1796875" style="106"/>
    <col min="2" max="2" width="49.54296875" style="106" customWidth="1"/>
    <col min="3" max="4" width="11.453125" style="116" customWidth="1"/>
    <col min="5" max="5" width="9.1796875" style="106"/>
    <col min="6" max="6" width="10.453125" style="106" bestFit="1" customWidth="1"/>
    <col min="7" max="16384" width="9.1796875" style="106"/>
  </cols>
  <sheetData>
    <row r="2" spans="1:4" ht="13" x14ac:dyDescent="0.3">
      <c r="A2" s="103" t="s">
        <v>1123</v>
      </c>
      <c r="B2" s="104"/>
      <c r="C2" s="105"/>
      <c r="D2" s="105"/>
    </row>
    <row r="3" spans="1:4" x14ac:dyDescent="0.25">
      <c r="A3" s="104"/>
      <c r="B3" s="104"/>
      <c r="C3" s="105"/>
      <c r="D3" s="105"/>
    </row>
    <row r="4" spans="1:4" x14ac:dyDescent="0.25">
      <c r="A4" s="1" t="s">
        <v>1124</v>
      </c>
      <c r="B4" s="1" t="s">
        <v>1</v>
      </c>
      <c r="C4" s="1" t="s">
        <v>2</v>
      </c>
      <c r="D4" s="1" t="s">
        <v>4</v>
      </c>
    </row>
    <row r="5" spans="1:4" x14ac:dyDescent="0.25">
      <c r="A5" s="107"/>
      <c r="B5" s="107"/>
      <c r="C5" s="108"/>
      <c r="D5" s="108" t="s">
        <v>6</v>
      </c>
    </row>
    <row r="6" spans="1:4" ht="13" x14ac:dyDescent="0.25">
      <c r="A6" s="46">
        <v>1</v>
      </c>
      <c r="B6" s="46" t="s">
        <v>1125</v>
      </c>
      <c r="C6" s="46" t="s">
        <v>160</v>
      </c>
      <c r="D6" s="44"/>
    </row>
    <row r="7" spans="1:4" ht="13" x14ac:dyDescent="0.25">
      <c r="A7" s="46">
        <v>2</v>
      </c>
      <c r="B7" s="46" t="s">
        <v>1126</v>
      </c>
      <c r="C7" s="46" t="s">
        <v>160</v>
      </c>
      <c r="D7" s="44"/>
    </row>
    <row r="8" spans="1:4" ht="13" x14ac:dyDescent="0.25">
      <c r="A8" s="46">
        <v>3</v>
      </c>
      <c r="B8" s="46" t="s">
        <v>1127</v>
      </c>
      <c r="C8" s="46" t="s">
        <v>160</v>
      </c>
      <c r="D8" s="44"/>
    </row>
    <row r="9" spans="1:4" ht="25" x14ac:dyDescent="0.25">
      <c r="A9" s="46">
        <v>4</v>
      </c>
      <c r="B9" s="46" t="s">
        <v>1128</v>
      </c>
      <c r="C9" s="46" t="s">
        <v>160</v>
      </c>
      <c r="D9" s="44"/>
    </row>
    <row r="10" spans="1:4" ht="25" x14ac:dyDescent="0.25">
      <c r="A10" s="46">
        <v>5</v>
      </c>
      <c r="B10" s="46" t="s">
        <v>1129</v>
      </c>
      <c r="C10" s="46" t="s">
        <v>160</v>
      </c>
      <c r="D10" s="44"/>
    </row>
    <row r="11" spans="1:4" ht="25" x14ac:dyDescent="0.25">
      <c r="A11" s="46">
        <v>6</v>
      </c>
      <c r="B11" s="46" t="s">
        <v>1130</v>
      </c>
      <c r="C11" s="46" t="s">
        <v>210</v>
      </c>
      <c r="D11" s="44"/>
    </row>
    <row r="12" spans="1:4" ht="25" x14ac:dyDescent="0.25">
      <c r="A12" s="46">
        <v>7</v>
      </c>
      <c r="B12" s="46" t="s">
        <v>1131</v>
      </c>
      <c r="C12" s="46" t="s">
        <v>1132</v>
      </c>
      <c r="D12" s="44"/>
    </row>
    <row r="13" spans="1:4" ht="13" x14ac:dyDescent="0.25">
      <c r="A13" s="46">
        <v>8</v>
      </c>
      <c r="B13" s="46" t="s">
        <v>1133</v>
      </c>
      <c r="C13" s="46" t="s">
        <v>1132</v>
      </c>
      <c r="D13" s="44"/>
    </row>
    <row r="14" spans="1:4" ht="37.5" x14ac:dyDescent="0.25">
      <c r="A14" s="46">
        <v>9</v>
      </c>
      <c r="B14" s="46" t="s">
        <v>1134</v>
      </c>
      <c r="C14" s="46" t="s">
        <v>1135</v>
      </c>
      <c r="D14" s="44"/>
    </row>
    <row r="15" spans="1:4" ht="13" x14ac:dyDescent="0.25">
      <c r="A15" s="46">
        <v>10</v>
      </c>
      <c r="B15" s="46" t="s">
        <v>1133</v>
      </c>
      <c r="C15" s="46" t="s">
        <v>1135</v>
      </c>
      <c r="D15" s="44"/>
    </row>
    <row r="16" spans="1:4" ht="25" x14ac:dyDescent="0.25">
      <c r="A16" s="46">
        <v>11</v>
      </c>
      <c r="B16" s="46" t="s">
        <v>1136</v>
      </c>
      <c r="C16" s="46" t="s">
        <v>1137</v>
      </c>
      <c r="D16" s="44"/>
    </row>
    <row r="17" spans="1:6" ht="13" x14ac:dyDescent="0.25">
      <c r="A17" s="46">
        <v>12</v>
      </c>
      <c r="B17" s="46" t="s">
        <v>1138</v>
      </c>
      <c r="C17" s="46" t="s">
        <v>1137</v>
      </c>
      <c r="D17" s="44"/>
    </row>
    <row r="20" spans="1:6" ht="13" x14ac:dyDescent="0.3">
      <c r="A20" s="103" t="s">
        <v>1139</v>
      </c>
      <c r="B20" s="104"/>
      <c r="C20" s="105"/>
      <c r="D20" s="105"/>
    </row>
    <row r="21" spans="1:6" x14ac:dyDescent="0.25">
      <c r="A21" s="104"/>
      <c r="B21" s="104"/>
      <c r="C21" s="105"/>
      <c r="D21" s="105"/>
    </row>
    <row r="22" spans="1:6" x14ac:dyDescent="0.25">
      <c r="A22" s="1" t="s">
        <v>1124</v>
      </c>
      <c r="B22" s="1" t="s">
        <v>1</v>
      </c>
      <c r="C22" s="1" t="s">
        <v>2</v>
      </c>
      <c r="D22" s="1" t="s">
        <v>1140</v>
      </c>
      <c r="F22" s="109"/>
    </row>
    <row r="23" spans="1:6" x14ac:dyDescent="0.25">
      <c r="A23" s="107"/>
      <c r="B23" s="107"/>
      <c r="C23" s="108"/>
      <c r="D23" s="108" t="s">
        <v>6</v>
      </c>
    </row>
    <row r="24" spans="1:6" ht="13" x14ac:dyDescent="0.25">
      <c r="A24" s="110" t="s">
        <v>1141</v>
      </c>
      <c r="B24" s="110"/>
      <c r="C24" s="110"/>
      <c r="D24" s="81"/>
      <c r="E24" s="111"/>
    </row>
    <row r="25" spans="1:6" x14ac:dyDescent="0.25">
      <c r="A25" s="84">
        <v>1</v>
      </c>
      <c r="B25" s="9" t="s">
        <v>1142</v>
      </c>
      <c r="C25" s="11" t="s">
        <v>54</v>
      </c>
      <c r="D25" s="105"/>
      <c r="E25" s="77"/>
    </row>
    <row r="26" spans="1:6" x14ac:dyDescent="0.25">
      <c r="A26" s="84">
        <v>2</v>
      </c>
      <c r="B26" s="9" t="s">
        <v>1143</v>
      </c>
      <c r="C26" s="11" t="s">
        <v>54</v>
      </c>
      <c r="D26" s="105"/>
      <c r="E26" s="77"/>
    </row>
    <row r="27" spans="1:6" x14ac:dyDescent="0.25">
      <c r="A27" s="84">
        <v>3</v>
      </c>
      <c r="B27" s="9" t="s">
        <v>1144</v>
      </c>
      <c r="C27" s="11" t="s">
        <v>54</v>
      </c>
      <c r="D27" s="105"/>
      <c r="E27" s="77"/>
    </row>
    <row r="28" spans="1:6" x14ac:dyDescent="0.25">
      <c r="A28" s="46">
        <v>4</v>
      </c>
      <c r="B28" s="9" t="s">
        <v>516</v>
      </c>
      <c r="C28" s="11" t="s">
        <v>54</v>
      </c>
      <c r="D28" s="105"/>
      <c r="E28" s="77"/>
    </row>
    <row r="29" spans="1:6" x14ac:dyDescent="0.25">
      <c r="A29" s="46">
        <v>5</v>
      </c>
      <c r="B29" s="9" t="s">
        <v>1145</v>
      </c>
      <c r="C29" s="11" t="s">
        <v>54</v>
      </c>
      <c r="D29" s="105"/>
      <c r="E29" s="77"/>
    </row>
    <row r="30" spans="1:6" x14ac:dyDescent="0.25">
      <c r="A30" s="84">
        <v>6</v>
      </c>
      <c r="B30" s="9" t="s">
        <v>1146</v>
      </c>
      <c r="C30" s="11" t="s">
        <v>54</v>
      </c>
      <c r="D30" s="105"/>
      <c r="E30" s="77"/>
    </row>
    <row r="31" spans="1:6" x14ac:dyDescent="0.25">
      <c r="A31" s="84">
        <v>7</v>
      </c>
      <c r="B31" s="9" t="s">
        <v>1147</v>
      </c>
      <c r="C31" s="11" t="s">
        <v>54</v>
      </c>
      <c r="D31" s="105"/>
      <c r="E31" s="77"/>
    </row>
    <row r="32" spans="1:6" x14ac:dyDescent="0.25">
      <c r="A32" s="84">
        <v>8</v>
      </c>
      <c r="B32" s="9" t="s">
        <v>1148</v>
      </c>
      <c r="C32" s="11" t="s">
        <v>54</v>
      </c>
      <c r="D32" s="105"/>
      <c r="E32" s="77"/>
    </row>
    <row r="33" spans="1:5" x14ac:dyDescent="0.25">
      <c r="A33" s="46">
        <v>9</v>
      </c>
      <c r="B33" s="46" t="s">
        <v>531</v>
      </c>
      <c r="C33" s="86" t="s">
        <v>54</v>
      </c>
      <c r="D33" s="105"/>
      <c r="E33" s="77"/>
    </row>
    <row r="34" spans="1:5" ht="25" x14ac:dyDescent="0.25">
      <c r="A34" s="46">
        <v>10</v>
      </c>
      <c r="B34" s="46" t="s">
        <v>1149</v>
      </c>
      <c r="C34" s="86" t="s">
        <v>54</v>
      </c>
      <c r="D34" s="105"/>
      <c r="E34" s="77"/>
    </row>
    <row r="35" spans="1:5" ht="13" x14ac:dyDescent="0.25">
      <c r="A35" s="110" t="s">
        <v>1150</v>
      </c>
      <c r="B35" s="110"/>
      <c r="C35" s="110"/>
      <c r="D35" s="81"/>
      <c r="E35" s="111"/>
    </row>
    <row r="36" spans="1:5" x14ac:dyDescent="0.25">
      <c r="A36" s="46">
        <v>13</v>
      </c>
      <c r="B36" s="46" t="s">
        <v>1151</v>
      </c>
      <c r="C36" s="86" t="s">
        <v>54</v>
      </c>
      <c r="D36" s="105"/>
      <c r="E36" s="77"/>
    </row>
    <row r="37" spans="1:5" x14ac:dyDescent="0.25">
      <c r="A37" s="46">
        <v>14</v>
      </c>
      <c r="B37" s="46" t="s">
        <v>1152</v>
      </c>
      <c r="C37" s="86" t="s">
        <v>54</v>
      </c>
      <c r="D37" s="105"/>
      <c r="E37" s="77"/>
    </row>
    <row r="38" spans="1:5" x14ac:dyDescent="0.25">
      <c r="A38" s="46">
        <v>15</v>
      </c>
      <c r="B38" s="46" t="s">
        <v>531</v>
      </c>
      <c r="C38" s="86" t="s">
        <v>54</v>
      </c>
      <c r="D38" s="105"/>
      <c r="E38" s="77"/>
    </row>
    <row r="39" spans="1:5" x14ac:dyDescent="0.25">
      <c r="A39" s="9">
        <v>16</v>
      </c>
      <c r="B39" s="9" t="s">
        <v>1153</v>
      </c>
      <c r="C39" s="11" t="s">
        <v>54</v>
      </c>
      <c r="D39" s="105"/>
      <c r="E39" s="77"/>
    </row>
    <row r="40" spans="1:5" ht="29.25" customHeight="1" x14ac:dyDescent="0.25">
      <c r="A40" s="112" t="s">
        <v>1154</v>
      </c>
      <c r="B40" s="113"/>
      <c r="C40" s="113"/>
      <c r="D40" s="114"/>
      <c r="E40" s="115"/>
    </row>
  </sheetData>
  <pageMargins left="0.62992125984251968" right="0.62992125984251968" top="1.1417322834645669" bottom="0.74803149606299213" header="0.31496062992125984" footer="0.31496062992125984"/>
  <pageSetup paperSize="9" scale="96" orientation="portrait" r:id="rId1"/>
  <headerFooter>
    <oddHeader>&amp;L&amp;G&amp;C&amp;G&amp;R&amp;G</oddHeader>
    <oddFooter>&amp;L&amp;F</oddFooter>
    <firstHeader>&amp;L&amp;G&amp;C&amp;F&amp;R&amp;G</first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D08CF47C7269949B7D99D78FDE76BCC" ma:contentTypeVersion="13" ma:contentTypeDescription="Create a new document." ma:contentTypeScope="" ma:versionID="a4c5e6e9a1fadb911b62367bc0b6b97b">
  <xsd:schema xmlns:xsd="http://www.w3.org/2001/XMLSchema" xmlns:xs="http://www.w3.org/2001/XMLSchema" xmlns:p="http://schemas.microsoft.com/office/2006/metadata/properties" xmlns:ns3="82112050-31ba-4fd7-96e1-fcd22513e703" xmlns:ns4="742e0f04-3de1-44b9-9e25-16ae0042652f" targetNamespace="http://schemas.microsoft.com/office/2006/metadata/properties" ma:root="true" ma:fieldsID="62205c0e397eb6aec0af59dc0d704896" ns3:_="" ns4:_="">
    <xsd:import namespace="82112050-31ba-4fd7-96e1-fcd22513e703"/>
    <xsd:import namespace="742e0f04-3de1-44b9-9e25-16ae0042652f"/>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12050-31ba-4fd7-96e1-fcd22513e7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42e0f04-3de1-44b9-9e25-16ae0042652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A19B58-F10C-4A0A-98E6-078E76F76C66}">
  <ds:schemaRefs>
    <ds:schemaRef ds:uri="http://schemas.microsoft.com/sharepoint/v3/contenttype/forms"/>
  </ds:schemaRefs>
</ds:datastoreItem>
</file>

<file path=customXml/itemProps2.xml><?xml version="1.0" encoding="utf-8"?>
<ds:datastoreItem xmlns:ds="http://schemas.openxmlformats.org/officeDocument/2006/customXml" ds:itemID="{07CB3634-2DDA-4273-9214-74FF4B2B6DF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742e0f04-3de1-44b9-9e25-16ae0042652f"/>
    <ds:schemaRef ds:uri="82112050-31ba-4fd7-96e1-fcd22513e703"/>
    <ds:schemaRef ds:uri="http://www.w3.org/XML/1998/namespace"/>
    <ds:schemaRef ds:uri="http://purl.org/dc/dcmitype/"/>
  </ds:schemaRefs>
</ds:datastoreItem>
</file>

<file path=customXml/itemProps3.xml><?xml version="1.0" encoding="utf-8"?>
<ds:datastoreItem xmlns:ds="http://schemas.openxmlformats.org/officeDocument/2006/customXml" ds:itemID="{366F6F4C-EB31-47C9-BACB-B2F772019D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112050-31ba-4fd7-96e1-fcd22513e703"/>
    <ds:schemaRef ds:uri="742e0f04-3de1-44b9-9e25-16ae004265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27</vt:i4>
      </vt:variant>
    </vt:vector>
  </HeadingPairs>
  <TitlesOfParts>
    <vt:vector size="44" baseType="lpstr">
      <vt:lpstr>Section A</vt:lpstr>
      <vt:lpstr>Section B</vt:lpstr>
      <vt:lpstr>Section B.1</vt:lpstr>
      <vt:lpstr>Section C</vt:lpstr>
      <vt:lpstr>Section C.1</vt:lpstr>
      <vt:lpstr>Section D</vt:lpstr>
      <vt:lpstr>Section E</vt:lpstr>
      <vt:lpstr>Section F</vt:lpstr>
      <vt:lpstr>Section G</vt:lpstr>
      <vt:lpstr>Section H</vt:lpstr>
      <vt:lpstr>Section I</vt:lpstr>
      <vt:lpstr>Section J</vt:lpstr>
      <vt:lpstr>Section K</vt:lpstr>
      <vt:lpstr>Section L</vt:lpstr>
      <vt:lpstr>Section M - Structure Survey</vt:lpstr>
      <vt:lpstr>Summary</vt:lpstr>
      <vt:lpstr>Appendices</vt:lpstr>
      <vt:lpstr>'Section A'!Print_Area</vt:lpstr>
      <vt:lpstr>'Section B'!Print_Area</vt:lpstr>
      <vt:lpstr>'Section B.1'!Print_Area</vt:lpstr>
      <vt:lpstr>'Section C'!Print_Area</vt:lpstr>
      <vt:lpstr>'Section C.1'!Print_Area</vt:lpstr>
      <vt:lpstr>'Section D'!Print_Area</vt:lpstr>
      <vt:lpstr>'Section E'!Print_Area</vt:lpstr>
      <vt:lpstr>'Section H'!Print_Area</vt:lpstr>
      <vt:lpstr>'Section I'!Print_Area</vt:lpstr>
      <vt:lpstr>'Section J'!Print_Area</vt:lpstr>
      <vt:lpstr>'Section K'!Print_Area</vt:lpstr>
      <vt:lpstr>'Section L'!Print_Area</vt:lpstr>
      <vt:lpstr>'Section M - Structure Survey'!Print_Area</vt:lpstr>
      <vt:lpstr>Summary!Print_Area</vt:lpstr>
      <vt:lpstr>'Section A'!Print_Titles</vt:lpstr>
      <vt:lpstr>'Section B'!Print_Titles</vt:lpstr>
      <vt:lpstr>'Section B.1'!Print_Titles</vt:lpstr>
      <vt:lpstr>'Section C'!Print_Titles</vt:lpstr>
      <vt:lpstr>'Section C.1'!Print_Titles</vt:lpstr>
      <vt:lpstr>'Section D'!Print_Titles</vt:lpstr>
      <vt:lpstr>'Section E'!Print_Titles</vt:lpstr>
      <vt:lpstr>'Section F'!Print_Titles</vt:lpstr>
      <vt:lpstr>'Section G'!Print_Titles</vt:lpstr>
      <vt:lpstr>'Section H'!Print_Titles</vt:lpstr>
      <vt:lpstr>'Section I'!Print_Titles</vt:lpstr>
      <vt:lpstr>'Section J'!Print_Titles</vt:lpstr>
      <vt:lpstr>'Section K'!Print_Titles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Phelan, David</dc:creator>
  <cp:lastModifiedBy>Griffin, Neal</cp:lastModifiedBy>
  <cp:lastPrinted>2020-12-21T16:31:21Z</cp:lastPrinted>
  <dcterms:created xsi:type="dcterms:W3CDTF">2019-07-23T08:39:33Z</dcterms:created>
  <dcterms:modified xsi:type="dcterms:W3CDTF">2021-04-27T17:10:14Z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RiskLevel">
    <vt:lpwstr/>
  </property>
  <property fmtid="{D5CDD505-2E9C-101B-9397-08002B2CF9AE}" pid="3" name="DocRiskLevelWizardText">
    <vt:lpwstr>Atkins Baseline</vt:lpwstr>
  </property>
  <property fmtid="{D5CDD505-2E9C-101B-9397-08002B2CF9AE}" pid="4" name="DocRiskLevelWizardMarker">
    <vt:lpwstr/>
  </property>
  <property fmtid="{D5CDD505-2E9C-101B-9397-08002B2CF9AE}" pid="5" name="ContentTypeId">
    <vt:lpwstr>0x0101009D08CF47C7269949B7D99D78FDE76BCC</vt:lpwstr>
  </property>
</Properties>
</file>