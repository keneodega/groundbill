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P:\IEDBA\Data5000\GEOTECH\Geotech Master Files\Master GI Documents\BOQ\Master BOQ\All Jobs\"/>
    </mc:Choice>
  </mc:AlternateContent>
  <xr:revisionPtr revIDLastSave="0" documentId="13_ncr:1_{856F2DB7-26EB-442F-A7A5-3179D29A0987}" xr6:coauthVersionLast="47" xr6:coauthVersionMax="47" xr10:uidLastSave="{00000000-0000-0000-0000-000000000000}"/>
  <bookViews>
    <workbookView xWindow="11025" yWindow="-12510" windowWidth="17250" windowHeight="8970" tabRatio="779" activeTab="4" xr2:uid="{F3FE9E36-60CE-4141-BE7E-F84A88D36CC1}"/>
  </bookViews>
  <sheets>
    <sheet name="Section A" sheetId="2" r:id="rId1"/>
    <sheet name="Section B" sheetId="3" r:id="rId2"/>
    <sheet name="Section C" sheetId="4" r:id="rId3"/>
    <sheet name="Section D" sheetId="5" r:id="rId4"/>
    <sheet name="Section E" sheetId="6" r:id="rId5"/>
    <sheet name="Section F" sheetId="7" r:id="rId6"/>
    <sheet name="Section G" sheetId="8" r:id="rId7"/>
    <sheet name="Section H" sheetId="9" r:id="rId8"/>
    <sheet name="Section I" sheetId="10" r:id="rId9"/>
    <sheet name="Section J" sheetId="11" r:id="rId10"/>
    <sheet name="Section K" sheetId="12" r:id="rId11"/>
    <sheet name="Section L" sheetId="13" r:id="rId12"/>
    <sheet name="Summary" sheetId="14" r:id="rId13"/>
    <sheet name="Appendices" sheetId="15" r:id="rId14"/>
  </sheets>
  <externalReferences>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2" l="1"/>
  <c r="E21" i="2"/>
  <c r="E20" i="2"/>
  <c r="E19" i="2"/>
  <c r="E18" i="2"/>
  <c r="E17" i="2"/>
  <c r="E16" i="2"/>
  <c r="E15" i="2"/>
  <c r="E14" i="2"/>
  <c r="E13" i="2"/>
  <c r="E12" i="2"/>
  <c r="E11" i="2"/>
  <c r="E26" i="2"/>
  <c r="E24" i="2"/>
  <c r="E23" i="2"/>
  <c r="E25" i="2"/>
  <c r="E37" i="2"/>
  <c r="E38" i="2"/>
  <c r="E39" i="2"/>
  <c r="E40" i="2"/>
  <c r="E41" i="2"/>
  <c r="E42" i="2"/>
  <c r="E43" i="2"/>
  <c r="E44" i="2"/>
  <c r="E45" i="2"/>
  <c r="E46" i="2"/>
  <c r="E47" i="2"/>
  <c r="E48" i="2"/>
  <c r="E49" i="2"/>
  <c r="E50" i="2"/>
  <c r="E51" i="2"/>
  <c r="E52" i="2"/>
  <c r="E53" i="2"/>
  <c r="E54" i="2"/>
  <c r="E55" i="2"/>
  <c r="E56" i="2"/>
  <c r="E57" i="2"/>
  <c r="E58" i="2"/>
  <c r="E59" i="2"/>
  <c r="E60" i="2"/>
  <c r="E32" i="2"/>
  <c r="E33" i="2"/>
  <c r="E34" i="2"/>
  <c r="E35" i="2"/>
  <c r="E36" i="2"/>
  <c r="E66" i="2"/>
  <c r="E67" i="2"/>
  <c r="E68" i="2"/>
  <c r="E69" i="2"/>
  <c r="E70" i="2"/>
  <c r="E71" i="2"/>
  <c r="E62" i="2"/>
  <c r="E63" i="2"/>
  <c r="E64" i="2"/>
  <c r="E65" i="2"/>
  <c r="E61" i="2"/>
  <c r="D66" i="4"/>
  <c r="D67" i="4"/>
  <c r="D59" i="4"/>
  <c r="D60" i="4"/>
  <c r="D50" i="4"/>
  <c r="D51" i="4"/>
  <c r="D44" i="4"/>
  <c r="D45" i="4"/>
  <c r="D38" i="4"/>
  <c r="D35" i="4"/>
  <c r="D36" i="4" l="1"/>
  <c r="D34" i="4"/>
  <c r="D37" i="4" l="1"/>
  <c r="E17" i="13" l="1"/>
  <c r="E13" i="13"/>
  <c r="E14" i="13"/>
  <c r="E125" i="12"/>
  <c r="E126" i="12"/>
  <c r="E120" i="12"/>
  <c r="E121" i="12"/>
  <c r="E122" i="12"/>
  <c r="E123"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83" i="12"/>
  <c r="E84" i="12"/>
  <c r="E85" i="12"/>
  <c r="E86" i="12"/>
  <c r="E87" i="12"/>
  <c r="E88" i="12"/>
  <c r="E89" i="12"/>
  <c r="E90" i="12"/>
  <c r="E91" i="12"/>
  <c r="E92" i="12"/>
  <c r="E93" i="12"/>
  <c r="E64" i="12"/>
  <c r="E65" i="12"/>
  <c r="E66" i="12"/>
  <c r="E67" i="12"/>
  <c r="E68" i="12"/>
  <c r="E69" i="12"/>
  <c r="E70" i="12"/>
  <c r="E71" i="12"/>
  <c r="E72" i="12"/>
  <c r="E73" i="12"/>
  <c r="E74" i="12"/>
  <c r="E75" i="12"/>
  <c r="E76" i="12"/>
  <c r="E77" i="12"/>
  <c r="E78" i="12"/>
  <c r="E79" i="12"/>
  <c r="E80" i="12"/>
  <c r="E81" i="12"/>
  <c r="E82" i="12"/>
  <c r="E56" i="12"/>
  <c r="E57" i="12"/>
  <c r="E58" i="12"/>
  <c r="E59" i="12"/>
  <c r="E60" i="12"/>
  <c r="E61" i="12"/>
  <c r="E62" i="12"/>
  <c r="E51" i="12"/>
  <c r="E52" i="12"/>
  <c r="E53" i="12"/>
  <c r="E54" i="12"/>
  <c r="E55" i="12"/>
  <c r="E46" i="12"/>
  <c r="E47" i="12"/>
  <c r="E48" i="12"/>
  <c r="E40" i="12"/>
  <c r="E41" i="12"/>
  <c r="E42" i="12"/>
  <c r="E43" i="12"/>
  <c r="E44" i="12"/>
  <c r="E45" i="12"/>
  <c r="E36" i="12"/>
  <c r="E37" i="12"/>
  <c r="E25" i="12"/>
  <c r="E26" i="12"/>
  <c r="E27" i="12"/>
  <c r="E28" i="12"/>
  <c r="E29" i="12"/>
  <c r="E30" i="12"/>
  <c r="E31" i="12"/>
  <c r="E32" i="12"/>
  <c r="E33" i="12"/>
  <c r="E34" i="12"/>
  <c r="E13" i="12"/>
  <c r="E14" i="12"/>
  <c r="E15" i="12"/>
  <c r="E16" i="12"/>
  <c r="E17" i="12"/>
  <c r="E18" i="12"/>
  <c r="E20" i="12"/>
  <c r="E21" i="12"/>
  <c r="E22" i="8"/>
  <c r="E12" i="8"/>
  <c r="E13" i="8"/>
  <c r="E14" i="8"/>
  <c r="E15" i="8"/>
  <c r="E16" i="8"/>
  <c r="E17" i="8"/>
  <c r="E18" i="8"/>
  <c r="E19" i="8"/>
  <c r="E57" i="9"/>
  <c r="E58" i="9"/>
  <c r="E59" i="9"/>
  <c r="E53" i="9"/>
  <c r="E54" i="9"/>
  <c r="E44" i="9"/>
  <c r="E45" i="9"/>
  <c r="E46" i="9"/>
  <c r="E48" i="9"/>
  <c r="E34" i="9"/>
  <c r="E35" i="9"/>
  <c r="E36" i="9"/>
  <c r="E37" i="9"/>
  <c r="E38" i="9"/>
  <c r="E39" i="9"/>
  <c r="E40" i="9"/>
  <c r="E19" i="9"/>
  <c r="E20" i="9"/>
  <c r="E21" i="9"/>
  <c r="E22" i="9"/>
  <c r="E23" i="9"/>
  <c r="E24" i="9"/>
  <c r="E25" i="9"/>
  <c r="E27" i="9"/>
  <c r="E28" i="9"/>
  <c r="E11" i="8" l="1"/>
  <c r="E21" i="5" l="1"/>
  <c r="E18" i="5"/>
  <c r="F61" i="2"/>
  <c r="D36" i="2"/>
  <c r="D35" i="2"/>
  <c r="D60" i="9"/>
  <c r="D29" i="9"/>
  <c r="E29" i="9" s="1"/>
  <c r="D67" i="5"/>
  <c r="D20" i="5"/>
  <c r="D19" i="5"/>
  <c r="D15" i="5"/>
  <c r="E60" i="9" l="1"/>
  <c r="F60" i="9" s="1"/>
  <c r="E19" i="5"/>
  <c r="E15" i="5"/>
  <c r="E20" i="5"/>
  <c r="C18" i="14"/>
  <c r="F17" i="13"/>
  <c r="F16" i="13"/>
  <c r="E16" i="13"/>
  <c r="D15" i="13"/>
  <c r="F14" i="13"/>
  <c r="F13" i="13"/>
  <c r="F12" i="13"/>
  <c r="E12" i="13"/>
  <c r="D11" i="13"/>
  <c r="F126" i="12"/>
  <c r="F125" i="12"/>
  <c r="F124" i="12"/>
  <c r="E124" i="12"/>
  <c r="F122" i="12"/>
  <c r="F121" i="12"/>
  <c r="F120" i="12"/>
  <c r="F119" i="12"/>
  <c r="E119" i="12"/>
  <c r="F118" i="12"/>
  <c r="F117" i="12"/>
  <c r="F116" i="12"/>
  <c r="F115" i="12"/>
  <c r="F114" i="12"/>
  <c r="F113" i="12"/>
  <c r="F112" i="12"/>
  <c r="F111" i="12"/>
  <c r="F110" i="12"/>
  <c r="F109" i="12"/>
  <c r="F108" i="12"/>
  <c r="F107" i="12"/>
  <c r="F106" i="12"/>
  <c r="F105" i="12"/>
  <c r="F104" i="12"/>
  <c r="F103" i="12"/>
  <c r="F102" i="12"/>
  <c r="F100" i="12"/>
  <c r="F99" i="12"/>
  <c r="F98" i="12"/>
  <c r="F97" i="12"/>
  <c r="F96" i="12"/>
  <c r="F95" i="12"/>
  <c r="E95" i="12"/>
  <c r="F93" i="12"/>
  <c r="F92" i="12"/>
  <c r="F91" i="12"/>
  <c r="F90" i="12"/>
  <c r="F89" i="12"/>
  <c r="F88" i="12"/>
  <c r="F87" i="12"/>
  <c r="F86" i="12"/>
  <c r="F85" i="12"/>
  <c r="F84" i="12"/>
  <c r="F83" i="12"/>
  <c r="F82" i="12"/>
  <c r="F81" i="12"/>
  <c r="F80" i="12"/>
  <c r="F79" i="12"/>
  <c r="F78" i="12"/>
  <c r="F77" i="12"/>
  <c r="F75" i="12"/>
  <c r="F74" i="12"/>
  <c r="F73" i="12"/>
  <c r="F72" i="12"/>
  <c r="F71" i="12"/>
  <c r="F70" i="12"/>
  <c r="F69" i="12"/>
  <c r="F68" i="12"/>
  <c r="F67" i="12"/>
  <c r="F66" i="12"/>
  <c r="F65" i="12"/>
  <c r="F64" i="12"/>
  <c r="F63" i="12"/>
  <c r="E63" i="12"/>
  <c r="F62" i="12"/>
  <c r="F61" i="12"/>
  <c r="F60" i="12"/>
  <c r="F59" i="12"/>
  <c r="F58" i="12"/>
  <c r="F57" i="12"/>
  <c r="F56" i="12"/>
  <c r="F55" i="12"/>
  <c r="F54" i="12"/>
  <c r="F53" i="12"/>
  <c r="F52" i="12"/>
  <c r="F51" i="12"/>
  <c r="F50" i="12"/>
  <c r="E50" i="12"/>
  <c r="F48" i="12"/>
  <c r="F47" i="12"/>
  <c r="F46" i="12"/>
  <c r="F45" i="12"/>
  <c r="F44" i="12"/>
  <c r="F43" i="12"/>
  <c r="F42" i="12"/>
  <c r="F41" i="12"/>
  <c r="F40" i="12"/>
  <c r="F39" i="12"/>
  <c r="E39" i="12"/>
  <c r="F37" i="12"/>
  <c r="F36" i="12"/>
  <c r="F35" i="12"/>
  <c r="E35" i="12"/>
  <c r="F34" i="12"/>
  <c r="F33" i="12"/>
  <c r="F32" i="12"/>
  <c r="F31" i="12"/>
  <c r="F30" i="12"/>
  <c r="F29" i="12"/>
  <c r="F28" i="12"/>
  <c r="F27" i="12"/>
  <c r="F26" i="12"/>
  <c r="F25" i="12"/>
  <c r="F24" i="12"/>
  <c r="E24" i="12"/>
  <c r="F21" i="12"/>
  <c r="F20" i="12"/>
  <c r="F18" i="12"/>
  <c r="F17" i="12"/>
  <c r="F16" i="12"/>
  <c r="F15" i="12"/>
  <c r="F14" i="12"/>
  <c r="F13" i="12"/>
  <c r="F37" i="11"/>
  <c r="F36" i="11"/>
  <c r="E36" i="11"/>
  <c r="F35" i="11"/>
  <c r="E35" i="11"/>
  <c r="F34" i="11"/>
  <c r="E34" i="11"/>
  <c r="F33" i="11"/>
  <c r="E33" i="11"/>
  <c r="F31" i="11"/>
  <c r="E31" i="11"/>
  <c r="F30" i="11"/>
  <c r="E30" i="11"/>
  <c r="F29" i="11"/>
  <c r="E29" i="11"/>
  <c r="F28" i="11"/>
  <c r="E28" i="11"/>
  <c r="F27" i="11"/>
  <c r="E27" i="11"/>
  <c r="F26" i="11"/>
  <c r="E26" i="11"/>
  <c r="F25" i="11"/>
  <c r="E25" i="11"/>
  <c r="F24" i="11"/>
  <c r="E24" i="11"/>
  <c r="F23" i="11"/>
  <c r="E23" i="11"/>
  <c r="F22" i="11"/>
  <c r="E22" i="11"/>
  <c r="F21" i="11"/>
  <c r="E21" i="11"/>
  <c r="F20" i="11"/>
  <c r="E20" i="11"/>
  <c r="F19" i="11"/>
  <c r="E19" i="11"/>
  <c r="F17" i="11"/>
  <c r="E17" i="11"/>
  <c r="F16" i="11"/>
  <c r="E16" i="11"/>
  <c r="F15" i="11"/>
  <c r="E15" i="11"/>
  <c r="F14" i="11"/>
  <c r="E14" i="11"/>
  <c r="F13" i="11"/>
  <c r="E13" i="11"/>
  <c r="F12" i="11"/>
  <c r="E12" i="11"/>
  <c r="F11" i="11"/>
  <c r="E11" i="11"/>
  <c r="F10" i="11"/>
  <c r="E10" i="11"/>
  <c r="F48" i="10"/>
  <c r="E48" i="10"/>
  <c r="F47" i="10"/>
  <c r="E47" i="10"/>
  <c r="F46" i="10"/>
  <c r="E46" i="10"/>
  <c r="F45" i="10"/>
  <c r="E45" i="10"/>
  <c r="F43" i="10"/>
  <c r="E43" i="10"/>
  <c r="F42" i="10"/>
  <c r="E42" i="10"/>
  <c r="F41" i="10"/>
  <c r="E41" i="10"/>
  <c r="F40" i="10"/>
  <c r="E40" i="10"/>
  <c r="F39" i="10"/>
  <c r="E39" i="10"/>
  <c r="F37" i="10"/>
  <c r="E37" i="10"/>
  <c r="F36" i="10"/>
  <c r="E36" i="10"/>
  <c r="F35" i="10"/>
  <c r="E35" i="10"/>
  <c r="F34" i="10"/>
  <c r="E34" i="10"/>
  <c r="F33" i="10"/>
  <c r="E33" i="10"/>
  <c r="F32" i="10"/>
  <c r="E32" i="10"/>
  <c r="F28" i="10"/>
  <c r="E28" i="10"/>
  <c r="F25" i="10"/>
  <c r="E25" i="10"/>
  <c r="D24" i="10"/>
  <c r="F23" i="10"/>
  <c r="E23" i="10"/>
  <c r="F22" i="10"/>
  <c r="E22" i="10"/>
  <c r="F21" i="10"/>
  <c r="E21" i="10"/>
  <c r="F20" i="10"/>
  <c r="E20" i="10"/>
  <c r="D19" i="10"/>
  <c r="D15" i="10"/>
  <c r="D13" i="10"/>
  <c r="D12" i="10"/>
  <c r="F67" i="9"/>
  <c r="F66" i="9"/>
  <c r="F65" i="9"/>
  <c r="F64" i="9"/>
  <c r="F63" i="9"/>
  <c r="F62" i="9"/>
  <c r="F59" i="9"/>
  <c r="F58" i="9"/>
  <c r="F57" i="9"/>
  <c r="D56" i="9"/>
  <c r="F54" i="9"/>
  <c r="F53" i="9"/>
  <c r="F52" i="9"/>
  <c r="E52" i="9"/>
  <c r="D50" i="9"/>
  <c r="D49" i="9"/>
  <c r="F48" i="9"/>
  <c r="D47" i="9"/>
  <c r="F46" i="9"/>
  <c r="F45" i="9"/>
  <c r="F44" i="9"/>
  <c r="D43" i="9"/>
  <c r="F40" i="9"/>
  <c r="F39" i="9"/>
  <c r="F38" i="9"/>
  <c r="F37" i="9"/>
  <c r="F36" i="9"/>
  <c r="F35" i="9"/>
  <c r="F34" i="9"/>
  <c r="F33" i="9"/>
  <c r="E33" i="9"/>
  <c r="F31" i="9"/>
  <c r="E31" i="9"/>
  <c r="F29" i="9"/>
  <c r="F28" i="9"/>
  <c r="F27" i="9"/>
  <c r="D26" i="9"/>
  <c r="F25" i="9"/>
  <c r="F24" i="9"/>
  <c r="F23" i="9"/>
  <c r="F22" i="9"/>
  <c r="F21" i="9"/>
  <c r="F20" i="9"/>
  <c r="F19" i="9"/>
  <c r="D18" i="9"/>
  <c r="E18" i="9" s="1"/>
  <c r="D17" i="9"/>
  <c r="D13" i="9"/>
  <c r="F24" i="8"/>
  <c r="E24" i="8"/>
  <c r="F22" i="8"/>
  <c r="F21" i="8"/>
  <c r="E21" i="8"/>
  <c r="F19" i="8"/>
  <c r="F18" i="8"/>
  <c r="F17" i="8"/>
  <c r="F16" i="8"/>
  <c r="F15" i="8"/>
  <c r="F14" i="8"/>
  <c r="F13" i="8"/>
  <c r="F12" i="8"/>
  <c r="F11" i="8"/>
  <c r="F33" i="7"/>
  <c r="E33" i="7"/>
  <c r="F32" i="7"/>
  <c r="E32" i="7"/>
  <c r="F31" i="7"/>
  <c r="E31" i="7"/>
  <c r="F30" i="7"/>
  <c r="E30" i="7"/>
  <c r="D29" i="7"/>
  <c r="F29" i="7" s="1"/>
  <c r="F28" i="7"/>
  <c r="E28" i="7"/>
  <c r="F27" i="7"/>
  <c r="E27" i="7"/>
  <c r="F26" i="7"/>
  <c r="E26" i="7"/>
  <c r="F25" i="7"/>
  <c r="E25" i="7"/>
  <c r="D24" i="7"/>
  <c r="E24" i="7" s="1"/>
  <c r="D23" i="7"/>
  <c r="F23" i="7" s="1"/>
  <c r="D22" i="7"/>
  <c r="E22" i="7" s="1"/>
  <c r="D21" i="7"/>
  <c r="F21" i="7" s="1"/>
  <c r="D20" i="7"/>
  <c r="E20" i="7" s="1"/>
  <c r="D19" i="7"/>
  <c r="F19" i="7" s="1"/>
  <c r="F17" i="7"/>
  <c r="E17" i="7"/>
  <c r="D16" i="7"/>
  <c r="F16" i="7" s="1"/>
  <c r="D15" i="7"/>
  <c r="F15" i="7" s="1"/>
  <c r="D14" i="7"/>
  <c r="F14" i="7" s="1"/>
  <c r="D13" i="7"/>
  <c r="F13" i="7" s="1"/>
  <c r="D12" i="7"/>
  <c r="E12" i="7" s="1"/>
  <c r="D11" i="7"/>
  <c r="F11" i="7" s="1"/>
  <c r="F30" i="6"/>
  <c r="E30" i="6"/>
  <c r="D29" i="6"/>
  <c r="F28" i="6"/>
  <c r="E28" i="6"/>
  <c r="F27" i="6"/>
  <c r="E27" i="6"/>
  <c r="F26" i="6"/>
  <c r="E26" i="6"/>
  <c r="D25" i="6"/>
  <c r="F23" i="6"/>
  <c r="E23" i="6"/>
  <c r="F22" i="6"/>
  <c r="E22" i="6"/>
  <c r="F21" i="6"/>
  <c r="E21" i="6"/>
  <c r="F20" i="6"/>
  <c r="E20" i="6"/>
  <c r="F17" i="6"/>
  <c r="E17" i="6"/>
  <c r="F11" i="6"/>
  <c r="E11" i="6"/>
  <c r="F74" i="5"/>
  <c r="E74" i="5"/>
  <c r="F73" i="5"/>
  <c r="E73" i="5"/>
  <c r="F71" i="5"/>
  <c r="E71" i="5"/>
  <c r="F69" i="5"/>
  <c r="E69" i="5"/>
  <c r="F68" i="5"/>
  <c r="E68" i="5"/>
  <c r="F67" i="5"/>
  <c r="E67" i="5"/>
  <c r="F65" i="5"/>
  <c r="E65" i="5"/>
  <c r="F64" i="5"/>
  <c r="E64" i="5"/>
  <c r="F63" i="5"/>
  <c r="E63" i="5"/>
  <c r="F62" i="5"/>
  <c r="E62" i="5"/>
  <c r="F61" i="5"/>
  <c r="E61" i="5"/>
  <c r="F59" i="5"/>
  <c r="E59" i="5"/>
  <c r="F58" i="5"/>
  <c r="E58" i="5"/>
  <c r="F57" i="5"/>
  <c r="E57" i="5"/>
  <c r="F56" i="5"/>
  <c r="E56" i="5"/>
  <c r="F55" i="5"/>
  <c r="E55" i="5"/>
  <c r="F54" i="5"/>
  <c r="E54" i="5"/>
  <c r="F53" i="5"/>
  <c r="E53" i="5"/>
  <c r="F52" i="5"/>
  <c r="E52" i="5"/>
  <c r="F50" i="5"/>
  <c r="E50" i="5"/>
  <c r="F49" i="5"/>
  <c r="E49" i="5"/>
  <c r="F48" i="5"/>
  <c r="E48" i="5"/>
  <c r="F47" i="5"/>
  <c r="E47" i="5"/>
  <c r="F46" i="5"/>
  <c r="E46" i="5"/>
  <c r="F45" i="5"/>
  <c r="E45" i="5"/>
  <c r="F44" i="5"/>
  <c r="E44" i="5"/>
  <c r="F43" i="5"/>
  <c r="E43" i="5"/>
  <c r="F42" i="5"/>
  <c r="E42" i="5"/>
  <c r="F41" i="5"/>
  <c r="E41" i="5"/>
  <c r="F40" i="5"/>
  <c r="E40" i="5"/>
  <c r="F39" i="5"/>
  <c r="E39" i="5"/>
  <c r="F38" i="5"/>
  <c r="E38" i="5"/>
  <c r="F37" i="5"/>
  <c r="E37" i="5"/>
  <c r="F36" i="5"/>
  <c r="E36" i="5"/>
  <c r="D34" i="5"/>
  <c r="D33" i="5"/>
  <c r="E33" i="5" s="1"/>
  <c r="D32" i="5"/>
  <c r="E32" i="5" s="1"/>
  <c r="D27" i="5"/>
  <c r="F27" i="5" s="1"/>
  <c r="D26" i="5"/>
  <c r="F24" i="5"/>
  <c r="E24" i="5"/>
  <c r="D23" i="5"/>
  <c r="F23" i="5" s="1"/>
  <c r="D22" i="5"/>
  <c r="F22" i="5" s="1"/>
  <c r="F21" i="5"/>
  <c r="F20" i="5"/>
  <c r="F19" i="5"/>
  <c r="F18" i="5"/>
  <c r="D17" i="5"/>
  <c r="D16" i="5"/>
  <c r="F15" i="5"/>
  <c r="D13" i="5"/>
  <c r="F13" i="5" s="1"/>
  <c r="D12" i="5"/>
  <c r="E12" i="5" s="1"/>
  <c r="F111" i="4"/>
  <c r="E111" i="4"/>
  <c r="F110" i="4"/>
  <c r="E110" i="4"/>
  <c r="F109" i="4"/>
  <c r="E109" i="4"/>
  <c r="F108" i="4"/>
  <c r="E108" i="4"/>
  <c r="F107" i="4"/>
  <c r="E107" i="4"/>
  <c r="F105" i="4"/>
  <c r="E105" i="4"/>
  <c r="F104" i="4"/>
  <c r="E104" i="4"/>
  <c r="F103" i="4"/>
  <c r="E103" i="4"/>
  <c r="F102" i="4"/>
  <c r="E102" i="4"/>
  <c r="F101" i="4"/>
  <c r="E101" i="4"/>
  <c r="F99" i="4"/>
  <c r="E99" i="4"/>
  <c r="F98" i="4"/>
  <c r="E98" i="4"/>
  <c r="F97" i="4"/>
  <c r="E97" i="4"/>
  <c r="F96" i="4"/>
  <c r="E96" i="4"/>
  <c r="F95" i="4"/>
  <c r="E95" i="4"/>
  <c r="F94" i="4"/>
  <c r="E94" i="4"/>
  <c r="F93" i="4"/>
  <c r="E93" i="4"/>
  <c r="F92" i="4"/>
  <c r="E92" i="4"/>
  <c r="F91" i="4"/>
  <c r="E91" i="4"/>
  <c r="F90" i="4"/>
  <c r="E90" i="4"/>
  <c r="F89" i="4"/>
  <c r="E89" i="4"/>
  <c r="F88" i="4"/>
  <c r="E88" i="4"/>
  <c r="F86" i="4"/>
  <c r="E86" i="4"/>
  <c r="F85" i="4"/>
  <c r="E85" i="4"/>
  <c r="F84" i="4"/>
  <c r="E84" i="4"/>
  <c r="F83" i="4"/>
  <c r="E83" i="4"/>
  <c r="F82" i="4"/>
  <c r="E82" i="4"/>
  <c r="F81" i="4"/>
  <c r="E81" i="4"/>
  <c r="F79" i="4"/>
  <c r="E79" i="4"/>
  <c r="F78" i="4"/>
  <c r="E78" i="4"/>
  <c r="F77" i="4"/>
  <c r="E77" i="4"/>
  <c r="F76" i="4"/>
  <c r="E76" i="4"/>
  <c r="F75" i="4"/>
  <c r="E75" i="4"/>
  <c r="F74" i="4"/>
  <c r="E74" i="4"/>
  <c r="F73" i="4"/>
  <c r="E73" i="4"/>
  <c r="F72" i="4"/>
  <c r="E72" i="4"/>
  <c r="F71" i="4"/>
  <c r="E71" i="4"/>
  <c r="F69" i="4"/>
  <c r="E69" i="4"/>
  <c r="F68" i="4"/>
  <c r="E68" i="4"/>
  <c r="F67" i="4"/>
  <c r="E67" i="4"/>
  <c r="F66" i="4"/>
  <c r="E66" i="4"/>
  <c r="D65" i="4"/>
  <c r="F65" i="4" s="1"/>
  <c r="F60" i="4"/>
  <c r="E60" i="4"/>
  <c r="F59" i="4"/>
  <c r="E59" i="4"/>
  <c r="D58" i="4"/>
  <c r="E58" i="4" s="1"/>
  <c r="F52" i="4"/>
  <c r="E52" i="4"/>
  <c r="F51" i="4"/>
  <c r="E51" i="4"/>
  <c r="F50" i="4"/>
  <c r="F45" i="4"/>
  <c r="E45" i="4"/>
  <c r="F44" i="4"/>
  <c r="F38" i="4"/>
  <c r="F36" i="4"/>
  <c r="E36" i="4"/>
  <c r="F35" i="4"/>
  <c r="F34" i="4"/>
  <c r="D33" i="4"/>
  <c r="D32" i="4"/>
  <c r="D31" i="4"/>
  <c r="D30" i="4"/>
  <c r="D29" i="4"/>
  <c r="F28" i="4"/>
  <c r="E28" i="4"/>
  <c r="F26" i="4"/>
  <c r="E26" i="4"/>
  <c r="F25" i="4"/>
  <c r="E25" i="4"/>
  <c r="F24" i="4"/>
  <c r="E24" i="4"/>
  <c r="F23" i="4"/>
  <c r="E23" i="4"/>
  <c r="F22" i="4"/>
  <c r="E22" i="4"/>
  <c r="F21" i="4"/>
  <c r="E21" i="4"/>
  <c r="F20" i="4"/>
  <c r="E20" i="4"/>
  <c r="F19" i="4"/>
  <c r="E19" i="4"/>
  <c r="F18" i="4"/>
  <c r="E18" i="4"/>
  <c r="F16" i="4"/>
  <c r="E16" i="4"/>
  <c r="F15" i="4"/>
  <c r="E15" i="4"/>
  <c r="F14" i="4"/>
  <c r="E14" i="4"/>
  <c r="F13" i="4"/>
  <c r="E13" i="4"/>
  <c r="F12" i="4"/>
  <c r="E12" i="4"/>
  <c r="F11" i="4"/>
  <c r="E11" i="4"/>
  <c r="F44" i="3"/>
  <c r="E44" i="3"/>
  <c r="F43" i="3"/>
  <c r="E43" i="3"/>
  <c r="F42" i="3"/>
  <c r="E42" i="3"/>
  <c r="F41" i="3"/>
  <c r="E41" i="3"/>
  <c r="F40" i="3"/>
  <c r="E40" i="3"/>
  <c r="D38" i="3"/>
  <c r="F38" i="3" s="1"/>
  <c r="D37" i="3"/>
  <c r="F37" i="3" s="1"/>
  <c r="D36" i="3"/>
  <c r="F36" i="3" s="1"/>
  <c r="D35" i="3"/>
  <c r="E35" i="3" s="1"/>
  <c r="D34" i="3"/>
  <c r="F34" i="3" s="1"/>
  <c r="D33" i="3"/>
  <c r="F33" i="3" s="1"/>
  <c r="D32" i="3"/>
  <c r="F32" i="3" s="1"/>
  <c r="D31" i="3"/>
  <c r="F31" i="3" s="1"/>
  <c r="D30" i="3"/>
  <c r="F30" i="3" s="1"/>
  <c r="D28" i="3"/>
  <c r="E27" i="3"/>
  <c r="F27" i="3" s="1"/>
  <c r="E26" i="3"/>
  <c r="F26" i="3" s="1"/>
  <c r="D25" i="3"/>
  <c r="D24" i="3"/>
  <c r="E24" i="3" s="1"/>
  <c r="F24" i="3" s="1"/>
  <c r="D19" i="3"/>
  <c r="D18" i="3"/>
  <c r="D17" i="3"/>
  <c r="D16" i="3"/>
  <c r="E15" i="3"/>
  <c r="D14" i="3"/>
  <c r="D13" i="3"/>
  <c r="D12" i="3"/>
  <c r="D11" i="3"/>
  <c r="E10" i="3"/>
  <c r="F71" i="2"/>
  <c r="F70" i="2"/>
  <c r="F69" i="2"/>
  <c r="F68" i="2"/>
  <c r="F67" i="2"/>
  <c r="F66" i="2"/>
  <c r="F65" i="2"/>
  <c r="F64" i="2"/>
  <c r="F63" i="2"/>
  <c r="F62"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E31" i="2"/>
  <c r="F30" i="2"/>
  <c r="E30" i="2"/>
  <c r="F29" i="2"/>
  <c r="E29" i="2"/>
  <c r="F28" i="2"/>
  <c r="E28" i="2"/>
  <c r="E27" i="2"/>
  <c r="F26" i="2"/>
  <c r="F25" i="2"/>
  <c r="F24" i="2"/>
  <c r="F23" i="2"/>
  <c r="F22" i="2"/>
  <c r="F21" i="2"/>
  <c r="F20" i="2"/>
  <c r="F19" i="2"/>
  <c r="F18" i="2"/>
  <c r="F17" i="2"/>
  <c r="F16" i="2"/>
  <c r="F15" i="2"/>
  <c r="F14" i="2"/>
  <c r="F13" i="2"/>
  <c r="F12" i="2"/>
  <c r="F11" i="2"/>
  <c r="F10" i="2"/>
  <c r="E10" i="2"/>
  <c r="F34" i="5" l="1"/>
  <c r="E24" i="10"/>
  <c r="F24" i="10" s="1"/>
  <c r="F11" i="13"/>
  <c r="F15" i="13"/>
  <c r="E16" i="3"/>
  <c r="F16" i="3" s="1"/>
  <c r="F29" i="4"/>
  <c r="E17" i="3"/>
  <c r="F17" i="3" s="1"/>
  <c r="E31" i="4"/>
  <c r="F31" i="4" s="1"/>
  <c r="F11" i="3"/>
  <c r="F32" i="4"/>
  <c r="F13" i="3"/>
  <c r="F14" i="3"/>
  <c r="F17" i="9"/>
  <c r="E17" i="9"/>
  <c r="E26" i="9"/>
  <c r="F26" i="9" s="1"/>
  <c r="F13" i="9"/>
  <c r="E13" i="9"/>
  <c r="E49" i="9"/>
  <c r="F49" i="9" s="1"/>
  <c r="E47" i="9"/>
  <c r="F47" i="9" s="1"/>
  <c r="E50" i="9"/>
  <c r="F50" i="9" s="1"/>
  <c r="F25" i="8"/>
  <c r="C15" i="14" s="1"/>
  <c r="F16" i="5"/>
  <c r="E16" i="5"/>
  <c r="F17" i="5"/>
  <c r="E17" i="5"/>
  <c r="F72" i="2"/>
  <c r="C9" i="14" s="1"/>
  <c r="E32" i="4"/>
  <c r="E56" i="9"/>
  <c r="F56" i="9" s="1"/>
  <c r="E13" i="3"/>
  <c r="F35" i="3"/>
  <c r="F22" i="7"/>
  <c r="E31" i="3"/>
  <c r="F12" i="5"/>
  <c r="E15" i="7"/>
  <c r="F24" i="7"/>
  <c r="E12" i="10"/>
  <c r="F12" i="10" s="1"/>
  <c r="E43" i="9"/>
  <c r="F43" i="9" s="1"/>
  <c r="E23" i="5"/>
  <c r="E11" i="7"/>
  <c r="F20" i="7"/>
  <c r="E25" i="6"/>
  <c r="F25" i="6" s="1"/>
  <c r="E19" i="3"/>
  <c r="F19" i="3" s="1"/>
  <c r="E37" i="3"/>
  <c r="F32" i="5"/>
  <c r="E13" i="7"/>
  <c r="E19" i="10"/>
  <c r="F19" i="10" s="1"/>
  <c r="E28" i="3"/>
  <c r="F28" i="3" s="1"/>
  <c r="E27" i="5"/>
  <c r="F18" i="9"/>
  <c r="E34" i="5"/>
  <c r="E29" i="6"/>
  <c r="F29" i="6" s="1"/>
  <c r="E14" i="7"/>
  <c r="E21" i="7"/>
  <c r="E15" i="10"/>
  <c r="F15" i="10" s="1"/>
  <c r="E14" i="3"/>
  <c r="E25" i="3"/>
  <c r="F25" i="3" s="1"/>
  <c r="E33" i="3"/>
  <c r="E26" i="5"/>
  <c r="F26" i="5" s="1"/>
  <c r="E11" i="3"/>
  <c r="E29" i="4"/>
  <c r="E33" i="4"/>
  <c r="F33" i="4" s="1"/>
  <c r="E50" i="4"/>
  <c r="E19" i="7"/>
  <c r="E23" i="7"/>
  <c r="E13" i="10"/>
  <c r="F13" i="10" s="1"/>
  <c r="E30" i="3"/>
  <c r="E34" i="3"/>
  <c r="E38" i="3"/>
  <c r="E65" i="4"/>
  <c r="E22" i="5"/>
  <c r="E29" i="7"/>
  <c r="E12" i="3"/>
  <c r="F12" i="3" s="1"/>
  <c r="E30" i="4"/>
  <c r="F30" i="4" s="1"/>
  <c r="E18" i="3"/>
  <c r="F18" i="3" s="1"/>
  <c r="E37" i="4"/>
  <c r="F37" i="4" s="1"/>
  <c r="E44" i="4"/>
  <c r="E13" i="5"/>
  <c r="E16" i="7"/>
  <c r="E32" i="3"/>
  <c r="E36" i="3"/>
  <c r="F58" i="4"/>
  <c r="F33" i="5"/>
  <c r="F12" i="7"/>
  <c r="F18" i="13" l="1"/>
  <c r="C20" i="14" s="1"/>
  <c r="F34" i="7"/>
  <c r="C14" i="14" s="1"/>
  <c r="F113" i="4"/>
  <c r="C11" i="14" s="1"/>
  <c r="F45" i="3"/>
  <c r="C10" i="14" s="1"/>
  <c r="D18" i="6" l="1"/>
  <c r="D19" i="6"/>
  <c r="D16" i="6" l="1"/>
  <c r="D15" i="6"/>
  <c r="E19" i="6"/>
  <c r="F19" i="6" s="1"/>
  <c r="E18" i="6"/>
  <c r="F18" i="6" s="1"/>
  <c r="D14" i="10" l="1"/>
  <c r="E15" i="6"/>
  <c r="F15" i="6" s="1"/>
  <c r="E16" i="6"/>
  <c r="F16" i="6" s="1"/>
  <c r="E14" i="10" l="1"/>
  <c r="F14" i="10" s="1"/>
  <c r="D26" i="10" l="1"/>
  <c r="D17" i="10" l="1"/>
  <c r="D16" i="10"/>
  <c r="D18" i="10"/>
  <c r="D11" i="10"/>
  <c r="E26" i="10"/>
  <c r="F26" i="10" s="1"/>
  <c r="D29" i="10"/>
  <c r="D30" i="10"/>
  <c r="D27" i="10"/>
  <c r="F17" i="10" l="1"/>
  <c r="E17" i="10"/>
  <c r="E16" i="10"/>
  <c r="F16" i="10" s="1"/>
  <c r="E11" i="10"/>
  <c r="F11" i="10" s="1"/>
  <c r="E18" i="10"/>
  <c r="F18" i="10"/>
  <c r="E30" i="10"/>
  <c r="F30" i="10" s="1"/>
  <c r="E29" i="10"/>
  <c r="F29" i="10" s="1"/>
  <c r="E27" i="10"/>
  <c r="F27" i="10" s="1"/>
  <c r="F49" i="10" l="1"/>
  <c r="C17" i="14" s="1"/>
  <c r="C21" i="14" s="1"/>
  <c r="D72" i="5"/>
  <c r="E72" i="5" l="1"/>
  <c r="F72" i="5" s="1"/>
  <c r="D70" i="5"/>
  <c r="E70" i="5" s="1"/>
  <c r="D28" i="5"/>
  <c r="E28" i="5" l="1"/>
  <c r="F28" i="5" s="1"/>
  <c r="F70" i="5"/>
  <c r="D47" i="4" l="1"/>
  <c r="D49" i="4"/>
  <c r="D46" i="4"/>
  <c r="D48" i="4"/>
  <c r="D57" i="4"/>
  <c r="D43" i="4"/>
  <c r="D40" i="4"/>
  <c r="D42" i="4"/>
  <c r="D41" i="4" l="1"/>
  <c r="E42" i="4"/>
  <c r="F42" i="4"/>
  <c r="E43" i="4"/>
  <c r="F43" i="4"/>
  <c r="D56" i="4"/>
  <c r="D16" i="9"/>
  <c r="F57" i="4"/>
  <c r="E57" i="4"/>
  <c r="D54" i="4"/>
  <c r="D14" i="9"/>
  <c r="D15" i="9"/>
  <c r="D55" i="4"/>
  <c r="E48" i="4"/>
  <c r="F48" i="4"/>
  <c r="E46" i="4"/>
  <c r="F46" i="4" s="1"/>
  <c r="F49" i="4"/>
  <c r="E49" i="4"/>
  <c r="F47" i="4"/>
  <c r="E47" i="4"/>
  <c r="D14" i="6" l="1"/>
  <c r="D12" i="6"/>
  <c r="D13" i="6"/>
  <c r="E55" i="4"/>
  <c r="F55" i="4"/>
  <c r="E15" i="9"/>
  <c r="F15" i="9"/>
  <c r="E14" i="9"/>
  <c r="F14" i="9" s="1"/>
  <c r="F56" i="4"/>
  <c r="E56" i="4"/>
  <c r="E54" i="4"/>
  <c r="F54" i="4" s="1"/>
  <c r="F16" i="9"/>
  <c r="E16" i="9"/>
  <c r="D23" i="3"/>
  <c r="D64" i="4"/>
  <c r="E14" i="6" l="1"/>
  <c r="F14" i="6" s="1"/>
  <c r="E12" i="6"/>
  <c r="F12" i="6" s="1"/>
  <c r="E13" i="6"/>
  <c r="F13" i="6" s="1"/>
  <c r="D11" i="12"/>
  <c r="D22" i="12"/>
  <c r="D19" i="12"/>
  <c r="D12" i="12"/>
  <c r="F64" i="4"/>
  <c r="E64" i="4"/>
  <c r="E23" i="3"/>
  <c r="F23" i="3" s="1"/>
  <c r="D63" i="4"/>
  <c r="D61" i="4"/>
  <c r="D62" i="4"/>
  <c r="F33" i="6" l="1"/>
  <c r="C13" i="14" s="1"/>
  <c r="E12" i="12"/>
  <c r="F12" i="12" s="1"/>
  <c r="E22" i="12"/>
  <c r="F22" i="12" s="1"/>
  <c r="E11" i="12"/>
  <c r="F11" i="12" s="1"/>
  <c r="E19" i="12"/>
  <c r="F19" i="12" s="1"/>
  <c r="E61" i="4"/>
  <c r="F61" i="4" s="1"/>
  <c r="F63" i="4"/>
  <c r="E63" i="4"/>
  <c r="F62" i="4"/>
  <c r="E62" i="4"/>
  <c r="D21" i="3"/>
  <c r="D11" i="9"/>
  <c r="D10" i="9"/>
  <c r="D20" i="3"/>
  <c r="D22" i="3"/>
  <c r="D12" i="9"/>
  <c r="D31" i="5"/>
  <c r="F127" i="12" l="1"/>
  <c r="C19" i="14" s="1"/>
  <c r="E31" i="5"/>
  <c r="F31" i="5" s="1"/>
  <c r="E12" i="9"/>
  <c r="F12" i="9" s="1"/>
  <c r="E20" i="3"/>
  <c r="F20" i="3" s="1"/>
  <c r="E10" i="9"/>
  <c r="F10" i="9" s="1"/>
  <c r="E22" i="3"/>
  <c r="F22" i="3" s="1"/>
  <c r="E11" i="9"/>
  <c r="F11" i="9" s="1"/>
  <c r="E21" i="3"/>
  <c r="F21" i="3" s="1"/>
  <c r="F69" i="9" l="1"/>
  <c r="C16" i="14" s="1"/>
  <c r="D29" i="5" l="1"/>
  <c r="D30" i="5"/>
  <c r="E30" i="5" l="1"/>
  <c r="F30" i="5" s="1"/>
  <c r="E29" i="5"/>
  <c r="F29" i="5" s="1"/>
  <c r="F75" i="5" l="1"/>
  <c r="C12" i="14" s="1"/>
</calcChain>
</file>

<file path=xl/sharedStrings.xml><?xml version="1.0" encoding="utf-8"?>
<sst xmlns="http://schemas.openxmlformats.org/spreadsheetml/2006/main" count="2238" uniqueCount="1239">
  <si>
    <t>Quantity</t>
  </si>
  <si>
    <t>Rate</t>
  </si>
  <si>
    <t>A1</t>
  </si>
  <si>
    <t>A2</t>
  </si>
  <si>
    <t>A6</t>
  </si>
  <si>
    <t>A7</t>
  </si>
  <si>
    <t>A8</t>
  </si>
  <si>
    <t>A9</t>
  </si>
  <si>
    <t>A10</t>
  </si>
  <si>
    <t>A11</t>
  </si>
  <si>
    <t>A12</t>
  </si>
  <si>
    <t>A13</t>
  </si>
  <si>
    <t>A14</t>
  </si>
  <si>
    <t>A15</t>
  </si>
  <si>
    <t>A16</t>
  </si>
  <si>
    <t>Number</t>
  </si>
  <si>
    <t>Item description</t>
  </si>
  <si>
    <t>Unit</t>
  </si>
  <si>
    <t>Amount</t>
  </si>
  <si>
    <t>€</t>
  </si>
  <si>
    <t>A</t>
  </si>
  <si>
    <t>General items, provisional services and additional items</t>
  </si>
  <si>
    <t>Offices and stores for the Contractor</t>
  </si>
  <si>
    <t>sum</t>
  </si>
  <si>
    <t>-</t>
  </si>
  <si>
    <t>Establish on site all plant, equipment and services for a Green Category site</t>
  </si>
  <si>
    <t>A2.1</t>
  </si>
  <si>
    <t xml:space="preserve">Establish on site cable percussion ('shell l auger') boring plant and equipment for a Green Category site  </t>
  </si>
  <si>
    <t>A2.2</t>
  </si>
  <si>
    <t xml:space="preserve">Establish on site rotary drilling plant and equipment for a Green Category site  </t>
  </si>
  <si>
    <t>A2.3</t>
  </si>
  <si>
    <t>Not Required</t>
  </si>
  <si>
    <t>N/A</t>
  </si>
  <si>
    <t>A2.4</t>
  </si>
  <si>
    <t xml:space="preserve">Establish on site trial pitting and trenching plant and equipment for a Green Category site  </t>
  </si>
  <si>
    <t>A2.5</t>
  </si>
  <si>
    <t xml:space="preserve">Establish on site in situ test and sampling equipment for a Green Category site  </t>
  </si>
  <si>
    <t>A2.6</t>
  </si>
  <si>
    <t xml:space="preserve">Establish on site cone penetration testing (CPT) plant and equipment for a Green Category site  </t>
  </si>
  <si>
    <t>A2.7</t>
  </si>
  <si>
    <t xml:space="preserve">Establish on site dynamic sampling and probing plant and equipment for a Green Category site  </t>
  </si>
  <si>
    <t>A2.8</t>
  </si>
  <si>
    <t>Establish on site geophysical survey equipment for a Green Category site</t>
  </si>
  <si>
    <t>A2.9</t>
  </si>
  <si>
    <t>Establish on site instrumentation equipment as required for a Green Category site</t>
  </si>
  <si>
    <t>A3.1</t>
  </si>
  <si>
    <t>provisional sum</t>
  </si>
  <si>
    <t>A3.2</t>
  </si>
  <si>
    <t>As Item A3.1 but for a Red Category site</t>
  </si>
  <si>
    <t>A4.1</t>
  </si>
  <si>
    <t>A4.2</t>
  </si>
  <si>
    <t>A5.1</t>
  </si>
  <si>
    <t>A5.2</t>
  </si>
  <si>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 [PROVISIONAL]</t>
  </si>
  <si>
    <t>A6.1</t>
  </si>
  <si>
    <t>Contractor's uplift on Item A6</t>
  </si>
  <si>
    <t>%</t>
  </si>
  <si>
    <t xml:space="preserve">Provide professional attendance to meet the contract requirements </t>
  </si>
  <si>
    <t>A7.1</t>
  </si>
  <si>
    <t>Provide Technician</t>
  </si>
  <si>
    <t>per day</t>
  </si>
  <si>
    <t>Included in A7</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</si>
  <si>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</si>
  <si>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</si>
  <si>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</si>
  <si>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</si>
  <si>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</si>
  <si>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</si>
  <si>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</si>
  <si>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</si>
  <si>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Set out the location at each exploratory hole or point</t>
  </si>
  <si>
    <t>Nr</t>
  </si>
  <si>
    <t>A8.1</t>
  </si>
  <si>
    <t>Establish the location and elevation (X, Y, Z) of the ground at each 'as-built' exploratory hole or point</t>
  </si>
  <si>
    <t>nr</t>
  </si>
  <si>
    <t>Preparation of Health and Safety documentation and Safety Risk Assessment</t>
  </si>
  <si>
    <t>Facilities for the Investigation Supervisor</t>
  </si>
  <si>
    <t>per week</t>
  </si>
  <si>
    <t>Vehicle(s) for the Investigation Supervisor</t>
  </si>
  <si>
    <t>vehicle wk</t>
  </si>
  <si>
    <t>A11.1</t>
  </si>
  <si>
    <t>Provision of fuel and tolls for A11 (to be reimbursed under the contract)</t>
  </si>
  <si>
    <t>A11.2</t>
  </si>
  <si>
    <t>Contractors uplift on item A11 and A11.1</t>
  </si>
  <si>
    <t>% uplift</t>
  </si>
  <si>
    <t>Provision of phone and internet for the Investigation Supervisor (to be reimbursed under the contract)</t>
  </si>
  <si>
    <t>A12.1</t>
  </si>
  <si>
    <t>Contractors Uplift on item A12</t>
  </si>
  <si>
    <t>Deliver selected cores and samples specified Client address (address to be advised)</t>
  </si>
  <si>
    <t>Special additional testing and sampling required by Investigation Supervisor</t>
  </si>
  <si>
    <t xml:space="preserve">Traffic safety and management to include preparation of traffic management drawings for investigations on roads or pavement areas   </t>
  </si>
  <si>
    <t>Provision of road opening licences and road damage bonds</t>
  </si>
  <si>
    <t>A17</t>
  </si>
  <si>
    <t>Contractors uplift on items A15 and A16</t>
  </si>
  <si>
    <t>A18</t>
  </si>
  <si>
    <t xml:space="preserve">One master copy of Desk Study Report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</si>
  <si>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</si>
  <si>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</si>
  <si>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</si>
  <si>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</si>
  <si>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</si>
  <si>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</si>
  <si>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</si>
  <si>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</si>
  <si>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</si>
  <si>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</si>
  <si>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</si>
  <si>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</si>
  <si>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</si>
  <si>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</si>
  <si>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</si>
  <si>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</si>
  <si>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</si>
  <si>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</si>
  <si>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</si>
  <si>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</si>
  <si>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</si>
  <si>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</si>
  <si>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</si>
  <si>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Digital field/engineering logs in AGS  transfer format</t>
  </si>
  <si>
    <t>A23</t>
  </si>
  <si>
    <t>Digital laboratory test data in AGS  transfer files</t>
  </si>
  <si>
    <t>A24</t>
  </si>
  <si>
    <t>Digital copy of trial pit, slit trench or core photographs as per Specification</t>
  </si>
  <si>
    <t>A25</t>
  </si>
  <si>
    <t xml:space="preserve">Storage of all samples following completion of fieldworks </t>
  </si>
  <si>
    <t>wk</t>
  </si>
  <si>
    <t>A26</t>
  </si>
  <si>
    <t xml:space="preserve">Storage of core boxes following completion of fieldworks </t>
  </si>
  <si>
    <t>A27</t>
  </si>
  <si>
    <t>Provision of water supply for the fieldworks</t>
  </si>
  <si>
    <t>included in A2</t>
  </si>
  <si>
    <t>A28</t>
  </si>
  <si>
    <t>Provision of Insurances</t>
  </si>
  <si>
    <t>A29</t>
  </si>
  <si>
    <t>Provision of Performance Bond</t>
  </si>
  <si>
    <t>A30</t>
  </si>
  <si>
    <t>Perform the role of PSCS</t>
  </si>
  <si>
    <t xml:space="preserve">A31 </t>
  </si>
  <si>
    <t>Contractor liaison with external bodies to obtain road opening licence, foreshore licence for marine investigations etc. (specify)</t>
  </si>
  <si>
    <t>Total Section A carried to summary:</t>
  </si>
  <si>
    <t>B</t>
  </si>
  <si>
    <t>Cable Percussion Boring (cable tool or percussive boring using minimum of 200mm diameter casing)</t>
  </si>
  <si>
    <t>B1</t>
  </si>
  <si>
    <t>Move boring plant and equipment to the site of each exploratory hole and set up (cable percussive only)</t>
  </si>
  <si>
    <t xml:space="preserve">Refer to items  B1.1 and B1.2 </t>
  </si>
  <si>
    <t>B1.1.1</t>
  </si>
  <si>
    <t>Move boring plant and equipment to the site of each exploratory hole, set up, dismantle on completion and reinstate (cable percussive only)</t>
  </si>
  <si>
    <t>B1.1.2</t>
  </si>
  <si>
    <t>Move boring plant and equipment to the site of each exploratory hole over safety barrier or other fence or wall, set up, dismantle on completion and reinstate (cable percussive only)</t>
  </si>
  <si>
    <t>B1.2.1</t>
  </si>
  <si>
    <t>Move boring plant and equipment to the site of each exploratory hole, set up, dismantle on completion and reinstate (where borehole is to be followed on with rotary drilling)</t>
  </si>
  <si>
    <t>B1.2.2</t>
  </si>
  <si>
    <t>Move boring plant and equipment to the site of each exploratory hole over safety barrier or other fence or wall, set up, dismantle on completion and reinstate (where borehole is to be followed on with rotary drilling)</t>
  </si>
  <si>
    <t>B2</t>
  </si>
  <si>
    <t>Extra over Item B1 for setting up on a slope of gradient greater than 20%</t>
  </si>
  <si>
    <t>Refer to items B2.1 and B2.2</t>
  </si>
  <si>
    <t>B2.1</t>
  </si>
  <si>
    <t>Extra over Item B1.1 for setting up on a slope of gradient greater than 20%</t>
  </si>
  <si>
    <t>B2.2</t>
  </si>
  <si>
    <t>Extra over Item B1.2 for setting up on a slope of gradient greater than 20%</t>
  </si>
  <si>
    <t>B3</t>
  </si>
  <si>
    <t>Hand digging and CAT scan at borehole location to confirm absence of utility ducts (maximum depth of 1.2m or lesser if ground is assessed as potentially unstable)</t>
  </si>
  <si>
    <t>B3.1</t>
  </si>
  <si>
    <t>Break out obstructions where present when hand digging at exploratory hole location for Item B3.</t>
  </si>
  <si>
    <t>m3</t>
  </si>
  <si>
    <t>B4</t>
  </si>
  <si>
    <t>Advance borehole between existing ground level and 10 m depth</t>
  </si>
  <si>
    <t>m</t>
  </si>
  <si>
    <t>B5</t>
  </si>
  <si>
    <t>B6</t>
  </si>
  <si>
    <t>As Item B4 but between 20 m and 30 m depth</t>
  </si>
  <si>
    <t>B7</t>
  </si>
  <si>
    <t>As Item B4 but between 30 m and 40 m depth</t>
  </si>
  <si>
    <t>B8</t>
  </si>
  <si>
    <t>As Item B4 but between 40 m and 50 m depth</t>
  </si>
  <si>
    <t>B9</t>
  </si>
  <si>
    <t>Advance borehole through hard stratum or obstruction</t>
  </si>
  <si>
    <t>h</t>
  </si>
  <si>
    <t>B10</t>
  </si>
  <si>
    <t>Provide aquifer protection measures at a single aquiclude/aquifer boundary or cross-contamination control measures at a single soil boundary in a borehole</t>
  </si>
  <si>
    <t>B11</t>
  </si>
  <si>
    <t>Backfill borehole with cement/bentonite grout or bentonite pellets (where standpipe piezometer is not installed)</t>
  </si>
  <si>
    <t>m³</t>
  </si>
  <si>
    <t>B12</t>
  </si>
  <si>
    <t>Standing time for borehole plant, equipment and crew</t>
  </si>
  <si>
    <t>B13</t>
  </si>
  <si>
    <t>Move dynamic sampling equipment to the site of each exploratory hole and set up</t>
  </si>
  <si>
    <t>B14</t>
  </si>
  <si>
    <t>Extra over Item B13 for setting up on a slope of gradient greater than 20%</t>
  </si>
  <si>
    <t>B15</t>
  </si>
  <si>
    <t>Hand digging and CAT scan at dynamic sampling location to confirm absence of utility ducts (maximum depth of 1.2m or lesser if ground is assessed as potentially unstable)</t>
  </si>
  <si>
    <t>B16</t>
  </si>
  <si>
    <t>Break out surface obstruction where present</t>
  </si>
  <si>
    <t>B17</t>
  </si>
  <si>
    <t>Advance dynamic sample hole between existing ground level and 5 m depth</t>
  </si>
  <si>
    <t>B18</t>
  </si>
  <si>
    <t>As Item B15 but between 5 and 10 m depth</t>
  </si>
  <si>
    <t>B19</t>
  </si>
  <si>
    <t>B20</t>
  </si>
  <si>
    <t>Standing time for dynamic sampling equipment and crew</t>
  </si>
  <si>
    <t>hr</t>
  </si>
  <si>
    <t>B21</t>
  </si>
  <si>
    <t>Backfill dynamic sample borehole with cement/bentonite grout or bentonite pellets (where standpipe or piezometer is not installed)</t>
  </si>
  <si>
    <t>Reinstatement of Cable Percussive Borehole and Dynamic Sample Borehole</t>
  </si>
  <si>
    <t>B22</t>
  </si>
  <si>
    <t>Reinstatement of gravel hardstanding</t>
  </si>
  <si>
    <t>m²</t>
  </si>
  <si>
    <t>Included in B1.1 &amp; B1.2</t>
  </si>
  <si>
    <t>B23</t>
  </si>
  <si>
    <t>Reinstatement of asphalt / bituminous pavement</t>
  </si>
  <si>
    <t>Included in D53</t>
  </si>
  <si>
    <t>B24</t>
  </si>
  <si>
    <t>Reinstatement of grass areas</t>
  </si>
  <si>
    <t>B25</t>
  </si>
  <si>
    <t>Provision of stock proof fencing to borehole or dynamic sample work area</t>
  </si>
  <si>
    <t>B26</t>
  </si>
  <si>
    <t>Disposal of excess or surplus inert arisings from cable percussion boring or dynamic sampling (where standpipe or piezometer is not installed)</t>
  </si>
  <si>
    <t>Total Section B carried to summary:</t>
  </si>
  <si>
    <t>Rotary drilling</t>
  </si>
  <si>
    <t>Hand augering</t>
  </si>
  <si>
    <t>C1</t>
  </si>
  <si>
    <t>Bring hand auger equipment to the position of each exploratory hole</t>
  </si>
  <si>
    <t>C2</t>
  </si>
  <si>
    <t>Bore with hand auger from existing ground level to 2m depth</t>
  </si>
  <si>
    <t>C3</t>
  </si>
  <si>
    <t>As Item C2 but between 2 and 4m depth</t>
  </si>
  <si>
    <t>C4</t>
  </si>
  <si>
    <t>Standing time for hand auger equipment and crew</t>
  </si>
  <si>
    <t>C5</t>
  </si>
  <si>
    <t>Provision of hand augering equipment and crew for augering as directed by the Investigation Supervisor maximum depth 4m</t>
  </si>
  <si>
    <t>day</t>
  </si>
  <si>
    <t>C6</t>
  </si>
  <si>
    <t>Backfill hand auger hole with cement/bentonite grout or bentonite pellets</t>
  </si>
  <si>
    <t>Continuous flight and hollow-stem flight augering</t>
  </si>
  <si>
    <t>C7</t>
  </si>
  <si>
    <t>Move mechanical augering plant and equipment to the site of each exploratory hole and set up.</t>
  </si>
  <si>
    <t>C7.1</t>
  </si>
  <si>
    <t>Hand digging and CAT scan at rotary drillhole location to confirm absence of utility ducts ( maximum depth of 1.2m or lesser if ground is assessed as potentially unstable).</t>
  </si>
  <si>
    <t>C8</t>
  </si>
  <si>
    <t>Extra over Item C7 for setting up on a slope of gradient greater than 20%</t>
  </si>
  <si>
    <t>C9</t>
  </si>
  <si>
    <t>Break out obstructions where present when hand digging at auger hole location for Item C7.1.</t>
  </si>
  <si>
    <t>C10</t>
  </si>
  <si>
    <t>Standing time for rotary auger equipment and crew.</t>
  </si>
  <si>
    <t>C11</t>
  </si>
  <si>
    <t>Auger in materials other than hard strata at the specified diameter between existing ground level and 10m depth.</t>
  </si>
  <si>
    <t>C12</t>
  </si>
  <si>
    <t>As Item C11 but between 10 and 20m depth.</t>
  </si>
  <si>
    <t>C13</t>
  </si>
  <si>
    <t>As Item C11 but between 20 and 30m depth.</t>
  </si>
  <si>
    <t>C14</t>
  </si>
  <si>
    <t>Backfill auger hole with cement/bentonite grout or bentonite pellets (PROVISIONAL)</t>
  </si>
  <si>
    <t>Rotary drilling with and without core recovery</t>
  </si>
  <si>
    <t>C15</t>
  </si>
  <si>
    <t>Move rotary drilling plant and equipment to the site of each exploratory drillhole and set up.</t>
  </si>
  <si>
    <t>Refer to C15.1.1 to C15.2.2 &amp; C15.3</t>
  </si>
  <si>
    <t>C15.1.1</t>
  </si>
  <si>
    <t>Move rotary drilling plant and equipment to the site of each exploratory drillhole, set up, dismantle on completion and reinstate (rotary follow-on).</t>
  </si>
  <si>
    <t>C15.1.2</t>
  </si>
  <si>
    <t>Move rotary drilling plant and equipment to the site of each exploratory drillhole over safety barrier or other fence or wall, set up, dismantle on completion and reinstate (rotary follow-on).</t>
  </si>
  <si>
    <t>C15.2.1</t>
  </si>
  <si>
    <t>Move rotary drilling plant and equipment to the site of each exploratory drillhole, set up, dismantle on completion and reinstate (rotary only).</t>
  </si>
  <si>
    <t>C15.2.2</t>
  </si>
  <si>
    <t>Move rotary drilling plant and equipment to the site of each exploratory drillhole, over safety barrier or other fence or wall, set up, dismantle on completion and reinstate (rotary only).</t>
  </si>
  <si>
    <t>C15.3</t>
  </si>
  <si>
    <t>Hand digging and CAT scan at rotary drillhole location to confirm absence of utility ducts ( maximum depth of 1.2m or lesser if ground is assessed as potentially unstable) for rotary only borehole</t>
  </si>
  <si>
    <t>C16</t>
  </si>
  <si>
    <t>Extra over Item C15 for setting up on a slope of gradient greater than 20%.</t>
  </si>
  <si>
    <t>C17</t>
  </si>
  <si>
    <t>Extra over Item C15 for setting up drilling plant for inclined drillhole</t>
  </si>
  <si>
    <t>C18</t>
  </si>
  <si>
    <t>Break out obstructions where present when hand digging at exploratory hole location for C15.3.</t>
  </si>
  <si>
    <t>C19</t>
  </si>
  <si>
    <t>Standing time for rotary drilling plant, equipment and crew (PROVISIONAL)</t>
  </si>
  <si>
    <t>C20</t>
  </si>
  <si>
    <t>Provide aquifer protection measures at a single aquiclude/aquifer boundary in a drillhole</t>
  </si>
  <si>
    <t>Drilling without cores</t>
  </si>
  <si>
    <t>C21</t>
  </si>
  <si>
    <t>C22</t>
  </si>
  <si>
    <t>C23</t>
  </si>
  <si>
    <t>As Item C21 but between 20 and 30m depth</t>
  </si>
  <si>
    <t>C24</t>
  </si>
  <si>
    <t>As Item C21 but between 30 and 40m depth</t>
  </si>
  <si>
    <t>C25</t>
  </si>
  <si>
    <t>As Item C21 but between 40 and 50m depth</t>
  </si>
  <si>
    <t>C26</t>
  </si>
  <si>
    <t>Extra over Items C21 to C25 for inclined rotary drillhole</t>
  </si>
  <si>
    <t>C27</t>
  </si>
  <si>
    <t>C28</t>
  </si>
  <si>
    <t>C29</t>
  </si>
  <si>
    <t>As Item C27 but between 20 and 30m depth</t>
  </si>
  <si>
    <t>C30</t>
  </si>
  <si>
    <t>As Item C27 but between 30 and 40m depth</t>
  </si>
  <si>
    <t>C31</t>
  </si>
  <si>
    <t>As Item C27 but between 40 and 50m depth</t>
  </si>
  <si>
    <t>C32</t>
  </si>
  <si>
    <t>Extra over Items C27 to C31 for inclined drillhole</t>
  </si>
  <si>
    <t>C33</t>
  </si>
  <si>
    <t>Backfill rotary drillhole with cement/bentonite grout or bentonite pellets (where standpipe or piezometer is not installed).</t>
  </si>
  <si>
    <t>Drilling to obtain cores</t>
  </si>
  <si>
    <t>C34</t>
  </si>
  <si>
    <t>C35</t>
  </si>
  <si>
    <t>C36</t>
  </si>
  <si>
    <t>As Item C34 but between 20 and 30m depth</t>
  </si>
  <si>
    <t>C37</t>
  </si>
  <si>
    <t>As Item C34 but between 30 and 40m depth</t>
  </si>
  <si>
    <t>C38</t>
  </si>
  <si>
    <t>As Item C34 but between 40 and 50m depth</t>
  </si>
  <si>
    <t>C39</t>
  </si>
  <si>
    <t>Extra over Items C34 to C38 for use of semi-rigid core liner</t>
  </si>
  <si>
    <t>C40</t>
  </si>
  <si>
    <t>Extra over Items C34 to C38 for coring inclined rotary drillhole</t>
  </si>
  <si>
    <t>C41</t>
  </si>
  <si>
    <t>Rotary drill in hard strata to obtain cores of the specified diameter between existing ground level and 10m depth</t>
  </si>
  <si>
    <t>C42</t>
  </si>
  <si>
    <t>As Item C41 but between 10 and 20m depth</t>
  </si>
  <si>
    <t>C43</t>
  </si>
  <si>
    <t>As Item C41 but between 20 and 30m depth</t>
  </si>
  <si>
    <t>C44</t>
  </si>
  <si>
    <t>As Item C41 but between 30 and 40m depth</t>
  </si>
  <si>
    <t>C45</t>
  </si>
  <si>
    <t>As Item C41 but between 40 and 50m depth</t>
  </si>
  <si>
    <t>C46</t>
  </si>
  <si>
    <t>Extra over Items C41 to C45 for use of semi-rigid liner</t>
  </si>
  <si>
    <t>C47</t>
  </si>
  <si>
    <t>Extra over Items C41 to C45 for coring inclined rotary drillhole</t>
  </si>
  <si>
    <t>C48</t>
  </si>
  <si>
    <t>Backfill rotary drillhole with cement/bentonite grout or bentonite pellets (where standpipe or piezometer is not installed)</t>
  </si>
  <si>
    <t>C49</t>
  </si>
  <si>
    <t>Core box to be retained by the client</t>
  </si>
  <si>
    <t>Rotary percussive drilling (Odex / Symmetrix)</t>
  </si>
  <si>
    <t>C50</t>
  </si>
  <si>
    <t>Move rotary percussive drilling plant and equipment to the site of each drill hole and set up</t>
  </si>
  <si>
    <t>C51</t>
  </si>
  <si>
    <t>Extra over Item C50 for setting up on a slope of gradient greater than 20%</t>
  </si>
  <si>
    <t>C52</t>
  </si>
  <si>
    <t>Rotary percussive drill at the specified diameter in any material between existing ground level and 10m depth</t>
  </si>
  <si>
    <t>C53</t>
  </si>
  <si>
    <t>As Item C52 but between 10 and 20m depth</t>
  </si>
  <si>
    <t>C54</t>
  </si>
  <si>
    <t>As Item C52 but between 20 and 30m depth</t>
  </si>
  <si>
    <t>C55</t>
  </si>
  <si>
    <t>As Item C52 but between 30 and 40m depth</t>
  </si>
  <si>
    <t>C56</t>
  </si>
  <si>
    <t>As Item C52 but between 40 and 50m depth</t>
  </si>
  <si>
    <t>C57</t>
  </si>
  <si>
    <t>Standing time for rotary percussive drilling plant, equipment and crew</t>
  </si>
  <si>
    <t>C58</t>
  </si>
  <si>
    <t>Backfill rotary percussive drillhole with cement/bentonite grout or bentonite pellets (where standpipe or piezometer is not installed)</t>
  </si>
  <si>
    <t xml:space="preserve">Geobor S Rotary Drilling </t>
  </si>
  <si>
    <t>C59</t>
  </si>
  <si>
    <t xml:space="preserve">Move drilling plant and equipment to the site of each exploratory drillhole and set up equipment (including recirculation tanks), dismantle on completion and reinstate </t>
  </si>
  <si>
    <t>C59.1</t>
  </si>
  <si>
    <t xml:space="preserve">Move drilling plant and equipment to the site of each exploratory drillhole and set up equipment (including recirculation tanks) over safety barrier or other fence or wall, set up, dismantle on completion and reinstate </t>
  </si>
  <si>
    <t>C60</t>
  </si>
  <si>
    <t xml:space="preserve">Hand digging and CAT scan at rotary drillhole location to confirm absence of utility ducts ( maximum depth of 1.2m or lesser if ground is assessed as potentially unstable) </t>
  </si>
  <si>
    <t>C61</t>
  </si>
  <si>
    <t>Provision of biodegradable polymer gel (drilling fluid) for Geobor S coring</t>
  </si>
  <si>
    <t>C62</t>
  </si>
  <si>
    <t xml:space="preserve">Break out surface obstructions where present at exploratory drillhole </t>
  </si>
  <si>
    <t>C63</t>
  </si>
  <si>
    <t>Standing time for Geobor S drilling plant, equipment and crew</t>
  </si>
  <si>
    <t>Geobor S Rotary Coring (to produce 102mm diameter cores)</t>
  </si>
  <si>
    <t>C64</t>
  </si>
  <si>
    <t>Rotary openhole drilling without core recover to install casing prior to Geobor coring (nominally 1.5m)</t>
  </si>
  <si>
    <t>C65</t>
  </si>
  <si>
    <t>Rotary drilling with Geobor S equipment to recover cores of overburden material using polymer gel/mud drilling fluid in depth range 0 to 10m</t>
  </si>
  <si>
    <t>C66</t>
  </si>
  <si>
    <t xml:space="preserve">As Item C65 but between 10 and 20m depth </t>
  </si>
  <si>
    <t>C67</t>
  </si>
  <si>
    <t>As Item C65 but between 20 and 30m depth</t>
  </si>
  <si>
    <t>C68</t>
  </si>
  <si>
    <t>As Item C65 but between 30 and 40m depth</t>
  </si>
  <si>
    <t>C69</t>
  </si>
  <si>
    <t>As Item C65 but between 40 and 50m depth</t>
  </si>
  <si>
    <t>C70</t>
  </si>
  <si>
    <t>Rotary drilling using Geobor S equipment to recover cores in bedrock formation(s) using polymer gel/mud drilling fluid in depth range 0 to 10m</t>
  </si>
  <si>
    <t>C71</t>
  </si>
  <si>
    <t>As Item C65 but between 10 and 20m depth</t>
  </si>
  <si>
    <t>C72</t>
  </si>
  <si>
    <t>C73</t>
  </si>
  <si>
    <t>C74</t>
  </si>
  <si>
    <t>C75</t>
  </si>
  <si>
    <t>Extra over items C64 to C74 for inclined Geobor S drillhole (maximum of 20 degrees from the vertical)</t>
  </si>
  <si>
    <t xml:space="preserve">Geobor S Rotary Drilling - Additional Items </t>
  </si>
  <si>
    <t>C76</t>
  </si>
  <si>
    <t>Backfill Geobor S drillhole with cement/bentonite grout or bentonite pellets (where standpipe or piezometer is not installed)</t>
  </si>
  <si>
    <t>C77</t>
  </si>
  <si>
    <t>Provision of semi rigid core liner for items C64 - C75</t>
  </si>
  <si>
    <t>C78</t>
  </si>
  <si>
    <t>Provision of core boxes (2m of Geobor S per core box)</t>
  </si>
  <si>
    <t>C79</t>
  </si>
  <si>
    <t>Disposal of Geobor S drilling supernatant flush returns (contained in the recirculation tanks) where permitted on site. Note disposal areas / locations to be recorded and photographed by contractor</t>
  </si>
  <si>
    <t>C80</t>
  </si>
  <si>
    <t>Disposal of Geobor S drilling supernatant flush returns (contained in the recirculation tanks) to landfill by tanker where on site disposal is not permitted. Note tanker delivery dockets to be retained by the Contractor.</t>
  </si>
  <si>
    <t>Reinstatement of Rotary Boreholes</t>
  </si>
  <si>
    <t>C81</t>
  </si>
  <si>
    <t>Included in C15 to C15.2</t>
  </si>
  <si>
    <t>C82</t>
  </si>
  <si>
    <t>C83</t>
  </si>
  <si>
    <t>C84</t>
  </si>
  <si>
    <t>Provision of stock proof fencing to rotary drilling works area</t>
  </si>
  <si>
    <t>C85</t>
  </si>
  <si>
    <t>Disposal of excess or surplus inert arisings from rotary drilling operations (where standpipe or piezometer is not installed) PROVISIONAL</t>
  </si>
  <si>
    <t>Total section C carried to summary:</t>
  </si>
  <si>
    <t xml:space="preserve">C </t>
  </si>
  <si>
    <t>D</t>
  </si>
  <si>
    <t>Pitting and trenching</t>
  </si>
  <si>
    <t>Inspection pits
Included for each exploratory hole: refer hand digging and CAT scan items at exploratory hole locations</t>
  </si>
  <si>
    <t>D1</t>
  </si>
  <si>
    <t>Excavate inspection pit by hand to 1.2m depth.</t>
  </si>
  <si>
    <t>D2</t>
  </si>
  <si>
    <t>Extra over Item D1 for breaking out surface obstructions.</t>
  </si>
  <si>
    <t>Trial pits and trenches (non paved areas)</t>
  </si>
  <si>
    <t>D3</t>
  </si>
  <si>
    <t>Move equipment to the site of each trial pit or trench dismantle on completion and reinstate.</t>
  </si>
  <si>
    <t>D3.1</t>
  </si>
  <si>
    <t>Extra over item D3 for setting to the site of exploratory hole over safety barrier or other fence or wall, set up, dismantle on completion and reinstate.</t>
  </si>
  <si>
    <t>D4</t>
  </si>
  <si>
    <t>Extra over Item D3 for setting up on a slope of gradient greater than 20%</t>
  </si>
  <si>
    <t>D5</t>
  </si>
  <si>
    <t>Extra over Item D3 for trial pit or trench between 4.5 and 6m depth</t>
  </si>
  <si>
    <t>D6</t>
  </si>
  <si>
    <t>Excavate trial pit between existing ground level and 3m depth</t>
  </si>
  <si>
    <t>m depth</t>
  </si>
  <si>
    <t>D7</t>
  </si>
  <si>
    <t xml:space="preserve">As Item D6 but between 3.0 and 4.5m depth </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</si>
  <si>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</si>
  <si>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</si>
  <si>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</si>
  <si>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</si>
  <si>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</si>
  <si>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</si>
  <si>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</si>
  <si>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</si>
  <si>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</si>
  <si>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</si>
  <si>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</si>
  <si>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</si>
  <si>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</si>
  <si>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</si>
  <si>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</si>
  <si>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ln m</t>
  </si>
  <si>
    <t>D15</t>
  </si>
  <si>
    <t>Breaking out hard material or surface obstructions</t>
  </si>
  <si>
    <t>D16</t>
  </si>
  <si>
    <t>Excavate trial pit in paved areas between ground level and 1.20m depth (works by either hand excavation or hand assisted machine excavation)</t>
  </si>
  <si>
    <t>D17</t>
  </si>
  <si>
    <t>As D16 but depth in range 1.2m to 3.0m</t>
  </si>
  <si>
    <t>D18</t>
  </si>
  <si>
    <t>Excavate slit trench in paved areas between ground level and 1.2m depth (works by either hand excavation or hand assisted machine excavation)</t>
  </si>
  <si>
    <t>D19</t>
  </si>
  <si>
    <t>Excavate slit trench in paved areas between 1.2m to 3.0m depth (works by either hand excavation or hand assisted machine excavation)</t>
  </si>
  <si>
    <t>D20</t>
  </si>
  <si>
    <t>Standing time for excavation plant, equipment and crew for machine dug trial pit or trench</t>
  </si>
  <si>
    <t>Observation pits and trenches</t>
  </si>
  <si>
    <t>D21</t>
  </si>
  <si>
    <t>Move equipment to the site of each observation pit or trench of not greater than 4.5m depth</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</si>
  <si>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</si>
  <si>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</si>
  <si>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</si>
  <si>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</si>
  <si>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</si>
  <si>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</si>
  <si>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</si>
  <si>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</si>
  <si>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</si>
  <si>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</si>
  <si>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</si>
  <si>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</si>
  <si>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</si>
  <si>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</si>
  <si>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</si>
  <si>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</si>
  <si>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</si>
  <si>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</si>
  <si>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</si>
  <si>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</si>
  <si>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</si>
  <si>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</si>
  <si>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</si>
  <si>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</si>
  <si>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</si>
  <si>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Standing time for excavation plant, equipment and crew for machine dug observation pit or trench</t>
  </si>
  <si>
    <t>D35</t>
  </si>
  <si>
    <t>Standing time for excavation plant, equipment and crew for hand dug observation pit or trench</t>
  </si>
  <si>
    <t>Daily provision of pitting crew and equipment</t>
  </si>
  <si>
    <t>D36</t>
  </si>
  <si>
    <t>Provision of excavation plant equipment and crew for machine dug trial pits or trenches as directed by the Investigation Supervisor, maximum depth 3.0m</t>
  </si>
  <si>
    <t>Included in A2, A2.4, D3 to D19</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</si>
  <si>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</si>
  <si>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</si>
  <si>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</si>
  <si>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</si>
  <si>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</si>
  <si>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</si>
  <si>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</si>
  <si>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</si>
  <si>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</si>
  <si>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</si>
  <si>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</si>
  <si>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</si>
  <si>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</si>
  <si>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</si>
  <si>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To be included in item D13 to D15</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</si>
  <si>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</si>
  <si>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</si>
  <si>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</si>
  <si>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</si>
  <si>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</si>
  <si>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</si>
  <si>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</si>
  <si>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</si>
  <si>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</si>
  <si>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</si>
  <si>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</si>
  <si>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</si>
  <si>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Trail pit / slit trench backfill &amp; reinstatement works</t>
  </si>
  <si>
    <t>D49</t>
  </si>
  <si>
    <t xml:space="preserve">Backfill trial pit or trench excavation with arisings/excavated materials </t>
  </si>
  <si>
    <t>D50</t>
  </si>
  <si>
    <t>Reinstate grassed surface to include replacing of sod</t>
  </si>
  <si>
    <t>Included in Item D3 &amp; D3.1</t>
  </si>
  <si>
    <t>D50.2</t>
  </si>
  <si>
    <t>Laying Turf Along Access Routes to Exploratory Holes</t>
  </si>
  <si>
    <t>D51</t>
  </si>
  <si>
    <t>Backfill trenches, trial pits and inspection pits at exploratory hole locations in paved areas with imported granular fill (CL 804 sub-base)</t>
  </si>
  <si>
    <t>D52</t>
  </si>
  <si>
    <t>D53</t>
  </si>
  <si>
    <t>D54</t>
  </si>
  <si>
    <t>Repair of road markings</t>
  </si>
  <si>
    <t>linear m</t>
  </si>
  <si>
    <t>D55</t>
  </si>
  <si>
    <t>Disposal of excess or surplus inert arisings from trial pits or trenches (where imported granular fill or lean mix concrete is used as backfill)</t>
  </si>
  <si>
    <t>To be included in item D51 and D52</t>
  </si>
  <si>
    <t>Total Section D carried to summary:</t>
  </si>
  <si>
    <t>E</t>
  </si>
  <si>
    <t>Sampling and monitoring during intrusive investigation</t>
  </si>
  <si>
    <t>Samples for geotechnical purposes</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</si>
  <si>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</si>
  <si>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</si>
  <si>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</si>
  <si>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</si>
  <si>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</si>
  <si>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</si>
  <si>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</si>
  <si>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</si>
  <si>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</si>
  <si>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</si>
  <si>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</si>
  <si>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</si>
  <si>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</si>
  <si>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</si>
  <si>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</si>
  <si>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</si>
  <si>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</si>
  <si>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</si>
  <si>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</si>
  <si>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 xml:space="preserve">Extra over rate for item E7 in depth range 10m to 20m </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</si>
  <si>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</si>
  <si>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</si>
  <si>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</si>
  <si>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</si>
  <si>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</si>
  <si>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</si>
  <si>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</si>
  <si>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</si>
  <si>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</si>
  <si>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</si>
  <si>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</si>
  <si>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</si>
  <si>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</si>
  <si>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</si>
  <si>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Environmental / contamination sample for Suite H (PROVISIONAL)</t>
  </si>
  <si>
    <t>Not required</t>
  </si>
  <si>
    <t>E16</t>
  </si>
  <si>
    <t xml:space="preserve">Environmental / contamination sample for Suite I </t>
  </si>
  <si>
    <t>E17</t>
  </si>
  <si>
    <t>Other specialist environmental / contamination sampling as specified by Investigation Supervisor (Suite J)</t>
  </si>
  <si>
    <t>(Note sample rate includes provision of specialist containers)</t>
  </si>
  <si>
    <t>Total Section E carried to summary:</t>
  </si>
  <si>
    <t>F</t>
  </si>
  <si>
    <t>Probing and cone penetration testing</t>
  </si>
  <si>
    <t>Dynamic probing (DPH)</t>
  </si>
  <si>
    <t>F1</t>
  </si>
  <si>
    <t>Bring dynamic probe (DPH) equipment to the site of each test location</t>
  </si>
  <si>
    <t>F2</t>
  </si>
  <si>
    <t>Extra over Item F1 for setting up on a slope of gradient greater than 20%</t>
  </si>
  <si>
    <t>F3</t>
  </si>
  <si>
    <t>Carry out dynamic probe test from existing ground level to 5m depth</t>
  </si>
  <si>
    <t>F4</t>
  </si>
  <si>
    <t>As Item F3 but between 5 and 10m depth</t>
  </si>
  <si>
    <t>F5</t>
  </si>
  <si>
    <t>As Item F3 but between 10 and 15m depth</t>
  </si>
  <si>
    <t>F6</t>
  </si>
  <si>
    <t>Standing time for dynamic probe test equipment and crew</t>
  </si>
  <si>
    <t>F7</t>
  </si>
  <si>
    <t>Provision of dynamic probing equipment and crew for probing as directed by the Investigation Supervisor; maximum depth 15m</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</si>
  <si>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</si>
  <si>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</si>
  <si>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</si>
  <si>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</si>
  <si>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</si>
  <si>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</si>
  <si>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</si>
  <si>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</si>
  <si>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</si>
  <si>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</si>
  <si>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</si>
  <si>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</si>
  <si>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</si>
  <si>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</si>
  <si>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</si>
  <si>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</si>
  <si>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</si>
  <si>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</si>
  <si>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</si>
  <si>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</si>
  <si>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</si>
  <si>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</si>
  <si>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Standing time for static cone penetration test equipment and crew</t>
  </si>
  <si>
    <t>F19</t>
  </si>
  <si>
    <t>Extra over Items F10 to F13 for use of seismic cone</t>
  </si>
  <si>
    <t>F20</t>
  </si>
  <si>
    <t>Carry out seismic cone test</t>
  </si>
  <si>
    <t>F21</t>
  </si>
  <si>
    <t>Extra over Item F20  for interpretation of seismic cone data</t>
  </si>
  <si>
    <t>F22</t>
  </si>
  <si>
    <t>Standing time for seismic cone test equipment and crew</t>
  </si>
  <si>
    <t>Total Section F carried to summary:</t>
  </si>
  <si>
    <t>G</t>
  </si>
  <si>
    <t>Geophysical testing</t>
  </si>
  <si>
    <t>Land-based mapping techniques</t>
  </si>
  <si>
    <t>G1</t>
  </si>
  <si>
    <t>Conduct and process Ground Penetrating Radar (GPR) profiles to PAS 128 QL B1P as per the specification</t>
  </si>
  <si>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</si>
  <si>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</si>
  <si>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</si>
  <si>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</si>
  <si>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</si>
  <si>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</si>
  <si>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</si>
  <si>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</si>
  <si>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</si>
  <si>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</si>
  <si>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</si>
  <si>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</si>
  <si>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</si>
  <si>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</si>
  <si>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</si>
  <si>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</si>
  <si>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</si>
  <si>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</si>
  <si>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</si>
  <si>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</si>
  <si>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</si>
  <si>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</si>
  <si>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</si>
  <si>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</si>
  <si>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</si>
  <si>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Standard penetration test in percussive borehole, depth range 0 to 10m</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</si>
  <si>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</si>
  <si>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</si>
  <si>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</si>
  <si>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</si>
  <si>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</si>
  <si>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</si>
  <si>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</si>
  <si>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Standard penetration test in rotary drillhole, depth range 0 to 10m (PROVISIONAL)</t>
  </si>
  <si>
    <t>H2.2</t>
  </si>
  <si>
    <t>Standard penetration test in rotary drillhole, depth range 10 to 20m</t>
  </si>
  <si>
    <t>H2.3</t>
  </si>
  <si>
    <t>Standard penetration test in rotary drillhole, depth range 20 to 30m</t>
  </si>
  <si>
    <t>H2.4</t>
  </si>
  <si>
    <t>Standard penetration test in rotary drillhole, depth range 30 to 40m</t>
  </si>
  <si>
    <t xml:space="preserve">In-situ density testing </t>
  </si>
  <si>
    <t>H3.1</t>
  </si>
  <si>
    <t>Small pouring cylinder method</t>
  </si>
  <si>
    <t>Large pouring cylinder method</t>
  </si>
  <si>
    <t>Water replacement method</t>
  </si>
  <si>
    <t>Core cutter method</t>
  </si>
  <si>
    <t>Nuclear gauge method</t>
  </si>
  <si>
    <t>H4</t>
  </si>
  <si>
    <t>California Bearing Ratio by plate bearing test by plunger method</t>
  </si>
  <si>
    <t>H4.1</t>
  </si>
  <si>
    <t>California Bearing Ratio by TRL DCP method</t>
  </si>
  <si>
    <t>H5</t>
  </si>
  <si>
    <t>Vane shear strength test in borehole / trial pit / trench</t>
  </si>
  <si>
    <t>H7</t>
  </si>
  <si>
    <t>Hand penetrometer test (set of 3 readings)</t>
  </si>
  <si>
    <t>H8</t>
  </si>
  <si>
    <t xml:space="preserve">Hand vane test (set of 3 readings) </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</si>
  <si>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</si>
  <si>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</si>
  <si>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</si>
  <si>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</si>
  <si>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</si>
  <si>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</si>
  <si>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</si>
  <si>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</si>
  <si>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</si>
  <si>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</si>
  <si>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</si>
  <si>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</si>
  <si>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</si>
  <si>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</si>
  <si>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</si>
  <si>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</si>
  <si>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</si>
  <si>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</si>
  <si>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</si>
  <si>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</si>
  <si>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Note: rates for permeability test in boreholes or rotary holes to include standing time rate for plant and equipment</t>
  </si>
  <si>
    <t>Soil infiltration test (BRE Digest 365)</t>
  </si>
  <si>
    <t>H18</t>
  </si>
  <si>
    <t>Set up at each test location, excavate trial hole and prepare test area</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</si>
  <si>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</si>
  <si>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</si>
  <si>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</si>
  <si>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</si>
  <si>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</si>
  <si>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</si>
  <si>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</si>
  <si>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</si>
  <si>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</si>
  <si>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</si>
  <si>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</si>
  <si>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</si>
  <si>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</si>
  <si>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</si>
  <si>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</si>
  <si>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</si>
  <si>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</si>
  <si>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</si>
  <si>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</si>
  <si>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</si>
  <si>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</si>
  <si>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</si>
  <si>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</si>
  <si>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</si>
  <si>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</si>
  <si>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</si>
  <si>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</si>
  <si>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</si>
  <si>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</si>
  <si>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</si>
  <si>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</si>
  <si>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Other specialist tests</t>
  </si>
  <si>
    <t>H34</t>
  </si>
  <si>
    <t>Reading of free product level in borehole using an interface probe</t>
  </si>
  <si>
    <t>H35</t>
  </si>
  <si>
    <t>Provide contamination screening test kits (per sample)</t>
  </si>
  <si>
    <t>H36</t>
  </si>
  <si>
    <t>Carry out headspace testing on sample by FID or PID methods (PROVISIONAL)</t>
  </si>
  <si>
    <t>H37</t>
  </si>
  <si>
    <t>Self boring pressuremeter</t>
  </si>
  <si>
    <t>H38</t>
  </si>
  <si>
    <t>high pressure dilatometer</t>
  </si>
  <si>
    <t>H39</t>
  </si>
  <si>
    <t>Menard Presuremeter</t>
  </si>
  <si>
    <t>Total H carried to summary:</t>
  </si>
  <si>
    <t>I</t>
  </si>
  <si>
    <t>Instrumentation</t>
  </si>
  <si>
    <t>Standpipes and piezometers</t>
  </si>
  <si>
    <t>I1</t>
  </si>
  <si>
    <t xml:space="preserve">Backfill exploratory hole with cement/bentonite grout or bentonite pellets </t>
  </si>
  <si>
    <t>I2</t>
  </si>
  <si>
    <t>Provide and install 19mm casagrande piezometer tip</t>
  </si>
  <si>
    <t>I3</t>
  </si>
  <si>
    <t>Provide and install sand cell to I2</t>
  </si>
  <si>
    <t>I4</t>
  </si>
  <si>
    <t>Provide and install 19mm casing/piezometer plain pipe</t>
  </si>
  <si>
    <t>I5</t>
  </si>
  <si>
    <t>Provide and install bentonite seals to I4</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</si>
  <si>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</si>
  <si>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</si>
  <si>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</si>
  <si>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</si>
  <si>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</si>
  <si>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</si>
  <si>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</si>
  <si>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</si>
  <si>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</si>
  <si>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</si>
  <si>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</si>
  <si>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</si>
  <si>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</si>
  <si>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</si>
  <si>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</si>
  <si>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</si>
  <si>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</si>
  <si>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</si>
  <si>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</si>
  <si>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</si>
  <si>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</si>
  <si>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</si>
  <si>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</si>
  <si>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</si>
  <si>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</si>
  <si>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</si>
  <si>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</si>
  <si>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</si>
  <si>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</si>
  <si>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</si>
  <si>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</si>
  <si>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</si>
  <si>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</si>
  <si>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I22</t>
  </si>
  <si>
    <t>Develop standpipe or piezometer by purging (3 well volumes)</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</si>
  <si>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</si>
  <si>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</si>
  <si>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</si>
  <si>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</si>
  <si>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</si>
  <si>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</si>
  <si>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</si>
  <si>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</si>
  <si>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</si>
  <si>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</si>
  <si>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</si>
  <si>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</si>
  <si>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</si>
  <si>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</si>
  <si>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</si>
  <si>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</si>
  <si>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</si>
  <si>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</si>
  <si>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</si>
  <si>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</si>
  <si>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</si>
  <si>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</si>
  <si>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</si>
  <si>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</si>
  <si>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</si>
  <si>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</si>
  <si>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</si>
  <si>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</si>
  <si>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</si>
  <si>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</si>
  <si>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</si>
  <si>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Reading of water level in standpipe or standpipe piezometer during fieldwork period</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</si>
  <si>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</si>
  <si>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</si>
  <si>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</si>
  <si>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</si>
  <si>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</si>
  <si>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</si>
  <si>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</si>
  <si>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Provide Engineer/Geologist to take water sample from standpipe or standpipe piezometer (rate not including puriging or micro purging)</t>
  </si>
  <si>
    <t>J6</t>
  </si>
  <si>
    <t>Extra over Item J5 for purging or micro-purging in excess of 3 well volumes</t>
  </si>
  <si>
    <t>J7</t>
  </si>
  <si>
    <t>Provide Engineer / Geologist to recover ground gas samplefrom gas monitoring standpipe</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</si>
  <si>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</si>
  <si>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</si>
  <si>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</si>
  <si>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</si>
  <si>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</si>
  <si>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</si>
  <si>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Extra over Item J9 for groundwater measurements in standpipe or standpipe piezometer during return visit</t>
  </si>
  <si>
    <t>J11</t>
  </si>
  <si>
    <t>Extra over Item J9 for ground gas measurements in standpipe during return visit</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</si>
  <si>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</si>
  <si>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</si>
  <si>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</si>
  <si>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</si>
  <si>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</si>
  <si>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</si>
  <si>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</si>
  <si>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</si>
  <si>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</si>
  <si>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</si>
  <si>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</si>
  <si>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</si>
  <si>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</si>
  <si>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</si>
  <si>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</si>
  <si>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</si>
  <si>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</si>
  <si>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</si>
  <si>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</si>
  <si>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</si>
  <si>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</si>
  <si>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</si>
  <si>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</si>
  <si>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</si>
  <si>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</si>
  <si>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</si>
  <si>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</si>
  <si>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</si>
  <si>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</si>
  <si>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</si>
  <si>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</si>
  <si>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</si>
  <si>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</si>
  <si>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 xml:space="preserve">Classification </t>
  </si>
  <si>
    <t>K1.1</t>
  </si>
  <si>
    <t>Moisture content</t>
  </si>
  <si>
    <t>K1.2</t>
  </si>
  <si>
    <t>Liquid limit, plastic limit and plasticity index</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</si>
  <si>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</si>
  <si>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</si>
  <si>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</si>
  <si>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</si>
  <si>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</si>
  <si>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</si>
  <si>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</si>
  <si>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</si>
  <si>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</si>
  <si>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</si>
  <si>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</si>
  <si>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</si>
  <si>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</si>
  <si>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</si>
  <si>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</si>
  <si>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</si>
  <si>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</si>
  <si>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</si>
  <si>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</si>
  <si>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</si>
  <si>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</si>
  <si>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t xml:space="preserve">Chemical and electrochemical </t>
  </si>
  <si>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</si>
  <si>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</si>
  <si>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</si>
  <si>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</si>
  <si>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</si>
  <si>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</si>
  <si>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</si>
  <si>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</si>
  <si>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</si>
  <si>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</si>
  <si>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</si>
  <si>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</si>
  <si>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</si>
  <si>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</si>
  <si>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</si>
  <si>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</si>
  <si>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</si>
  <si>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</si>
  <si>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</si>
  <si>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</si>
  <si>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</si>
  <si>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</si>
  <si>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</si>
  <si>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</si>
  <si>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</si>
  <si>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</si>
  <si>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</si>
  <si>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</si>
  <si>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</si>
  <si>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</si>
  <si>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</si>
  <si>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</si>
  <si>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</si>
  <si>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</si>
  <si>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</si>
  <si>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</si>
  <si>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</si>
  <si>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</si>
  <si>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</si>
  <si>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</si>
  <si>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</si>
  <si>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</si>
  <si>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</si>
  <si>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</si>
  <si>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</si>
  <si>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</si>
  <si>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</si>
  <si>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</si>
  <si>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</si>
  <si>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</si>
  <si>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</si>
  <si>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t xml:space="preserve">Compressibility, permeability and durability </t>
  </si>
  <si>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</si>
  <si>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</si>
  <si>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</si>
  <si>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</si>
  <si>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</si>
  <si>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</si>
  <si>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</si>
  <si>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</si>
  <si>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</si>
  <si>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</si>
  <si>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</si>
  <si>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</si>
  <si>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</si>
  <si>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</si>
  <si>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</si>
  <si>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</si>
  <si>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</si>
  <si>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</si>
  <si>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</si>
  <si>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</si>
  <si>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</si>
  <si>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</si>
  <si>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</si>
  <si>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 xml:space="preserve">Consolidation and permeability in hydraulic cells </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</si>
  <si>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</si>
  <si>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</si>
  <si>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</si>
  <si>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</si>
  <si>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</si>
  <si>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</si>
  <si>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</si>
  <si>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</si>
  <si>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</si>
  <si>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</si>
  <si>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</si>
  <si>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</si>
  <si>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</si>
  <si>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</si>
  <si>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</si>
  <si>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</si>
  <si>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</si>
  <si>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</si>
  <si>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</si>
  <si>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</si>
  <si>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</si>
  <si>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</si>
  <si>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</si>
  <si>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</si>
  <si>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</si>
  <si>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</si>
  <si>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</si>
  <si>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</si>
  <si>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</si>
  <si>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</si>
  <si>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</si>
  <si>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</si>
  <si>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</si>
  <si>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</si>
  <si>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</si>
  <si>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</si>
  <si>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</si>
  <si>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K6.5</t>
  </si>
  <si>
    <t>Extra over Item K6.4 for test durations in excess of 1 day per specimen</t>
  </si>
  <si>
    <t>sp.day</t>
  </si>
  <si>
    <t>K6.6</t>
  </si>
  <si>
    <t>Shear strength of a single 300mm × 300mm square specimen by direct shear, test duration not exceeding 1 day</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</si>
  <si>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</si>
  <si>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</si>
  <si>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</si>
  <si>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</si>
  <si>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</si>
  <si>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</si>
  <si>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</si>
  <si>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</si>
  <si>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</si>
  <si>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</si>
  <si>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</si>
  <si>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</si>
  <si>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</si>
  <si>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</si>
  <si>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</si>
  <si>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</si>
  <si>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</si>
  <si>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Undrained shear strength of a set of three 38mm diameter specimens in triaxial compression without the measurement of pore pressure</t>
  </si>
  <si>
    <t>K6.16</t>
  </si>
  <si>
    <t>Undrained strength of a single 100mm diameter specimen in triaxial compression without the measurement of pore pressure</t>
  </si>
  <si>
    <t>K6.17</t>
  </si>
  <si>
    <t>Undrained shear strength of a single 100mm diameter specimen in triaxial compression with multi-stage loading and without measurement of pore pressure</t>
  </si>
  <si>
    <t>K7</t>
  </si>
  <si>
    <t>Shear strength (effective stress)</t>
  </si>
  <si>
    <t>K7.1</t>
  </si>
  <si>
    <t>Consolidated undrained triaxial compression test with measurement of pore pressure (set of three 38mm specimens), test duration not exceeding 4 days per specimen</t>
  </si>
  <si>
    <t>K7.2</t>
  </si>
  <si>
    <t>As K7.1 but single-stage or multi-stage test using 100mm diameter specimen</t>
  </si>
  <si>
    <t>K7.3</t>
  </si>
  <si>
    <t>Consolidated drained triaxial compression test with measurement of volume change (set of three 38mm specimens), test duration not exceeding 4 days per specimen</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</si>
  <si>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</si>
  <si>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</si>
  <si>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</si>
  <si>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</si>
  <si>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</si>
  <si>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</si>
  <si>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</si>
  <si>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</si>
  <si>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</si>
  <si>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</si>
  <si>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</si>
  <si>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</si>
  <si>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</si>
  <si>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</si>
  <si>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</si>
  <si>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</si>
  <si>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</si>
  <si>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</si>
  <si>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</si>
  <si>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</si>
  <si>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</si>
  <si>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</si>
  <si>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</si>
  <si>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</si>
  <si>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</si>
  <si>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</si>
  <si>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</si>
  <si>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</si>
  <si>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</si>
  <si>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</si>
  <si>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</si>
  <si>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</si>
  <si>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</si>
  <si>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</si>
  <si>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</si>
  <si>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</si>
  <si>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</si>
  <si>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Deformability in uniaxial compression</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</si>
  <si>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</si>
  <si>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</si>
  <si>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</si>
  <si>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</si>
  <si>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</si>
  <si>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</si>
  <si>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</si>
  <si>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</si>
  <si>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</si>
  <si>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</si>
  <si>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</si>
  <si>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</si>
  <si>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</si>
  <si>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</si>
  <si>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</si>
  <si>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</si>
  <si>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</si>
  <si>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</si>
  <si>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</si>
  <si>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</si>
  <si>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</si>
  <si>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</si>
  <si>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Contamination testing of soil, groundwater, gas and fill material)</t>
  </si>
  <si>
    <t>L.1</t>
  </si>
  <si>
    <t>Tests Suite E</t>
  </si>
  <si>
    <t>L.2</t>
  </si>
  <si>
    <t>Tests Suite F</t>
  </si>
  <si>
    <t>L.3</t>
  </si>
  <si>
    <t>Tests Suite G</t>
  </si>
  <si>
    <t>L.4</t>
  </si>
  <si>
    <t>Tests Suite H</t>
  </si>
  <si>
    <t>L.5</t>
  </si>
  <si>
    <t>Tests Suite I</t>
  </si>
  <si>
    <t>L.6</t>
  </si>
  <si>
    <t>Tests Suite J</t>
  </si>
  <si>
    <t>Total Section L carried to summary:</t>
  </si>
  <si>
    <t>Summary of Bill of Quantities</t>
  </si>
  <si>
    <t>A.</t>
  </si>
  <si>
    <t>B.</t>
  </si>
  <si>
    <t>Percussion boring</t>
  </si>
  <si>
    <t>C.</t>
  </si>
  <si>
    <t>D.</t>
  </si>
  <si>
    <t>E.</t>
  </si>
  <si>
    <t>F.</t>
  </si>
  <si>
    <t>G.</t>
  </si>
  <si>
    <t>H.</t>
  </si>
  <si>
    <t>I.</t>
  </si>
  <si>
    <t>J.</t>
  </si>
  <si>
    <t>Installation monitoring and sampling</t>
  </si>
  <si>
    <t>K.</t>
  </si>
  <si>
    <t>L.</t>
  </si>
  <si>
    <t>Total Tender</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</si>
  <si>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</si>
  <si>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</si>
  <si>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</si>
  <si>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</si>
  <si>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</si>
  <si>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</si>
  <si>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</si>
  <si>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</si>
  <si>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</si>
  <si>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</si>
  <si>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</si>
  <si>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</si>
  <si>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</si>
  <si>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</si>
  <si>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</si>
  <si>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</si>
  <si>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</si>
  <si>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</si>
  <si>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</si>
  <si>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</si>
  <si>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</si>
  <si>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</si>
  <si>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</si>
  <si>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</si>
  <si>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</si>
  <si>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</si>
  <si>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</si>
  <si>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</si>
  <si>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</si>
  <si>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</si>
  <si>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</si>
  <si>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</si>
  <si>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t>Included in B1 to B1.2.2</t>
  </si>
  <si>
    <t>The grey cells w/ orange text/figures are taken from the calculator speadsheet.</t>
  </si>
  <si>
    <t>Any grey cell with "Not Required" in it, is a result of a quantity of 0 being calculated from log tracker &amp; calculator.</t>
  </si>
  <si>
    <t>The quantities here are transferred to a final version for the contractor in PART 4 to achieve a simple bill where the contractor just needs to input their rates.</t>
  </si>
  <si>
    <t>Orange cells need manual inputs. If item is not needed then "Not Required" is to be inserted in cell.</t>
  </si>
  <si>
    <t>If Figures are not updating from '2 BOQ Calculator' then go to 'Data' tab, click on 'Edit Links' , then click 'Update Values'.</t>
  </si>
  <si>
    <t>NOTE: If calculated quantities (grey cells) need to be changed manually, once changed the cell will break it's link to the calculator.</t>
  </si>
  <si>
    <t>Dynamic sampleing &gt;10m as instructed by the Investigation Supervisor</t>
  </si>
  <si>
    <t>Dynamic sampling (Window and Windowless Sampling)</t>
  </si>
  <si>
    <t>Enter a figure into the orange cells manually or paste in "Not Reruired"</t>
  </si>
  <si>
    <t>Ensure No Blank cells are left when completing</t>
  </si>
  <si>
    <t xml:space="preserve">Extra over item A2.1 - A2.9 for a yellow category site </t>
  </si>
  <si>
    <t xml:space="preserve">Maintain on site all site safety equipment for a Yellow Category site </t>
  </si>
  <si>
    <t>Maintain on site all site safety equipment for a Red Category site (PROVISIONAL)</t>
  </si>
  <si>
    <t>Decontamination of equipment during and at end of intrusive investigation for a Red Category site (PROVISIONAL)</t>
  </si>
  <si>
    <t xml:space="preserve">Decontamination of equipment during and at end of intrusive investigation for a Yellow Category site </t>
  </si>
  <si>
    <t>Included in Item 3.1</t>
  </si>
  <si>
    <t>Included in Item J15</t>
  </si>
  <si>
    <t>L.7</t>
  </si>
  <si>
    <t>Tests Suite K</t>
  </si>
  <si>
    <t>Rate Only</t>
  </si>
  <si>
    <t>Rotary drill in materials other than hard strata at the specified diameter, from which cores are not required, between existing ground level and 10m depth (Provisional)</t>
  </si>
  <si>
    <t>As Item C21 but between 10 and 20m depth. (Provisional)</t>
  </si>
  <si>
    <t>Shear strength of a set of three 60mm × 60mm square specimens by direct shear, test duration not exceeding 1 day per specimen (Provisional)</t>
  </si>
  <si>
    <t>Establish on site Geobor S rotary drilling plant and equipment for a Green Category site (Provisional)</t>
  </si>
  <si>
    <t>Included in C15 to C15.3</t>
  </si>
  <si>
    <t>Rotary drill in hard strata at the specified diameter, from which cores are not required, between existing ground level and 10m depth. (Provisional)</t>
  </si>
  <si>
    <t>As Item C27 but between 10 and 20m depth (Provisional)</t>
  </si>
  <si>
    <t>Rotary drill in materials other than hard strata to obtain cores of the specified diameter between existing ground level and 10m depth. (Provisional)</t>
  </si>
  <si>
    <t>As Item C34 but between 10 and 20m depth. (Provisional)</t>
  </si>
  <si>
    <t>As Item B4 but between 10 m and 20 m depth (Provisional)</t>
  </si>
  <si>
    <t>Standard penetration test in dynamic sampling boreholes, depth range 0 to 10m</t>
  </si>
  <si>
    <t>H4.2</t>
  </si>
  <si>
    <t>H4.3</t>
  </si>
  <si>
    <t>H4.4</t>
  </si>
  <si>
    <t>H4.5</t>
  </si>
  <si>
    <t>H6</t>
  </si>
  <si>
    <t>H40</t>
  </si>
  <si>
    <t>A32 - Additional Item</t>
  </si>
  <si>
    <t xml:space="preserve">Extra over item for provision of necessary COVID19 social distancing and precaution measures during Ground Investigation as outlined in Item A9 </t>
  </si>
  <si>
    <t>Included in B1.1, B1.2 &amp; B13</t>
  </si>
  <si>
    <t>Input As Required</t>
  </si>
  <si>
    <t>Input as Required</t>
  </si>
  <si>
    <t>Backfill trenches, trial pits and inspection pits at exploratory hole locations in paved areas with CBGMB as Fig.A4.0 Method A of TII's CC-PAV-04007</t>
  </si>
  <si>
    <t>Reinstatement of asphalt/bituminous pavement in accordance with TII's CC-PAV-04007.</t>
  </si>
  <si>
    <t>READ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</si>
</sst>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quot;€&quot;* #,##0_-;\-&quot;€&quot;* #,##0_-;_-&quot;€&quot;* &quot;-&quot;??_-;_-@_-"/>
    <numFmt numFmtId="166" formatCode="&quot;€&quot;#,##0.00"/>
  </numFmts>
  <fonts count="24" x14ac:knownFonts="1">
    <font>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b/>
      <sz val="9"/>
      <color rgb="FF000000"/>
      <name val="Arial"/>
      <family val="2"/>
    </font>
    <font>
      <b/>
      <sz val="10"/>
      <name val="Arial"/>
      <family val="2"/>
    </font>
    <font>
      <sz val="10"/>
      <name val="Times New Roman"/>
      <family val="1"/>
    </font>
    <font>
      <sz val="10"/>
      <name val="Arial"/>
      <family val="2"/>
    </font>
    <font>
      <b/>
      <sz val="10"/>
      <color rgb="FF000000"/>
      <name val="Arial"/>
      <family val="2"/>
    </font>
    <font>
      <sz val="10"/>
      <color theme="1"/>
      <name val="Arial"/>
      <family val="2"/>
    </font>
    <font>
      <b/>
      <sz val="11"/>
      <color rgb="FFFA7D00"/>
      <name val="Calibri"/>
      <family val="2"/>
    </font>
    <font>
      <sz val="11"/>
      <color rgb="FF3F3F76"/>
      <name val="Calibri"/>
      <family val="2"/>
    </font>
    <font>
      <b/>
      <u/>
      <sz val="10"/>
      <name val="Arial"/>
      <family val="2"/>
    </font>
    <font>
      <sz val="10"/>
      <color rgb="FF000000"/>
      <name val="Arial"/>
      <family val="2"/>
    </font>
    <font>
      <u/>
      <sz val="10"/>
      <name val="Arial"/>
      <family val="2"/>
    </font>
    <font>
      <b/>
      <u/>
      <sz val="10"/>
      <color rgb="FF000000"/>
      <name val="Arial"/>
      <family val="2"/>
    </font>
    <font>
      <sz val="10"/>
      <color rgb="FF000000"/>
      <name val="Times New Roman"/>
      <family val="1"/>
    </font>
    <font>
      <b/>
      <sz val="11"/>
      <name val="Arial"/>
      <family val="2"/>
    </font>
    <font>
      <b/>
      <sz val="9"/>
      <name val="Arial"/>
      <family val="2"/>
    </font>
    <font>
      <sz val="10"/>
      <color rgb="FFA6A6A6"/>
      <name val="Arial"/>
      <family val="2"/>
    </font>
    <font>
      <b/>
      <sz val="10"/>
      <color rgb="FFFF0000"/>
      <name val="Arial"/>
      <family val="2"/>
    </font>
    <font>
      <sz val="10"/>
      <color rgb="FFFF0000"/>
      <name val="Arial"/>
      <family val="2"/>
    </font>
    <font>
      <u/>
      <sz val="10"/>
      <color rgb="FF000000"/>
      <name val="Arial"/>
      <family val="2"/>
    </font>
    <font>
      <sz val="11"/>
      <color rgb="FF000000"/>
      <name val="Calibri"/>
      <family val="2"/>
    </font>
  </fonts>
  <fills count="7">
    <fill>
      <patternFill patternType="none"/>
    </fill>
    <fill>
      <patternFill patternType="gray125"/>
    </fill>
    <fill>
      <patternFill patternType="solid">
        <fgColor rgb="FFFFCC99"/>
      </patternFill>
    </fill>
    <fill>
      <patternFill patternType="solid">
        <fgColor rgb="FFF2F2F2"/>
      </patternFill>
    </fill>
    <fill>
      <patternFill patternType="solid">
        <fgColor rgb="FFF2F2F2"/>
        <bgColor rgb="FFFFFFFF"/>
      </patternFill>
    </fill>
    <fill>
      <patternFill patternType="solid">
        <fgColor rgb="FFFFC000"/>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top style="thin">
        <color rgb="FF7F7F7F"/>
      </top>
      <bottom style="thin">
        <color rgb="FF7F7F7F"/>
      </bottom>
      <diagonal/>
    </border>
  </borders>
  <cellStyleXfs count="4">
    <xf numFmtId="0" fontId="0" fillId="0" borderId="0"/>
    <xf numFmtId="164" fontId="1" fillId="0" borderId="0" applyFont="0" applyFill="0" applyBorder="0" applyAlignment="0" applyProtection="0"/>
    <xf numFmtId="0" fontId="2" fillId="2" borderId="2" applyNumberFormat="0" applyAlignment="0" applyProtection="0"/>
    <xf numFmtId="0" fontId="3" fillId="3" borderId="2" applyNumberFormat="0" applyAlignment="0" applyProtection="0"/>
  </cellStyleXfs>
  <cellXfs count="152">
    <xf numFmtId="0" fontId="0" fillId="0" borderId="0" xfId="0"/>
    <xf numFmtId="4" fontId="4" fillId="0" borderId="1"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4"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pplyProtection="1">
      <alignment horizontal="center" vertical="center" wrapText="1"/>
      <protection locked="0"/>
    </xf>
    <xf numFmtId="0" fontId="9" fillId="0" borderId="0" xfId="0" applyFont="1"/>
    <xf numFmtId="0" fontId="9" fillId="0" borderId="1" xfId="0" applyFont="1" applyBorder="1"/>
    <xf numFmtId="0" fontId="9" fillId="0" borderId="1" xfId="0" applyFont="1" applyBorder="1" applyAlignment="1">
      <alignment horizontal="center"/>
    </xf>
    <xf numFmtId="0" fontId="9" fillId="0" borderId="1" xfId="0" applyFont="1" applyBorder="1" applyAlignment="1" applyProtection="1">
      <alignment horizontal="center"/>
      <protection locked="0"/>
    </xf>
    <xf numFmtId="4" fontId="9" fillId="0" borderId="1" xfId="0" applyNumberFormat="1" applyFont="1" applyBorder="1" applyAlignment="1">
      <alignment horizontal="center"/>
    </xf>
    <xf numFmtId="0" fontId="5" fillId="0" borderId="1" xfId="0" applyFont="1" applyBorder="1" applyAlignment="1">
      <alignment vertical="center" wrapText="1"/>
    </xf>
    <xf numFmtId="0" fontId="6" fillId="0" borderId="3" xfId="0" applyFont="1" applyBorder="1" applyAlignment="1">
      <alignment horizontal="center" vertical="top" wrapText="1"/>
    </xf>
    <xf numFmtId="0" fontId="6" fillId="0" borderId="3" xfId="0" applyFont="1" applyBorder="1" applyAlignment="1" applyProtection="1">
      <alignment horizontal="center" vertical="top" wrapText="1"/>
      <protection locked="0"/>
    </xf>
    <xf numFmtId="0" fontId="7" fillId="0" borderId="0" xfId="0" applyFont="1"/>
    <xf numFmtId="0" fontId="7" fillId="0" borderId="1" xfId="0" applyFont="1" applyBorder="1" applyAlignment="1" applyProtection="1">
      <alignment horizontal="center" vertical="center" wrapText="1"/>
      <protection locked="0"/>
    </xf>
    <xf numFmtId="0" fontId="10" fillId="4" borderId="2" xfId="3" applyFont="1" applyFill="1" applyAlignment="1">
      <alignment horizontal="center" vertical="center" wrapText="1"/>
    </xf>
    <xf numFmtId="0" fontId="7" fillId="0" borderId="5"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pplyProtection="1">
      <alignment horizontal="center" vertical="center" wrapText="1"/>
      <protection locked="0"/>
    </xf>
    <xf numFmtId="0" fontId="9" fillId="0" borderId="0" xfId="0" applyFont="1" applyAlignment="1">
      <alignment horizontal="center"/>
    </xf>
    <xf numFmtId="0" fontId="9" fillId="0" borderId="0" xfId="0" applyFont="1" applyAlignment="1" applyProtection="1">
      <alignment horizontal="center"/>
      <protection locked="0"/>
    </xf>
    <xf numFmtId="4" fontId="9" fillId="0" borderId="0" xfId="0" applyNumberFormat="1" applyFont="1" applyAlignment="1">
      <alignment horizontal="center"/>
    </xf>
    <xf numFmtId="0" fontId="4" fillId="0" borderId="0" xfId="0" applyFont="1" applyAlignment="1">
      <alignment horizontal="center" vertical="center" wrapText="1"/>
    </xf>
    <xf numFmtId="0" fontId="9" fillId="0" borderId="1" xfId="0" applyFont="1" applyBorder="1" applyAlignment="1">
      <alignment horizontal="center" vertical="top" wrapText="1"/>
    </xf>
    <xf numFmtId="0" fontId="7" fillId="0" borderId="0" xfId="0" applyFont="1" applyAlignment="1">
      <alignment horizontal="center" vertical="center" wrapText="1"/>
    </xf>
    <xf numFmtId="0" fontId="6" fillId="0" borderId="0" xfId="0" applyFont="1" applyAlignment="1">
      <alignment horizontal="center" vertical="top" wrapText="1"/>
    </xf>
    <xf numFmtId="0" fontId="12" fillId="0" borderId="1" xfId="0" applyFont="1" applyBorder="1" applyAlignment="1">
      <alignment vertical="center" wrapText="1"/>
    </xf>
    <xf numFmtId="4" fontId="7" fillId="0" borderId="1" xfId="0" applyNumberFormat="1" applyFont="1" applyBorder="1" applyAlignment="1">
      <alignment horizontal="center" vertical="center" wrapText="1"/>
    </xf>
    <xf numFmtId="0" fontId="8" fillId="0" borderId="0" xfId="0" applyFont="1" applyAlignment="1">
      <alignment wrapText="1"/>
    </xf>
    <xf numFmtId="0" fontId="8" fillId="0" borderId="0" xfId="0" applyFont="1" applyAlignment="1">
      <alignment horizontal="center" wrapText="1"/>
    </xf>
    <xf numFmtId="4" fontId="8" fillId="0" borderId="0" xfId="0" applyNumberFormat="1" applyFont="1" applyAlignment="1">
      <alignment horizontal="center" wrapText="1"/>
    </xf>
    <xf numFmtId="0" fontId="9" fillId="0" borderId="3" xfId="0" applyFont="1" applyBorder="1"/>
    <xf numFmtId="0" fontId="9" fillId="0" borderId="3" xfId="0" applyFont="1" applyBorder="1" applyAlignment="1">
      <alignment horizontal="center"/>
    </xf>
    <xf numFmtId="4" fontId="9" fillId="0" borderId="3" xfId="0" applyNumberFormat="1" applyFont="1" applyBorder="1" applyAlignment="1">
      <alignment horizontal="center"/>
    </xf>
    <xf numFmtId="0" fontId="8" fillId="0" borderId="1" xfId="0" applyFont="1" applyBorder="1" applyAlignment="1">
      <alignment vertical="top" wrapText="1"/>
    </xf>
    <xf numFmtId="0" fontId="8" fillId="0" borderId="1" xfId="0" applyFont="1" applyBorder="1" applyAlignment="1">
      <alignment horizontal="center" vertical="top" wrapText="1"/>
    </xf>
    <xf numFmtId="0" fontId="13" fillId="0" borderId="1" xfId="0" applyFont="1" applyBorder="1" applyAlignment="1">
      <alignment horizontal="center" vertical="top" wrapText="1"/>
    </xf>
    <xf numFmtId="4" fontId="13" fillId="0" borderId="1" xfId="0" applyNumberFormat="1" applyFont="1" applyBorder="1" applyAlignment="1">
      <alignment horizontal="center" vertical="top" wrapText="1"/>
    </xf>
    <xf numFmtId="0" fontId="13" fillId="0" borderId="0" xfId="0" applyFont="1" applyAlignment="1">
      <alignment horizontal="center" vertical="top" wrapText="1"/>
    </xf>
    <xf numFmtId="0" fontId="9" fillId="0" borderId="0" xfId="0" applyFont="1" applyAlignment="1">
      <alignment vertical="top" wrapText="1"/>
    </xf>
    <xf numFmtId="1" fontId="10" fillId="4" borderId="2" xfId="3" applyNumberFormat="1" applyFont="1" applyFill="1" applyAlignment="1">
      <alignment horizontal="center" vertical="center" wrapText="1"/>
    </xf>
    <xf numFmtId="0" fontId="8" fillId="0" borderId="4"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8" fillId="0" borderId="1" xfId="0" applyFont="1" applyBorder="1" applyAlignment="1">
      <alignment vertical="center" wrapText="1"/>
    </xf>
    <xf numFmtId="0" fontId="15" fillId="0" borderId="1" xfId="0" applyFont="1" applyBorder="1" applyAlignment="1">
      <alignment vertical="center" wrapText="1"/>
    </xf>
    <xf numFmtId="0" fontId="13" fillId="0" borderId="1" xfId="0" applyFont="1" applyBorder="1" applyAlignment="1">
      <alignment vertical="center" wrapText="1"/>
    </xf>
    <xf numFmtId="4" fontId="13" fillId="0" borderId="1" xfId="0" applyNumberFormat="1" applyFont="1" applyBorder="1" applyAlignment="1">
      <alignment vertical="center" wrapText="1"/>
    </xf>
    <xf numFmtId="0" fontId="13" fillId="0" borderId="0" xfId="0" applyFont="1" applyAlignment="1">
      <alignment vertical="center" wrapText="1"/>
    </xf>
    <xf numFmtId="0" fontId="7" fillId="0" borderId="1" xfId="0" applyFont="1" applyBorder="1" applyAlignment="1">
      <alignment vertical="center"/>
    </xf>
    <xf numFmtId="0" fontId="14" fillId="0" borderId="1" xfId="0" applyFont="1" applyBorder="1" applyAlignment="1">
      <alignment vertical="center" wrapText="1"/>
    </xf>
    <xf numFmtId="0" fontId="13" fillId="0" borderId="3" xfId="0" applyFont="1" applyBorder="1" applyAlignment="1">
      <alignment vertical="center" wrapText="1"/>
    </xf>
    <xf numFmtId="0" fontId="16" fillId="0" borderId="3" xfId="0" applyFont="1" applyBorder="1" applyAlignment="1">
      <alignment vertical="top" wrapText="1"/>
    </xf>
    <xf numFmtId="4" fontId="13" fillId="0" borderId="8" xfId="0" applyNumberFormat="1" applyFont="1" applyBorder="1" applyAlignment="1">
      <alignment vertical="center" wrapText="1"/>
    </xf>
    <xf numFmtId="0" fontId="8" fillId="0" borderId="9" xfId="0" applyFont="1" applyBorder="1" applyAlignment="1">
      <alignment horizontal="right"/>
    </xf>
    <xf numFmtId="0" fontId="8" fillId="0" borderId="10" xfId="0" applyFont="1" applyBorder="1" applyAlignment="1">
      <alignment horizontal="right"/>
    </xf>
    <xf numFmtId="0" fontId="8" fillId="0" borderId="11" xfId="0" applyFont="1" applyBorder="1" applyAlignment="1">
      <alignment horizontal="right"/>
    </xf>
    <xf numFmtId="4" fontId="9" fillId="0" borderId="12" xfId="0" applyNumberFormat="1" applyFont="1" applyBorder="1" applyAlignment="1">
      <alignment horizontal="center"/>
    </xf>
    <xf numFmtId="0" fontId="9" fillId="0" borderId="0" xfId="0" applyFont="1" applyAlignment="1">
      <alignment horizontal="right"/>
    </xf>
    <xf numFmtId="0" fontId="7" fillId="0" borderId="13"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pplyProtection="1">
      <alignment horizontal="center" vertical="center"/>
      <protection locked="0"/>
    </xf>
    <xf numFmtId="4" fontId="9" fillId="0" borderId="0" xfId="0" applyNumberFormat="1" applyFont="1" applyAlignment="1">
      <alignment horizontal="center" vertical="center"/>
    </xf>
    <xf numFmtId="0" fontId="9" fillId="0" borderId="3" xfId="0" applyFont="1" applyBorder="1" applyAlignment="1" applyProtection="1">
      <alignment horizontal="center"/>
      <protection locked="0"/>
    </xf>
    <xf numFmtId="0" fontId="17" fillId="0" borderId="1" xfId="0" applyFont="1" applyBorder="1" applyAlignment="1">
      <alignment vertical="center" wrapText="1"/>
    </xf>
    <xf numFmtId="0" fontId="5" fillId="0" borderId="1" xfId="0" applyFont="1" applyBorder="1" applyAlignment="1">
      <alignment horizontal="center" vertical="center" wrapText="1"/>
    </xf>
    <xf numFmtId="0" fontId="7" fillId="0" borderId="3" xfId="0" applyFont="1" applyBorder="1" applyAlignment="1">
      <alignment vertical="center" wrapText="1"/>
    </xf>
    <xf numFmtId="0" fontId="12" fillId="0" borderId="3" xfId="0" applyFont="1" applyBorder="1" applyAlignment="1">
      <alignment vertical="center" wrapText="1"/>
    </xf>
    <xf numFmtId="0" fontId="7" fillId="0" borderId="3" xfId="0" applyFont="1" applyBorder="1" applyAlignment="1">
      <alignment horizontal="center" vertical="center" wrapText="1"/>
    </xf>
    <xf numFmtId="0" fontId="7" fillId="0" borderId="3" xfId="0" applyFont="1" applyBorder="1" applyAlignment="1" applyProtection="1">
      <alignment horizontal="center" vertical="center" wrapText="1"/>
      <protection locked="0"/>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pplyProtection="1">
      <alignment horizontal="center" vertical="center" wrapText="1"/>
      <protection locked="0"/>
    </xf>
    <xf numFmtId="4" fontId="5" fillId="0" borderId="1" xfId="0" applyNumberFormat="1" applyFont="1" applyBorder="1" applyAlignment="1">
      <alignment vertical="center" wrapText="1"/>
    </xf>
    <xf numFmtId="0" fontId="5" fillId="0" borderId="0" xfId="0" applyFont="1" applyAlignment="1">
      <alignment vertical="center" wrapText="1"/>
    </xf>
    <xf numFmtId="0" fontId="7" fillId="0" borderId="0" xfId="0" applyFont="1" applyAlignment="1">
      <alignment horizontal="right" vertical="center" wrapText="1"/>
    </xf>
    <xf numFmtId="0" fontId="5" fillId="0" borderId="1" xfId="0" applyFont="1" applyBorder="1" applyAlignment="1" applyProtection="1">
      <alignment horizontal="center" vertical="center" wrapText="1"/>
      <protection locked="0"/>
    </xf>
    <xf numFmtId="0" fontId="14" fillId="0" borderId="3" xfId="0" applyFont="1" applyBorder="1" applyAlignment="1">
      <alignment vertical="center" wrapText="1"/>
    </xf>
    <xf numFmtId="0" fontId="7" fillId="0" borderId="1" xfId="0" applyFont="1" applyBorder="1" applyAlignment="1" applyProtection="1">
      <alignment vertical="center" wrapText="1"/>
      <protection locked="0"/>
    </xf>
    <xf numFmtId="0" fontId="6" fillId="0" borderId="1" xfId="0" applyFont="1" applyBorder="1" applyAlignment="1">
      <alignment horizontal="center" vertical="top" wrapText="1"/>
    </xf>
    <xf numFmtId="4" fontId="7" fillId="0" borderId="1" xfId="0" applyNumberFormat="1" applyFont="1" applyBorder="1" applyAlignment="1">
      <alignment vertical="center" wrapText="1"/>
    </xf>
    <xf numFmtId="0" fontId="14" fillId="0" borderId="1" xfId="0" applyFont="1" applyBorder="1" applyAlignment="1">
      <alignment vertical="center"/>
    </xf>
    <xf numFmtId="165" fontId="9" fillId="0" borderId="0" xfId="1" applyNumberFormat="1" applyFont="1" applyFill="1" applyBorder="1" applyAlignment="1">
      <alignment horizontal="center"/>
    </xf>
    <xf numFmtId="0" fontId="6" fillId="0" borderId="1" xfId="0" applyFont="1" applyBorder="1" applyAlignment="1">
      <alignment vertical="center" wrapText="1"/>
    </xf>
    <xf numFmtId="4" fontId="13" fillId="0" borderId="12" xfId="0" applyNumberFormat="1" applyFont="1" applyBorder="1" applyAlignment="1">
      <alignment horizontal="center" vertical="center" wrapText="1"/>
    </xf>
    <xf numFmtId="0" fontId="13" fillId="0" borderId="0" xfId="0" applyFont="1" applyAlignment="1">
      <alignment horizontal="center" vertical="center" wrapText="1"/>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8" fillId="0" borderId="11" xfId="0" applyFont="1" applyBorder="1" applyAlignment="1" applyProtection="1">
      <alignment horizontal="right"/>
      <protection locked="0"/>
    </xf>
    <xf numFmtId="4" fontId="18" fillId="0" borderId="1" xfId="0" applyNumberFormat="1" applyFont="1" applyBorder="1" applyAlignment="1">
      <alignment horizontal="center" vertical="center" wrapText="1"/>
    </xf>
    <xf numFmtId="4" fontId="7" fillId="0" borderId="3" xfId="0" applyNumberFormat="1" applyFont="1" applyBorder="1" applyAlignment="1">
      <alignment horizontal="center"/>
    </xf>
    <xf numFmtId="4" fontId="5" fillId="0" borderId="1" xfId="0" applyNumberFormat="1" applyFont="1" applyBorder="1" applyAlignment="1">
      <alignment horizontal="center" vertical="center" wrapText="1"/>
    </xf>
    <xf numFmtId="4" fontId="8" fillId="0" borderId="0" xfId="0" applyNumberFormat="1" applyFont="1" applyAlignment="1">
      <alignment horizontal="center" vertical="center" wrapText="1"/>
    </xf>
    <xf numFmtId="4" fontId="13" fillId="0" borderId="0" xfId="0" applyNumberFormat="1" applyFont="1" applyAlignment="1">
      <alignment horizontal="center" vertical="center" wrapText="1"/>
    </xf>
    <xf numFmtId="4" fontId="5" fillId="0" borderId="1" xfId="0" applyNumberFormat="1" applyFont="1" applyBorder="1" applyAlignment="1">
      <alignment horizontal="center"/>
    </xf>
    <xf numFmtId="4" fontId="7" fillId="0" borderId="0" xfId="0" applyNumberFormat="1" applyFont="1" applyAlignment="1">
      <alignment horizontal="center"/>
    </xf>
    <xf numFmtId="4" fontId="4" fillId="0" borderId="0" xfId="0" applyNumberFormat="1" applyFont="1" applyAlignment="1">
      <alignment horizontal="center" vertical="center" wrapText="1"/>
    </xf>
    <xf numFmtId="0" fontId="8"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16" fillId="0" borderId="1" xfId="0" applyFont="1" applyBorder="1" applyAlignment="1">
      <alignment horizontal="center" vertical="top" wrapText="1"/>
    </xf>
    <xf numFmtId="4" fontId="9" fillId="0" borderId="3" xfId="0" applyNumberFormat="1" applyFont="1" applyBorder="1" applyAlignment="1">
      <alignment horizontal="center" vertical="center" wrapText="1"/>
    </xf>
    <xf numFmtId="4" fontId="9" fillId="0" borderId="0" xfId="0" applyNumberFormat="1" applyFont="1" applyAlignment="1">
      <alignment horizontal="center" vertical="center" wrapText="1"/>
    </xf>
    <xf numFmtId="4" fontId="13" fillId="0" borderId="3" xfId="0" applyNumberFormat="1" applyFont="1" applyBorder="1" applyAlignment="1">
      <alignment horizontal="center" vertical="center" wrapText="1"/>
    </xf>
    <xf numFmtId="4" fontId="8" fillId="0" borderId="1" xfId="0" applyNumberFormat="1" applyFont="1" applyBorder="1" applyAlignment="1">
      <alignment horizontal="center" vertical="center" wrapText="1"/>
    </xf>
    <xf numFmtId="4" fontId="13" fillId="0" borderId="1" xfId="0" applyNumberFormat="1" applyFont="1" applyBorder="1" applyAlignment="1">
      <alignment horizontal="center" vertical="center" wrapText="1"/>
    </xf>
    <xf numFmtId="0" fontId="18" fillId="0" borderId="1" xfId="0" applyFont="1" applyBorder="1" applyAlignment="1" applyProtection="1">
      <alignment horizontal="center" vertical="center" wrapText="1"/>
      <protection locked="0"/>
    </xf>
    <xf numFmtId="0" fontId="7" fillId="0" borderId="3" xfId="0" applyFont="1" applyBorder="1" applyAlignment="1" applyProtection="1">
      <alignment horizontal="center"/>
      <protection locked="0"/>
    </xf>
    <xf numFmtId="0" fontId="20" fillId="0" borderId="1" xfId="0"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22" fillId="0" borderId="1" xfId="0" applyFont="1" applyBorder="1" applyAlignment="1">
      <alignment vertical="center" wrapText="1"/>
    </xf>
    <xf numFmtId="0" fontId="9" fillId="0" borderId="1" xfId="0" applyFont="1" applyBorder="1" applyAlignment="1" applyProtection="1">
      <alignment horizontal="center" vertical="center" wrapText="1"/>
      <protection locked="0"/>
    </xf>
    <xf numFmtId="0" fontId="21" fillId="0" borderId="0" xfId="0" applyFont="1" applyAlignment="1" applyProtection="1">
      <alignment horizontal="center"/>
      <protection locked="0"/>
    </xf>
    <xf numFmtId="0" fontId="8" fillId="0" borderId="1"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5" fillId="0" borderId="15" xfId="0" applyFont="1" applyBorder="1"/>
    <xf numFmtId="0" fontId="8" fillId="0" borderId="1" xfId="0" applyFont="1" applyBorder="1"/>
    <xf numFmtId="166" fontId="8" fillId="0" borderId="1" xfId="1" applyNumberFormat="1" applyFont="1" applyFill="1" applyBorder="1" applyAlignment="1">
      <alignment horizontal="center"/>
    </xf>
    <xf numFmtId="165" fontId="9" fillId="0" borderId="0" xfId="1" applyNumberFormat="1" applyFont="1" applyFill="1" applyBorder="1"/>
    <xf numFmtId="0" fontId="15" fillId="0" borderId="1" xfId="0" applyFont="1" applyBorder="1"/>
    <xf numFmtId="0" fontId="8" fillId="0" borderId="1" xfId="0" applyFont="1" applyBorder="1" applyAlignment="1">
      <alignment vertical="center"/>
    </xf>
    <xf numFmtId="0" fontId="8" fillId="0" borderId="0" xfId="0" applyFont="1" applyAlignment="1">
      <alignment horizontal="center" vertical="center" wrapText="1"/>
    </xf>
    <xf numFmtId="0" fontId="23" fillId="0" borderId="1" xfId="0" applyFont="1" applyBorder="1" applyAlignment="1">
      <alignment vertical="center"/>
    </xf>
    <xf numFmtId="0" fontId="23" fillId="0" borderId="1" xfId="0" applyFont="1" applyBorder="1" applyAlignment="1">
      <alignment vertical="center" wrapText="1"/>
    </xf>
    <xf numFmtId="0" fontId="23" fillId="0" borderId="4" xfId="0" applyFont="1" applyBorder="1" applyAlignment="1">
      <alignment vertical="center" wrapText="1"/>
    </xf>
    <xf numFmtId="0" fontId="23" fillId="0" borderId="0" xfId="0" applyFont="1" applyAlignment="1">
      <alignment horizontal="center" vertical="center"/>
    </xf>
    <xf numFmtId="0" fontId="11" fillId="0" borderId="0" xfId="2" applyFont="1" applyFill="1" applyBorder="1" applyAlignment="1">
      <alignment horizontal="center" vertical="center" wrapText="1"/>
    </xf>
    <xf numFmtId="0" fontId="7" fillId="0" borderId="1" xfId="0" applyFont="1" applyBorder="1" applyAlignment="1">
      <alignment horizontal="center" vertical="center"/>
    </xf>
    <xf numFmtId="0" fontId="10" fillId="4" borderId="17" xfId="3" applyFont="1" applyFill="1" applyBorder="1" applyAlignment="1">
      <alignment horizontal="center" vertical="center" wrapText="1"/>
    </xf>
    <xf numFmtId="0" fontId="10" fillId="0" borderId="2" xfId="3" applyFont="1" applyFill="1" applyAlignment="1">
      <alignment horizontal="center" vertical="center" wrapText="1"/>
    </xf>
    <xf numFmtId="0" fontId="7" fillId="0" borderId="0" xfId="0" applyFont="1" applyAlignment="1">
      <alignment wrapText="1"/>
    </xf>
    <xf numFmtId="0" fontId="3" fillId="3" borderId="2" xfId="3" applyAlignment="1">
      <alignment horizontal="center" vertical="center" wrapText="1"/>
    </xf>
    <xf numFmtId="1" fontId="2" fillId="2" borderId="2" xfId="2" applyNumberFormat="1" applyAlignment="1">
      <alignment horizontal="center" vertical="center" wrapText="1"/>
    </xf>
    <xf numFmtId="166" fontId="3" fillId="3" borderId="2" xfId="3" applyNumberFormat="1" applyAlignment="1">
      <alignment horizontal="center" vertical="center" wrapText="1"/>
    </xf>
    <xf numFmtId="166" fontId="3" fillId="3" borderId="2" xfId="3" applyNumberFormat="1" applyAlignment="1">
      <alignment horizontal="center"/>
    </xf>
    <xf numFmtId="0" fontId="7" fillId="0" borderId="4" xfId="0" applyFont="1" applyBorder="1" applyAlignment="1">
      <alignment horizontal="center" vertical="center" wrapText="1"/>
    </xf>
    <xf numFmtId="0" fontId="3" fillId="3" borderId="17" xfId="3" applyBorder="1" applyAlignment="1">
      <alignment horizontal="center" vertical="center" wrapText="1"/>
    </xf>
    <xf numFmtId="1" fontId="3" fillId="3" borderId="2" xfId="3" applyNumberFormat="1" applyAlignment="1">
      <alignment horizontal="center" vertical="center" wrapText="1"/>
    </xf>
    <xf numFmtId="1" fontId="9" fillId="0" borderId="1" xfId="0" applyNumberFormat="1" applyFont="1" applyBorder="1" applyAlignment="1">
      <alignment horizontal="center" vertical="center" wrapText="1"/>
    </xf>
    <xf numFmtId="0" fontId="2" fillId="2" borderId="2" xfId="2" applyAlignment="1">
      <alignment horizontal="center" vertical="center" wrapText="1"/>
    </xf>
    <xf numFmtId="0" fontId="7" fillId="5" borderId="1" xfId="0" applyFont="1" applyFill="1" applyBorder="1" applyAlignment="1">
      <alignment horizontal="center" vertical="center" wrapText="1"/>
    </xf>
    <xf numFmtId="3" fontId="7" fillId="5" borderId="3" xfId="0" applyNumberFormat="1" applyFont="1" applyFill="1" applyBorder="1" applyAlignment="1">
      <alignment horizontal="center" vertical="center" wrapText="1"/>
    </xf>
    <xf numFmtId="0" fontId="9" fillId="6" borderId="0" xfId="0" applyFont="1" applyFill="1"/>
    <xf numFmtId="0" fontId="7" fillId="6" borderId="0" xfId="0" applyFont="1" applyFill="1"/>
    <xf numFmtId="0" fontId="5" fillId="6" borderId="0" xfId="0" applyFont="1" applyFill="1"/>
  </cellXfs>
  <cellStyles count="4">
    <cellStyle name="Calculation" xfId="3" builtinId="22"/>
    <cellStyle name="Currency" xfId="1" builtinId="4"/>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20BOQ%20Quantities_Rev%20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P:\IEDBA\Data5000\GEOTECH\Geotech%20Master%20Files\Master%20GI%20Documents\BOQ\Master%20BOQ\All%20Jobs\2%20BOQ%20Calculator_Rev%20A.xlsx" TargetMode="External"/><Relationship Id="rId1" Type="http://schemas.openxmlformats.org/officeDocument/2006/relationships/externalLinkPath" Target="2%20BOQ%20Calculator_Rev%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 A"/>
      <sheetName val="Section B"/>
      <sheetName val="Section C"/>
      <sheetName val="Section D"/>
      <sheetName val="Section E"/>
      <sheetName val="Section F"/>
      <sheetName val="Section G"/>
      <sheetName val="Section H"/>
      <sheetName val="Section I"/>
      <sheetName val="Section J"/>
      <sheetName val="Section K"/>
      <sheetName val="Section L"/>
      <sheetName val="Summary"/>
      <sheetName val="Appendices"/>
      <sheetName val="Calculator"/>
    </sheetNames>
    <sheetDataSet>
      <sheetData sheetId="0">
        <row r="35">
          <cell r="D35">
            <v>0</v>
          </cell>
        </row>
        <row r="36">
          <cell r="D36">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ction A"/>
      <sheetName val="Section B"/>
      <sheetName val="Section C"/>
      <sheetName val="Section D"/>
      <sheetName val="Section E"/>
      <sheetName val="Section F"/>
      <sheetName val="Section G"/>
      <sheetName val="Section H"/>
      <sheetName val="Section I"/>
      <sheetName val="Section J"/>
      <sheetName val="Section K"/>
      <sheetName val="Section L"/>
      <sheetName val="Summary"/>
      <sheetName val="Appendices"/>
      <sheetName val="Calculator"/>
    </sheetNames>
    <sheetDataSet>
      <sheetData sheetId="0" refreshError="1"/>
      <sheetData sheetId="1">
        <row r="11">
          <cell r="D11" t="e">
            <v>#VALUE!</v>
          </cell>
        </row>
        <row r="12">
          <cell r="D12" t="e">
            <v>#VALUE!</v>
          </cell>
        </row>
        <row r="13">
          <cell r="D13" t="e">
            <v>#VALUE!</v>
          </cell>
        </row>
        <row r="14">
          <cell r="D14" t="e">
            <v>#VALUE!</v>
          </cell>
        </row>
        <row r="16">
          <cell r="D16" t="e">
            <v>#VALUE!</v>
          </cell>
        </row>
        <row r="17">
          <cell r="D17" t="e">
            <v>#VALUE!</v>
          </cell>
        </row>
        <row r="18">
          <cell r="D18" t="e">
            <v>#VALUE!</v>
          </cell>
        </row>
        <row r="19">
          <cell r="D19" t="e">
            <v>#VALUE!</v>
          </cell>
        </row>
        <row r="20">
          <cell r="D20">
            <v>0</v>
          </cell>
        </row>
        <row r="21">
          <cell r="D21">
            <v>0</v>
          </cell>
        </row>
        <row r="22">
          <cell r="D22">
            <v>0</v>
          </cell>
        </row>
        <row r="23">
          <cell r="D23">
            <v>0</v>
          </cell>
        </row>
        <row r="24">
          <cell r="D24" t="str">
            <v>Not Required</v>
          </cell>
        </row>
        <row r="25">
          <cell r="D25" t="e">
            <v>#VALUE!</v>
          </cell>
        </row>
        <row r="28">
          <cell r="D28" t="e">
            <v>#VALUE!</v>
          </cell>
        </row>
        <row r="30">
          <cell r="D30">
            <v>0</v>
          </cell>
        </row>
        <row r="31">
          <cell r="D31" t="e">
            <v>#VALUE!</v>
          </cell>
        </row>
        <row r="32">
          <cell r="D32">
            <v>0</v>
          </cell>
        </row>
        <row r="33">
          <cell r="D33">
            <v>0</v>
          </cell>
        </row>
        <row r="34">
          <cell r="D34">
            <v>0</v>
          </cell>
        </row>
        <row r="35">
          <cell r="D35">
            <v>0</v>
          </cell>
        </row>
        <row r="36">
          <cell r="D36">
            <v>0</v>
          </cell>
        </row>
        <row r="37">
          <cell r="D37">
            <v>0</v>
          </cell>
        </row>
        <row r="38">
          <cell r="D38" t="str">
            <v>Included in B13</v>
          </cell>
        </row>
      </sheetData>
      <sheetData sheetId="2">
        <row r="29">
          <cell r="D29" t="e">
            <v>#VALUE!</v>
          </cell>
        </row>
        <row r="30">
          <cell r="D30" t="e">
            <v>#VALUE!</v>
          </cell>
        </row>
        <row r="31">
          <cell r="D31" t="e">
            <v>#VALUE!</v>
          </cell>
        </row>
        <row r="32">
          <cell r="D32" t="e">
            <v>#VALUE!</v>
          </cell>
        </row>
        <row r="33">
          <cell r="D33" t="e">
            <v>#VALUE!</v>
          </cell>
        </row>
        <row r="34">
          <cell r="D34" t="e">
            <v>#VALUE!</v>
          </cell>
        </row>
        <row r="35">
          <cell r="D35" t="str">
            <v>Not Required </v>
          </cell>
        </row>
        <row r="36">
          <cell r="D36" t="e">
            <v>#VALUE!</v>
          </cell>
        </row>
        <row r="37">
          <cell r="D37" t="e">
            <v>#VALUE!</v>
          </cell>
        </row>
        <row r="38">
          <cell r="D38" t="str">
            <v>Not Required </v>
          </cell>
        </row>
        <row r="40">
          <cell r="D40">
            <v>0</v>
          </cell>
        </row>
        <row r="41">
          <cell r="D41">
            <v>0</v>
          </cell>
        </row>
        <row r="42">
          <cell r="D42">
            <v>0</v>
          </cell>
        </row>
        <row r="43">
          <cell r="D43">
            <v>0</v>
          </cell>
        </row>
        <row r="44">
          <cell r="D44" t="str">
            <v>Not Required </v>
          </cell>
        </row>
        <row r="45">
          <cell r="D45" t="str">
            <v>Not Required </v>
          </cell>
        </row>
        <row r="46">
          <cell r="D46">
            <v>0</v>
          </cell>
        </row>
        <row r="47">
          <cell r="D47">
            <v>0</v>
          </cell>
        </row>
        <row r="48">
          <cell r="D48">
            <v>0</v>
          </cell>
        </row>
        <row r="49">
          <cell r="D49">
            <v>0</v>
          </cell>
        </row>
        <row r="50">
          <cell r="D50" t="str">
            <v>Not Required </v>
          </cell>
        </row>
        <row r="51">
          <cell r="D51" t="str">
            <v>Not Required </v>
          </cell>
        </row>
        <row r="54">
          <cell r="D54">
            <v>0</v>
          </cell>
        </row>
        <row r="55">
          <cell r="D55">
            <v>0</v>
          </cell>
        </row>
        <row r="56">
          <cell r="D56">
            <v>0</v>
          </cell>
        </row>
        <row r="57">
          <cell r="D57">
            <v>0</v>
          </cell>
        </row>
        <row r="58">
          <cell r="D58" t="str">
            <v>Not Required </v>
          </cell>
        </row>
        <row r="59">
          <cell r="D59" t="str">
            <v>Not Required </v>
          </cell>
        </row>
        <row r="60">
          <cell r="D60" t="str">
            <v>Not Required </v>
          </cell>
        </row>
        <row r="61">
          <cell r="D61">
            <v>0</v>
          </cell>
        </row>
        <row r="62">
          <cell r="D62">
            <v>0</v>
          </cell>
        </row>
        <row r="63">
          <cell r="D63">
            <v>0</v>
          </cell>
        </row>
        <row r="64">
          <cell r="D64">
            <v>0</v>
          </cell>
        </row>
        <row r="65">
          <cell r="D65" t="str">
            <v>Not Required </v>
          </cell>
        </row>
        <row r="66">
          <cell r="D66" t="str">
            <v>Not Required </v>
          </cell>
        </row>
        <row r="67">
          <cell r="D67" t="str">
            <v>Not Required </v>
          </cell>
        </row>
      </sheetData>
      <sheetData sheetId="3">
        <row r="12">
          <cell r="D12">
            <v>0</v>
          </cell>
        </row>
        <row r="13">
          <cell r="D13">
            <v>0</v>
          </cell>
        </row>
        <row r="15">
          <cell r="D15" t="e">
            <v>#VALUE!</v>
          </cell>
        </row>
        <row r="16">
          <cell r="D16" t="e">
            <v>#VALUE!</v>
          </cell>
        </row>
        <row r="17">
          <cell r="D17" t="e">
            <v>#VALUE!</v>
          </cell>
        </row>
        <row r="19">
          <cell r="D19" t="e">
            <v>#VALUE!</v>
          </cell>
        </row>
        <row r="20">
          <cell r="D20" t="e">
            <v>#VALUE!</v>
          </cell>
        </row>
        <row r="22">
          <cell r="D22">
            <v>0</v>
          </cell>
        </row>
        <row r="23">
          <cell r="D23">
            <v>0</v>
          </cell>
        </row>
        <row r="26">
          <cell r="D26" t="e">
            <v>#VALUE!</v>
          </cell>
        </row>
        <row r="27">
          <cell r="D27" t="e">
            <v>#VALUE!</v>
          </cell>
        </row>
        <row r="28">
          <cell r="D28" t="e">
            <v>#VALUE!</v>
          </cell>
        </row>
        <row r="29">
          <cell r="D29">
            <v>0</v>
          </cell>
        </row>
        <row r="30">
          <cell r="D30">
            <v>0</v>
          </cell>
        </row>
        <row r="31">
          <cell r="D31" t="e">
            <v>#VALUE!</v>
          </cell>
        </row>
        <row r="32">
          <cell r="D32">
            <v>0</v>
          </cell>
        </row>
        <row r="33">
          <cell r="D33">
            <v>0</v>
          </cell>
        </row>
        <row r="34">
          <cell r="D34" t="e">
            <v>#VALUE!</v>
          </cell>
        </row>
        <row r="49">
          <cell r="D49" t="str">
            <v>Not Required</v>
          </cell>
        </row>
        <row r="70">
          <cell r="D70">
            <v>0</v>
          </cell>
        </row>
        <row r="72">
          <cell r="D72">
            <v>0</v>
          </cell>
        </row>
      </sheetData>
      <sheetData sheetId="4">
        <row r="12">
          <cell r="D12">
            <v>0</v>
          </cell>
        </row>
        <row r="13">
          <cell r="D13">
            <v>0</v>
          </cell>
        </row>
        <row r="14">
          <cell r="D14">
            <v>0</v>
          </cell>
        </row>
        <row r="15">
          <cell r="D15">
            <v>0</v>
          </cell>
        </row>
        <row r="16">
          <cell r="D16">
            <v>0</v>
          </cell>
        </row>
        <row r="18">
          <cell r="D18">
            <v>0</v>
          </cell>
        </row>
        <row r="19">
          <cell r="D19">
            <v>0</v>
          </cell>
        </row>
        <row r="25">
          <cell r="D25" t="e">
            <v>#VALUE!</v>
          </cell>
        </row>
        <row r="29">
          <cell r="D29" t="e">
            <v>#VALUE!</v>
          </cell>
        </row>
      </sheetData>
      <sheetData sheetId="5">
        <row r="11">
          <cell r="D11">
            <v>0</v>
          </cell>
        </row>
        <row r="12">
          <cell r="D12" t="e">
            <v>#VALUE!</v>
          </cell>
        </row>
        <row r="13">
          <cell r="D13">
            <v>0</v>
          </cell>
        </row>
        <row r="14">
          <cell r="D14">
            <v>0</v>
          </cell>
        </row>
        <row r="15">
          <cell r="D15">
            <v>0</v>
          </cell>
        </row>
        <row r="16">
          <cell r="D16">
            <v>0</v>
          </cell>
        </row>
        <row r="19">
          <cell r="D19">
            <v>0</v>
          </cell>
        </row>
        <row r="20">
          <cell r="D20" t="e">
            <v>#VALUE!</v>
          </cell>
        </row>
        <row r="21">
          <cell r="D21">
            <v>0</v>
          </cell>
        </row>
        <row r="22">
          <cell r="D22">
            <v>0</v>
          </cell>
        </row>
        <row r="23">
          <cell r="D23">
            <v>0</v>
          </cell>
        </row>
        <row r="24">
          <cell r="D24">
            <v>0</v>
          </cell>
        </row>
        <row r="29">
          <cell r="D29">
            <v>0</v>
          </cell>
        </row>
      </sheetData>
      <sheetData sheetId="6" refreshError="1"/>
      <sheetData sheetId="7">
        <row r="10">
          <cell r="D10">
            <v>0</v>
          </cell>
        </row>
        <row r="11">
          <cell r="D11">
            <v>0</v>
          </cell>
        </row>
        <row r="12">
          <cell r="D12">
            <v>0</v>
          </cell>
        </row>
        <row r="13">
          <cell r="D13" t="str">
            <v>Not Required</v>
          </cell>
        </row>
        <row r="14">
          <cell r="D14">
            <v>0</v>
          </cell>
        </row>
        <row r="15">
          <cell r="D15">
            <v>0</v>
          </cell>
        </row>
        <row r="16">
          <cell r="D16">
            <v>0</v>
          </cell>
        </row>
        <row r="17">
          <cell r="D17" t="str">
            <v>Not Required</v>
          </cell>
        </row>
        <row r="18">
          <cell r="D18">
            <v>0</v>
          </cell>
        </row>
        <row r="26">
          <cell r="D26" t="e">
            <v>#VALUE!</v>
          </cell>
        </row>
        <row r="29">
          <cell r="D29" t="e">
            <v>#VALUE!</v>
          </cell>
        </row>
        <row r="43">
          <cell r="D43" t="e">
            <v>#VALUE!</v>
          </cell>
        </row>
        <row r="47">
          <cell r="D47" t="e">
            <v>#VALUE!</v>
          </cell>
        </row>
        <row r="49">
          <cell r="D49" t="e">
            <v>#VALUE!</v>
          </cell>
        </row>
        <row r="50">
          <cell r="D50" t="e">
            <v>#VALUE!</v>
          </cell>
        </row>
        <row r="56">
          <cell r="D56" t="e">
            <v>#VALUE!</v>
          </cell>
        </row>
        <row r="60">
          <cell r="D60" t="e">
            <v>#VALUE!</v>
          </cell>
        </row>
      </sheetData>
      <sheetData sheetId="8">
        <row r="11">
          <cell r="D11">
            <v>0</v>
          </cell>
        </row>
        <row r="12">
          <cell r="D12" t="e">
            <v>#VALUE!</v>
          </cell>
        </row>
        <row r="13">
          <cell r="D13" t="e">
            <v>#VALUE!</v>
          </cell>
        </row>
        <row r="14">
          <cell r="D14">
            <v>0</v>
          </cell>
        </row>
        <row r="15">
          <cell r="D15" t="e">
            <v>#VALUE!</v>
          </cell>
        </row>
        <row r="16">
          <cell r="D16">
            <v>0</v>
          </cell>
        </row>
        <row r="17">
          <cell r="D17">
            <v>0</v>
          </cell>
        </row>
        <row r="18">
          <cell r="D18">
            <v>0</v>
          </cell>
        </row>
        <row r="19">
          <cell r="D19" t="e">
            <v>#VALUE!</v>
          </cell>
        </row>
        <row r="24">
          <cell r="D24" t="e">
            <v>#VALUE!</v>
          </cell>
        </row>
        <row r="26">
          <cell r="D26" t="e">
            <v>#VALUE!</v>
          </cell>
        </row>
        <row r="27">
          <cell r="D27" t="e">
            <v>#VALUE!</v>
          </cell>
        </row>
        <row r="29">
          <cell r="D29" t="e">
            <v>#VALUE!</v>
          </cell>
        </row>
        <row r="30">
          <cell r="D30" t="e">
            <v>#VALUE!</v>
          </cell>
        </row>
      </sheetData>
      <sheetData sheetId="9" refreshError="1"/>
      <sheetData sheetId="10">
        <row r="11">
          <cell r="D11">
            <v>0</v>
          </cell>
        </row>
        <row r="12">
          <cell r="D12">
            <v>0</v>
          </cell>
        </row>
        <row r="19">
          <cell r="D19">
            <v>0</v>
          </cell>
        </row>
        <row r="22">
          <cell r="D22">
            <v>0</v>
          </cell>
        </row>
      </sheetData>
      <sheetData sheetId="11">
        <row r="11">
          <cell r="D11" t="e">
            <v>#VALUE!</v>
          </cell>
        </row>
        <row r="15">
          <cell r="D15" t="e">
            <v>#VALUE!</v>
          </cell>
        </row>
      </sheetData>
      <sheetData sheetId="12" refreshError="1"/>
      <sheetData sheetId="13" refreshError="1"/>
      <sheetData sheetId="1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A2FF-42C8-4F84-A190-B4157107651A}">
  <sheetPr>
    <tabColor theme="5"/>
  </sheetPr>
  <dimension ref="A2:X72"/>
  <sheetViews>
    <sheetView zoomScaleNormal="100" workbookViewId="0">
      <selection activeCell="E69" sqref="E69"/>
    </sheetView>
  </sheetViews>
  <sheetFormatPr defaultColWidth="9.21875" defaultRowHeight="13.2" x14ac:dyDescent="0.25"/>
  <cols>
    <col min="1" max="1" width="9.21875" style="8"/>
    <col min="2" max="2" width="44.77734375" style="8" customWidth="1"/>
    <col min="3" max="3" width="10.21875" style="23" customWidth="1"/>
    <col min="4" max="4" width="12.77734375" style="23" customWidth="1"/>
    <col min="5" max="5" width="11.44140625" style="24" customWidth="1"/>
    <col min="6" max="6" width="11.44140625" style="25" customWidth="1"/>
    <col min="7" max="16384" width="9.21875" style="8"/>
  </cols>
  <sheetData>
    <row r="2" spans="1:24" x14ac:dyDescent="0.25">
      <c r="H2" s="149"/>
      <c r="I2" s="149"/>
      <c r="J2" s="149"/>
      <c r="K2" s="149"/>
      <c r="L2" s="149"/>
      <c r="M2" s="149"/>
      <c r="N2" s="149"/>
      <c r="O2" s="149"/>
      <c r="P2" s="149"/>
      <c r="Q2" s="149"/>
      <c r="R2" s="149"/>
      <c r="S2" s="149"/>
      <c r="T2" s="149"/>
      <c r="U2" s="149"/>
      <c r="V2" s="149"/>
      <c r="W2" s="149"/>
      <c r="X2" s="149"/>
    </row>
    <row r="3" spans="1:24" x14ac:dyDescent="0.25">
      <c r="H3" s="149" t="s">
        <v>1197</v>
      </c>
      <c r="I3" s="149"/>
      <c r="J3" s="149"/>
      <c r="K3" s="149"/>
      <c r="L3" s="149"/>
      <c r="M3" s="149"/>
      <c r="N3" s="149"/>
      <c r="O3" s="149"/>
      <c r="P3" s="149"/>
      <c r="Q3" s="149"/>
      <c r="R3" s="149"/>
      <c r="S3" s="149"/>
      <c r="T3" s="149"/>
      <c r="U3" s="149"/>
      <c r="V3" s="149"/>
      <c r="W3" s="149"/>
      <c r="X3" s="149"/>
    </row>
    <row r="4" spans="1:24" x14ac:dyDescent="0.25">
      <c r="H4" s="149" t="s">
        <v>1194</v>
      </c>
      <c r="I4" s="149"/>
      <c r="J4" s="149"/>
      <c r="K4" s="149"/>
      <c r="L4" s="149"/>
      <c r="M4" s="149"/>
      <c r="N4" s="149"/>
      <c r="O4" s="149"/>
      <c r="P4" s="149"/>
      <c r="Q4" s="149"/>
      <c r="R4" s="149"/>
      <c r="S4" s="149"/>
      <c r="T4" s="149"/>
      <c r="U4" s="149"/>
      <c r="V4" s="149"/>
      <c r="W4" s="149"/>
      <c r="X4" s="149"/>
    </row>
    <row r="5" spans="1:24" x14ac:dyDescent="0.25">
      <c r="H5" s="149" t="s">
        <v>1195</v>
      </c>
      <c r="I5" s="149"/>
      <c r="J5" s="149"/>
      <c r="K5" s="149"/>
      <c r="L5" s="149"/>
      <c r="M5" s="149"/>
      <c r="N5" s="149"/>
      <c r="O5" s="149"/>
      <c r="P5" s="149"/>
      <c r="Q5" s="149"/>
      <c r="R5" s="149"/>
      <c r="S5" s="149"/>
      <c r="T5" s="149"/>
      <c r="U5" s="149"/>
      <c r="V5" s="149"/>
      <c r="W5" s="149"/>
      <c r="X5" s="149"/>
    </row>
    <row r="6" spans="1:24" x14ac:dyDescent="0.25">
      <c r="H6" s="149" t="s">
        <v>1196</v>
      </c>
      <c r="I6" s="149"/>
      <c r="J6" s="149"/>
      <c r="K6" s="149"/>
      <c r="L6" s="149"/>
      <c r="M6" s="149"/>
      <c r="N6" s="149"/>
      <c r="O6" s="149"/>
      <c r="P6" s="149"/>
      <c r="Q6" s="149"/>
      <c r="R6" s="149"/>
      <c r="S6" s="149"/>
      <c r="T6" s="149"/>
      <c r="U6" s="149"/>
      <c r="V6" s="149"/>
      <c r="W6" s="149"/>
      <c r="X6" s="149"/>
    </row>
    <row r="7" spans="1:24" x14ac:dyDescent="0.25">
      <c r="A7" s="6" t="s">
        <v>15</v>
      </c>
      <c r="B7" s="6" t="s">
        <v>16</v>
      </c>
      <c r="C7" s="6" t="s">
        <v>17</v>
      </c>
      <c r="D7" s="6" t="s">
        <v>0</v>
      </c>
      <c r="E7" s="7" t="s">
        <v>1</v>
      </c>
      <c r="F7" s="1" t="s">
        <v>18</v>
      </c>
      <c r="H7" s="149"/>
      <c r="I7" s="149"/>
      <c r="J7" s="149"/>
      <c r="K7" s="149"/>
      <c r="L7" s="149"/>
      <c r="M7" s="149"/>
      <c r="N7" s="149"/>
      <c r="O7" s="149"/>
      <c r="P7" s="149"/>
      <c r="Q7" s="149"/>
      <c r="R7" s="149"/>
      <c r="S7" s="149"/>
      <c r="T7" s="149"/>
      <c r="U7" s="149"/>
      <c r="V7" s="149"/>
      <c r="W7" s="149"/>
      <c r="X7" s="149"/>
    </row>
    <row r="8" spans="1:24" x14ac:dyDescent="0.25">
      <c r="A8" s="9"/>
      <c r="B8" s="9"/>
      <c r="C8" s="10"/>
      <c r="D8" s="10"/>
      <c r="E8" s="11" t="s">
        <v>19</v>
      </c>
      <c r="F8" s="12" t="s">
        <v>19</v>
      </c>
      <c r="H8" s="149" t="s">
        <v>1198</v>
      </c>
      <c r="I8" s="149"/>
      <c r="J8" s="149"/>
      <c r="K8" s="149"/>
      <c r="L8" s="149"/>
      <c r="M8" s="149"/>
      <c r="N8" s="149"/>
      <c r="O8" s="149"/>
      <c r="P8" s="149"/>
      <c r="Q8" s="149"/>
      <c r="R8" s="149"/>
      <c r="S8" s="149"/>
      <c r="T8" s="149"/>
      <c r="U8" s="149"/>
      <c r="V8" s="149"/>
      <c r="W8" s="149"/>
      <c r="X8" s="149"/>
    </row>
    <row r="9" spans="1:24" s="16" customFormat="1" ht="26.4" x14ac:dyDescent="0.25">
      <c r="A9" s="13" t="s">
        <v>20</v>
      </c>
      <c r="B9" s="13" t="s">
        <v>21</v>
      </c>
      <c r="C9" s="14"/>
      <c r="D9" s="14"/>
      <c r="E9" s="15"/>
      <c r="F9" s="2"/>
      <c r="H9" s="150"/>
      <c r="I9" s="150"/>
      <c r="J9" s="150"/>
      <c r="K9" s="150"/>
      <c r="L9" s="150"/>
      <c r="M9" s="150"/>
      <c r="N9" s="150"/>
      <c r="O9" s="150"/>
      <c r="P9" s="150"/>
      <c r="Q9" s="150"/>
      <c r="R9" s="150"/>
      <c r="S9" s="150"/>
      <c r="T9" s="150"/>
      <c r="U9" s="150"/>
      <c r="V9" s="150"/>
      <c r="W9" s="150"/>
      <c r="X9" s="150"/>
    </row>
    <row r="10" spans="1:24" s="16" customFormat="1" x14ac:dyDescent="0.25">
      <c r="A10" s="4" t="s">
        <v>2</v>
      </c>
      <c r="B10" s="5" t="s">
        <v>22</v>
      </c>
      <c r="C10" s="3" t="s">
        <v>23</v>
      </c>
      <c r="D10" s="3">
        <v>1</v>
      </c>
      <c r="E10" s="3" t="str">
        <f>IF(ISNUMBER(D10),"-","N/A")</f>
        <v>-</v>
      </c>
      <c r="F10" s="2" t="str">
        <f>IF(ISNUMBER(D10),"","-")</f>
        <v/>
      </c>
      <c r="H10" s="150" t="s">
        <v>1199</v>
      </c>
      <c r="I10" s="150"/>
      <c r="J10" s="150"/>
      <c r="K10" s="150"/>
      <c r="L10" s="150"/>
      <c r="M10" s="150"/>
      <c r="N10" s="150"/>
      <c r="O10" s="150"/>
      <c r="P10" s="150"/>
      <c r="Q10" s="150"/>
      <c r="R10" s="150"/>
      <c r="S10" s="150"/>
      <c r="T10" s="150"/>
      <c r="U10" s="150"/>
      <c r="V10" s="150"/>
      <c r="W10" s="150"/>
      <c r="X10" s="150"/>
    </row>
    <row r="11" spans="1:24" s="16" customFormat="1" ht="26.4" x14ac:dyDescent="0.25">
      <c r="A11" s="4" t="s">
        <v>3</v>
      </c>
      <c r="B11" s="5" t="s">
        <v>25</v>
      </c>
      <c r="C11" s="3" t="s">
        <v>23</v>
      </c>
      <c r="D11" s="147" t="s">
        <v>31</v>
      </c>
      <c r="E11" s="147" t="str">
        <f t="shared" ref="E11:E22" si="0">IF(ISNUMBER(D11),"","N/A")</f>
        <v>N/A</v>
      </c>
      <c r="F11" s="2" t="str">
        <f t="shared" ref="F11:F71" si="1">IF(ISNUMBER(D11),"","-")</f>
        <v>-</v>
      </c>
      <c r="H11" s="150"/>
      <c r="I11" s="150"/>
      <c r="J11" s="150"/>
      <c r="K11" s="151"/>
      <c r="L11" s="150"/>
      <c r="M11" s="150"/>
      <c r="N11" s="150"/>
      <c r="O11" s="150"/>
      <c r="P11" s="150"/>
      <c r="Q11" s="150"/>
      <c r="R11" s="150"/>
      <c r="S11" s="150"/>
      <c r="T11" s="150"/>
      <c r="U11" s="150"/>
      <c r="V11" s="150"/>
      <c r="W11" s="150"/>
      <c r="X11" s="150"/>
    </row>
    <row r="12" spans="1:24" s="16" customFormat="1" ht="39.6" x14ac:dyDescent="0.25">
      <c r="A12" s="4" t="s">
        <v>26</v>
      </c>
      <c r="B12" s="5" t="s">
        <v>27</v>
      </c>
      <c r="C12" s="3" t="s">
        <v>23</v>
      </c>
      <c r="D12" s="147" t="s">
        <v>31</v>
      </c>
      <c r="E12" s="147" t="str">
        <f t="shared" si="0"/>
        <v>N/A</v>
      </c>
      <c r="F12" s="2" t="str">
        <f t="shared" si="1"/>
        <v>-</v>
      </c>
      <c r="H12" s="150"/>
      <c r="I12" s="150"/>
      <c r="J12" s="150"/>
      <c r="K12" s="150" t="s">
        <v>1203</v>
      </c>
      <c r="L12" s="150"/>
      <c r="M12" s="150"/>
      <c r="N12" s="150"/>
      <c r="O12" s="150"/>
      <c r="P12" s="150"/>
      <c r="Q12" s="150"/>
      <c r="R12" s="150"/>
      <c r="S12" s="150"/>
      <c r="T12" s="150"/>
      <c r="U12" s="150"/>
      <c r="V12" s="150"/>
      <c r="W12" s="150"/>
      <c r="X12" s="150"/>
    </row>
    <row r="13" spans="1:24" s="16" customFormat="1" ht="26.4" x14ac:dyDescent="0.25">
      <c r="A13" s="4" t="s">
        <v>28</v>
      </c>
      <c r="B13" s="5" t="s">
        <v>29</v>
      </c>
      <c r="C13" s="3" t="s">
        <v>23</v>
      </c>
      <c r="D13" s="147" t="s">
        <v>31</v>
      </c>
      <c r="E13" s="147" t="str">
        <f t="shared" si="0"/>
        <v>N/A</v>
      </c>
      <c r="F13" s="2" t="str">
        <f t="shared" si="1"/>
        <v>-</v>
      </c>
      <c r="H13" s="150"/>
      <c r="I13" s="150"/>
      <c r="J13" s="150"/>
      <c r="K13" s="150" t="s">
        <v>1202</v>
      </c>
      <c r="L13" s="150"/>
      <c r="M13" s="150"/>
      <c r="N13" s="150"/>
      <c r="O13" s="150"/>
      <c r="P13" s="150"/>
      <c r="Q13" s="150"/>
      <c r="R13" s="150"/>
      <c r="S13" s="150"/>
      <c r="T13" s="150"/>
      <c r="U13" s="150"/>
      <c r="V13" s="150"/>
      <c r="W13" s="150"/>
      <c r="X13" s="150"/>
    </row>
    <row r="14" spans="1:24" s="16" customFormat="1" ht="26.4" x14ac:dyDescent="0.25">
      <c r="A14" s="4" t="s">
        <v>30</v>
      </c>
      <c r="B14" s="5" t="s">
        <v>1217</v>
      </c>
      <c r="C14" s="3" t="s">
        <v>23</v>
      </c>
      <c r="D14" s="147" t="s">
        <v>31</v>
      </c>
      <c r="E14" s="147" t="str">
        <f t="shared" si="0"/>
        <v>N/A</v>
      </c>
      <c r="F14" s="2" t="str">
        <f t="shared" si="1"/>
        <v>-</v>
      </c>
      <c r="H14" s="150"/>
      <c r="I14" s="150"/>
      <c r="J14" s="150"/>
      <c r="K14" s="150"/>
      <c r="L14" s="150"/>
      <c r="M14" s="150"/>
      <c r="N14" s="150"/>
      <c r="O14" s="150"/>
      <c r="P14" s="150"/>
      <c r="Q14" s="150"/>
      <c r="R14" s="150"/>
      <c r="S14" s="150"/>
      <c r="T14" s="150"/>
      <c r="U14" s="150"/>
      <c r="V14" s="150"/>
      <c r="W14" s="150"/>
      <c r="X14" s="150"/>
    </row>
    <row r="15" spans="1:24" s="16" customFormat="1" ht="26.4" x14ac:dyDescent="0.25">
      <c r="A15" s="4" t="s">
        <v>33</v>
      </c>
      <c r="B15" s="5" t="s">
        <v>34</v>
      </c>
      <c r="C15" s="3" t="s">
        <v>23</v>
      </c>
      <c r="D15" s="147" t="s">
        <v>31</v>
      </c>
      <c r="E15" s="147" t="str">
        <f t="shared" si="0"/>
        <v>N/A</v>
      </c>
      <c r="F15" s="2" t="str">
        <f t="shared" si="1"/>
        <v>-</v>
      </c>
      <c r="H15" s="150"/>
      <c r="I15" s="150"/>
      <c r="J15" s="150"/>
      <c r="K15" s="151" t="s">
        <v>1238</v>
      </c>
      <c r="L15" s="150"/>
      <c r="M15" s="150"/>
      <c r="N15" s="150"/>
      <c r="O15" s="150"/>
      <c r="P15" s="150"/>
      <c r="Q15" s="150"/>
      <c r="R15" s="150"/>
      <c r="S15" s="150"/>
      <c r="T15" s="150"/>
      <c r="U15" s="150"/>
      <c r="V15" s="150"/>
      <c r="W15" s="150"/>
      <c r="X15" s="150"/>
    </row>
    <row r="16" spans="1:24" s="16" customFormat="1" ht="26.4" x14ac:dyDescent="0.25">
      <c r="A16" s="4" t="s">
        <v>35</v>
      </c>
      <c r="B16" s="5" t="s">
        <v>36</v>
      </c>
      <c r="C16" s="3" t="s">
        <v>23</v>
      </c>
      <c r="D16" s="147" t="s">
        <v>31</v>
      </c>
      <c r="E16" s="147" t="str">
        <f t="shared" si="0"/>
        <v>N/A</v>
      </c>
      <c r="F16" s="2" t="str">
        <f t="shared" si="1"/>
        <v>-</v>
      </c>
    </row>
    <row r="17" spans="1:6" s="16" customFormat="1" ht="26.4" x14ac:dyDescent="0.25">
      <c r="A17" s="4" t="s">
        <v>37</v>
      </c>
      <c r="B17" s="5" t="s">
        <v>38</v>
      </c>
      <c r="C17" s="3" t="s">
        <v>23</v>
      </c>
      <c r="D17" s="147" t="s">
        <v>31</v>
      </c>
      <c r="E17" s="147" t="str">
        <f t="shared" si="0"/>
        <v>N/A</v>
      </c>
      <c r="F17" s="2" t="str">
        <f t="shared" si="1"/>
        <v>-</v>
      </c>
    </row>
    <row r="18" spans="1:6" s="16" customFormat="1" ht="26.4" x14ac:dyDescent="0.25">
      <c r="A18" s="4" t="s">
        <v>39</v>
      </c>
      <c r="B18" s="5" t="s">
        <v>40</v>
      </c>
      <c r="C18" s="3" t="s">
        <v>23</v>
      </c>
      <c r="D18" s="147" t="s">
        <v>31</v>
      </c>
      <c r="E18" s="147" t="str">
        <f t="shared" si="0"/>
        <v>N/A</v>
      </c>
      <c r="F18" s="2" t="str">
        <f t="shared" si="1"/>
        <v>-</v>
      </c>
    </row>
    <row r="19" spans="1:6" s="16" customFormat="1" ht="26.4" x14ac:dyDescent="0.25">
      <c r="A19" s="4" t="s">
        <v>41</v>
      </c>
      <c r="B19" s="5" t="s">
        <v>42</v>
      </c>
      <c r="C19" s="3" t="s">
        <v>23</v>
      </c>
      <c r="D19" s="147" t="s">
        <v>31</v>
      </c>
      <c r="E19" s="147" t="str">
        <f t="shared" si="0"/>
        <v>N/A</v>
      </c>
      <c r="F19" s="2" t="str">
        <f t="shared" si="1"/>
        <v>-</v>
      </c>
    </row>
    <row r="20" spans="1:6" s="16" customFormat="1" ht="26.4" x14ac:dyDescent="0.25">
      <c r="A20" s="4" t="s">
        <v>43</v>
      </c>
      <c r="B20" s="5" t="s">
        <v>44</v>
      </c>
      <c r="C20" s="3" t="s">
        <v>23</v>
      </c>
      <c r="D20" s="147" t="s">
        <v>31</v>
      </c>
      <c r="E20" s="147" t="str">
        <f t="shared" si="0"/>
        <v>N/A</v>
      </c>
      <c r="F20" s="2" t="str">
        <f t="shared" si="1"/>
        <v>-</v>
      </c>
    </row>
    <row r="21" spans="1:6" s="16" customFormat="1" ht="26.4" x14ac:dyDescent="0.25">
      <c r="A21" s="4" t="s">
        <v>45</v>
      </c>
      <c r="B21" s="5" t="s">
        <v>1204</v>
      </c>
      <c r="C21" s="3" t="s">
        <v>23</v>
      </c>
      <c r="D21" s="147" t="s">
        <v>31</v>
      </c>
      <c r="E21" s="147" t="str">
        <f t="shared" si="0"/>
        <v>N/A</v>
      </c>
      <c r="F21" s="2" t="str">
        <f t="shared" si="1"/>
        <v>-</v>
      </c>
    </row>
    <row r="22" spans="1:6" s="16" customFormat="1" ht="29.1" customHeight="1" x14ac:dyDescent="0.25">
      <c r="A22" s="4" t="s">
        <v>47</v>
      </c>
      <c r="B22" s="5" t="s">
        <v>48</v>
      </c>
      <c r="C22" s="3" t="s">
        <v>46</v>
      </c>
      <c r="D22" s="147" t="s">
        <v>31</v>
      </c>
      <c r="E22" s="147" t="str">
        <f t="shared" si="0"/>
        <v>N/A</v>
      </c>
      <c r="F22" s="2" t="str">
        <f t="shared" si="1"/>
        <v>-</v>
      </c>
    </row>
    <row r="23" spans="1:6" s="16" customFormat="1" ht="26.4" x14ac:dyDescent="0.25">
      <c r="A23" s="4" t="s">
        <v>49</v>
      </c>
      <c r="B23" s="5" t="s">
        <v>1205</v>
      </c>
      <c r="C23" s="3" t="s">
        <v>46</v>
      </c>
      <c r="D23" s="3" t="s">
        <v>1209</v>
      </c>
      <c r="E23" s="3" t="str">
        <f t="shared" ref="E23:E34" si="2">IF(ISNUMBER(D23),"-","N/A")</f>
        <v>N/A</v>
      </c>
      <c r="F23" s="2" t="str">
        <f t="shared" si="1"/>
        <v>-</v>
      </c>
    </row>
    <row r="24" spans="1:6" s="16" customFormat="1" ht="26.4" x14ac:dyDescent="0.25">
      <c r="A24" s="4" t="s">
        <v>50</v>
      </c>
      <c r="B24" s="5" t="s">
        <v>1206</v>
      </c>
      <c r="C24" s="3" t="s">
        <v>46</v>
      </c>
      <c r="D24" s="147" t="s">
        <v>31</v>
      </c>
      <c r="E24" s="147" t="str">
        <f t="shared" si="2"/>
        <v>N/A</v>
      </c>
      <c r="F24" s="2" t="str">
        <f t="shared" si="1"/>
        <v>-</v>
      </c>
    </row>
    <row r="25" spans="1:6" s="16" customFormat="1" ht="26.4" x14ac:dyDescent="0.25">
      <c r="A25" s="4" t="s">
        <v>51</v>
      </c>
      <c r="B25" s="5" t="s">
        <v>1208</v>
      </c>
      <c r="C25" s="3" t="s">
        <v>46</v>
      </c>
      <c r="D25" s="3" t="s">
        <v>1209</v>
      </c>
      <c r="E25" s="3" t="str">
        <f t="shared" si="2"/>
        <v>N/A</v>
      </c>
      <c r="F25" s="2" t="str">
        <f t="shared" si="1"/>
        <v>-</v>
      </c>
    </row>
    <row r="26" spans="1:6" s="16" customFormat="1" ht="39.6" x14ac:dyDescent="0.25">
      <c r="A26" s="4" t="s">
        <v>52</v>
      </c>
      <c r="B26" s="5" t="s">
        <v>1207</v>
      </c>
      <c r="C26" s="3" t="s">
        <v>46</v>
      </c>
      <c r="D26" s="147" t="s">
        <v>31</v>
      </c>
      <c r="E26" s="147" t="str">
        <f t="shared" ref="E26" si="3">IF(ISNUMBER(D26),"","N/A")</f>
        <v>N/A</v>
      </c>
      <c r="F26" s="2" t="str">
        <f t="shared" si="1"/>
        <v>-</v>
      </c>
    </row>
    <row r="27" spans="1:6" s="16" customFormat="1" ht="150" customHeight="1" x14ac:dyDescent="0.25">
      <c r="A27" s="4" t="s">
        <v>4</v>
      </c>
      <c r="B27" s="5" t="s">
        <v>53</v>
      </c>
      <c r="C27" s="3" t="s">
        <v>46</v>
      </c>
      <c r="D27" s="3">
        <v>1</v>
      </c>
      <c r="E27" s="3" t="str">
        <f t="shared" si="2"/>
        <v>-</v>
      </c>
      <c r="F27" s="2"/>
    </row>
    <row r="28" spans="1:6" s="16" customFormat="1" x14ac:dyDescent="0.25">
      <c r="A28" s="4" t="s">
        <v>54</v>
      </c>
      <c r="B28" s="5" t="s">
        <v>55</v>
      </c>
      <c r="C28" s="3" t="s">
        <v>56</v>
      </c>
      <c r="D28" s="3" t="s">
        <v>31</v>
      </c>
      <c r="E28" s="3" t="str">
        <f t="shared" si="2"/>
        <v>N/A</v>
      </c>
      <c r="F28" s="2" t="str">
        <f t="shared" si="1"/>
        <v>-</v>
      </c>
    </row>
    <row r="29" spans="1:6" s="16" customFormat="1" ht="26.4" x14ac:dyDescent="0.25">
      <c r="A29" s="4" t="s">
        <v>5</v>
      </c>
      <c r="B29" s="5" t="s">
        <v>57</v>
      </c>
      <c r="C29" s="3" t="s">
        <v>23</v>
      </c>
      <c r="D29" s="147">
        <v>1</v>
      </c>
      <c r="E29" s="147" t="str">
        <f t="shared" si="2"/>
        <v>-</v>
      </c>
      <c r="F29" s="2" t="str">
        <f t="shared" si="1"/>
        <v/>
      </c>
    </row>
    <row r="30" spans="1:6" s="16" customFormat="1" x14ac:dyDescent="0.25">
      <c r="A30" s="4" t="s">
        <v>58</v>
      </c>
      <c r="B30" s="5" t="s">
        <v>59</v>
      </c>
      <c r="C30" s="3" t="s">
        <v>60</v>
      </c>
      <c r="D30" s="3" t="s">
        <v>61</v>
      </c>
      <c r="E30" s="3" t="str">
        <f t="shared" si="2"/>
        <v>N/A</v>
      </c>
      <c r="F30" s="2" t="str">
        <f t="shared" si="1"/>
        <v>-</v>
      </c>
    </row>
    <row r="31" spans="1:6" s="16" customFormat="1" ht="26.4" x14ac:dyDescent="0.25">
      <c r="A31" s="4" t="s">
        <v>62</v>
      </c>
      <c r="B31" s="5" t="s">
        <v>63</v>
      </c>
      <c r="C31" s="3" t="s">
        <v>60</v>
      </c>
      <c r="D31" s="3" t="s">
        <v>61</v>
      </c>
      <c r="E31" s="3" t="str">
        <f t="shared" si="2"/>
        <v>N/A</v>
      </c>
      <c r="F31" s="2" t="str">
        <f t="shared" si="1"/>
        <v>-</v>
      </c>
    </row>
    <row r="32" spans="1:6" s="16" customFormat="1" ht="26.4" x14ac:dyDescent="0.25">
      <c r="A32" s="4" t="s">
        <v>64</v>
      </c>
      <c r="B32" s="5" t="s">
        <v>65</v>
      </c>
      <c r="C32" s="3" t="s">
        <v>60</v>
      </c>
      <c r="D32" s="3" t="s">
        <v>61</v>
      </c>
      <c r="E32" s="3" t="str">
        <f t="shared" si="2"/>
        <v>N/A</v>
      </c>
      <c r="F32" s="2" t="str">
        <f t="shared" si="1"/>
        <v>-</v>
      </c>
    </row>
    <row r="33" spans="1:6" s="16" customFormat="1" ht="26.4" x14ac:dyDescent="0.25">
      <c r="A33" s="4" t="s">
        <v>66</v>
      </c>
      <c r="B33" s="5" t="s">
        <v>67</v>
      </c>
      <c r="C33" s="3" t="s">
        <v>60</v>
      </c>
      <c r="D33" s="3" t="s">
        <v>61</v>
      </c>
      <c r="E33" s="3" t="str">
        <f t="shared" si="2"/>
        <v>N/A</v>
      </c>
      <c r="F33" s="2" t="str">
        <f t="shared" si="1"/>
        <v>-</v>
      </c>
    </row>
    <row r="34" spans="1:6" s="16" customFormat="1" ht="26.4" x14ac:dyDescent="0.25">
      <c r="A34" s="4" t="s">
        <v>68</v>
      </c>
      <c r="B34" s="5" t="s">
        <v>69</v>
      </c>
      <c r="C34" s="3" t="s">
        <v>60</v>
      </c>
      <c r="D34" s="3" t="s">
        <v>61</v>
      </c>
      <c r="E34" s="3" t="str">
        <f t="shared" si="2"/>
        <v>N/A</v>
      </c>
      <c r="F34" s="2" t="str">
        <f t="shared" si="1"/>
        <v>-</v>
      </c>
    </row>
    <row r="35" spans="1:6" s="16" customFormat="1" ht="14.4" x14ac:dyDescent="0.25">
      <c r="A35" s="4" t="s">
        <v>6</v>
      </c>
      <c r="B35" s="5" t="s">
        <v>70</v>
      </c>
      <c r="C35" s="3" t="s">
        <v>71</v>
      </c>
      <c r="D35" s="18">
        <f>'[1]Section A'!$D$35</f>
        <v>0</v>
      </c>
      <c r="E35" s="3" t="str">
        <f>IF(ISNUMBER(D35),"","N/A")</f>
        <v/>
      </c>
      <c r="F35" s="2" t="str">
        <f t="shared" si="1"/>
        <v/>
      </c>
    </row>
    <row r="36" spans="1:6" s="16" customFormat="1" ht="26.4" x14ac:dyDescent="0.25">
      <c r="A36" s="4" t="s">
        <v>72</v>
      </c>
      <c r="B36" s="5" t="s">
        <v>73</v>
      </c>
      <c r="C36" s="3" t="s">
        <v>74</v>
      </c>
      <c r="D36" s="18">
        <f>'[1]Section A'!$D$36</f>
        <v>0</v>
      </c>
      <c r="E36" s="3" t="str">
        <f>IF(ISNUMBER(D36),"","N/A")</f>
        <v/>
      </c>
      <c r="F36" s="2" t="str">
        <f t="shared" si="1"/>
        <v/>
      </c>
    </row>
    <row r="37" spans="1:6" s="16" customFormat="1" ht="26.4" x14ac:dyDescent="0.25">
      <c r="A37" s="4" t="s">
        <v>7</v>
      </c>
      <c r="B37" s="5" t="s">
        <v>75</v>
      </c>
      <c r="C37" s="3" t="s">
        <v>23</v>
      </c>
      <c r="D37" s="147">
        <v>1</v>
      </c>
      <c r="E37" s="147" t="str">
        <f t="shared" ref="E37:E60" si="4">IF(ISNUMBER(D37),"","N/A")</f>
        <v/>
      </c>
      <c r="F37" s="2" t="str">
        <f t="shared" si="1"/>
        <v/>
      </c>
    </row>
    <row r="38" spans="1:6" s="16" customFormat="1" x14ac:dyDescent="0.25">
      <c r="A38" s="4" t="s">
        <v>8</v>
      </c>
      <c r="B38" s="5" t="s">
        <v>76</v>
      </c>
      <c r="C38" s="3" t="s">
        <v>77</v>
      </c>
      <c r="D38" s="147" t="s">
        <v>31</v>
      </c>
      <c r="E38" s="147" t="str">
        <f t="shared" si="4"/>
        <v>N/A</v>
      </c>
      <c r="F38" s="2" t="str">
        <f t="shared" si="1"/>
        <v>-</v>
      </c>
    </row>
    <row r="39" spans="1:6" s="16" customFormat="1" x14ac:dyDescent="0.25">
      <c r="A39" s="4" t="s">
        <v>9</v>
      </c>
      <c r="B39" s="5" t="s">
        <v>78</v>
      </c>
      <c r="C39" s="3" t="s">
        <v>79</v>
      </c>
      <c r="D39" s="147" t="s">
        <v>31</v>
      </c>
      <c r="E39" s="147" t="str">
        <f t="shared" si="4"/>
        <v>N/A</v>
      </c>
      <c r="F39" s="2" t="str">
        <f t="shared" si="1"/>
        <v>-</v>
      </c>
    </row>
    <row r="40" spans="1:6" s="16" customFormat="1" ht="26.4" x14ac:dyDescent="0.25">
      <c r="A40" s="4" t="s">
        <v>80</v>
      </c>
      <c r="B40" s="5" t="s">
        <v>81</v>
      </c>
      <c r="C40" s="3" t="s">
        <v>46</v>
      </c>
      <c r="D40" s="147" t="s">
        <v>31</v>
      </c>
      <c r="E40" s="147" t="str">
        <f t="shared" si="4"/>
        <v>N/A</v>
      </c>
      <c r="F40" s="2" t="str">
        <f t="shared" si="1"/>
        <v>-</v>
      </c>
    </row>
    <row r="41" spans="1:6" s="16" customFormat="1" x14ac:dyDescent="0.25">
      <c r="A41" s="4" t="s">
        <v>82</v>
      </c>
      <c r="B41" s="5" t="s">
        <v>83</v>
      </c>
      <c r="C41" s="3" t="s">
        <v>84</v>
      </c>
      <c r="D41" s="147" t="s">
        <v>31</v>
      </c>
      <c r="E41" s="147" t="str">
        <f t="shared" si="4"/>
        <v>N/A</v>
      </c>
      <c r="F41" s="2" t="str">
        <f t="shared" si="1"/>
        <v>-</v>
      </c>
    </row>
    <row r="42" spans="1:6" s="16" customFormat="1" ht="26.4" x14ac:dyDescent="0.25">
      <c r="A42" s="4" t="s">
        <v>10</v>
      </c>
      <c r="B42" s="5" t="s">
        <v>85</v>
      </c>
      <c r="C42" s="3" t="s">
        <v>46</v>
      </c>
      <c r="D42" s="147" t="s">
        <v>31</v>
      </c>
      <c r="E42" s="147" t="str">
        <f t="shared" si="4"/>
        <v>N/A</v>
      </c>
      <c r="F42" s="2" t="str">
        <f t="shared" si="1"/>
        <v>-</v>
      </c>
    </row>
    <row r="43" spans="1:6" s="16" customFormat="1" x14ac:dyDescent="0.25">
      <c r="A43" s="4" t="s">
        <v>86</v>
      </c>
      <c r="B43" s="5" t="s">
        <v>87</v>
      </c>
      <c r="C43" s="3" t="s">
        <v>84</v>
      </c>
      <c r="D43" s="147" t="s">
        <v>31</v>
      </c>
      <c r="E43" s="147" t="str">
        <f t="shared" si="4"/>
        <v>N/A</v>
      </c>
      <c r="F43" s="2" t="str">
        <f t="shared" si="1"/>
        <v>-</v>
      </c>
    </row>
    <row r="44" spans="1:6" s="16" customFormat="1" ht="26.4" x14ac:dyDescent="0.25">
      <c r="A44" s="4" t="s">
        <v>11</v>
      </c>
      <c r="B44" s="5" t="s">
        <v>88</v>
      </c>
      <c r="C44" s="3" t="s">
        <v>46</v>
      </c>
      <c r="D44" s="147" t="s">
        <v>31</v>
      </c>
      <c r="E44" s="147" t="str">
        <f t="shared" si="4"/>
        <v>N/A</v>
      </c>
      <c r="F44" s="2" t="str">
        <f t="shared" si="1"/>
        <v>-</v>
      </c>
    </row>
    <row r="45" spans="1:6" s="16" customFormat="1" ht="26.4" x14ac:dyDescent="0.25">
      <c r="A45" s="4" t="s">
        <v>12</v>
      </c>
      <c r="B45" s="5" t="s">
        <v>89</v>
      </c>
      <c r="C45" s="3" t="s">
        <v>46</v>
      </c>
      <c r="D45" s="147" t="s">
        <v>31</v>
      </c>
      <c r="E45" s="147" t="str">
        <f t="shared" si="4"/>
        <v>N/A</v>
      </c>
      <c r="F45" s="2" t="str">
        <f t="shared" si="1"/>
        <v>-</v>
      </c>
    </row>
    <row r="46" spans="1:6" s="16" customFormat="1" ht="39.6" x14ac:dyDescent="0.25">
      <c r="A46" s="4" t="s">
        <v>13</v>
      </c>
      <c r="B46" s="5" t="s">
        <v>90</v>
      </c>
      <c r="C46" s="3" t="s">
        <v>23</v>
      </c>
      <c r="D46" s="147" t="s">
        <v>31</v>
      </c>
      <c r="E46" s="147" t="str">
        <f t="shared" si="4"/>
        <v>N/A</v>
      </c>
      <c r="F46" s="2" t="str">
        <f t="shared" si="1"/>
        <v>-</v>
      </c>
    </row>
    <row r="47" spans="1:6" s="16" customFormat="1" ht="32.549999999999997" customHeight="1" x14ac:dyDescent="0.25">
      <c r="A47" s="4" t="s">
        <v>14</v>
      </c>
      <c r="B47" s="5" t="s">
        <v>91</v>
      </c>
      <c r="C47" s="3" t="s">
        <v>23</v>
      </c>
      <c r="D47" s="147" t="s">
        <v>31</v>
      </c>
      <c r="E47" s="147" t="str">
        <f t="shared" si="4"/>
        <v>N/A</v>
      </c>
      <c r="F47" s="2" t="str">
        <f t="shared" si="1"/>
        <v>-</v>
      </c>
    </row>
    <row r="48" spans="1:6" s="16" customFormat="1" x14ac:dyDescent="0.25">
      <c r="A48" s="4" t="s">
        <v>92</v>
      </c>
      <c r="B48" s="5" t="s">
        <v>93</v>
      </c>
      <c r="C48" s="3" t="s">
        <v>84</v>
      </c>
      <c r="D48" s="147" t="s">
        <v>31</v>
      </c>
      <c r="E48" s="147" t="str">
        <f t="shared" si="4"/>
        <v>N/A</v>
      </c>
      <c r="F48" s="2" t="str">
        <f t="shared" si="1"/>
        <v>-</v>
      </c>
    </row>
    <row r="49" spans="1:6" s="16" customFormat="1" ht="29.55" customHeight="1" x14ac:dyDescent="0.25">
      <c r="A49" s="4" t="s">
        <v>94</v>
      </c>
      <c r="B49" s="5" t="s">
        <v>95</v>
      </c>
      <c r="C49" s="3" t="s">
        <v>23</v>
      </c>
      <c r="D49" s="147" t="s">
        <v>31</v>
      </c>
      <c r="E49" s="147" t="str">
        <f t="shared" si="4"/>
        <v>N/A</v>
      </c>
      <c r="F49" s="2" t="str">
        <f t="shared" si="1"/>
        <v>-</v>
      </c>
    </row>
    <row r="50" spans="1:6" s="16" customFormat="1" x14ac:dyDescent="0.25">
      <c r="A50" s="4" t="s">
        <v>96</v>
      </c>
      <c r="B50" s="5" t="s">
        <v>97</v>
      </c>
      <c r="C50" s="3" t="s">
        <v>74</v>
      </c>
      <c r="D50" s="147" t="s">
        <v>31</v>
      </c>
      <c r="E50" s="147" t="str">
        <f t="shared" si="4"/>
        <v>N/A</v>
      </c>
      <c r="F50" s="2" t="str">
        <f t="shared" si="1"/>
        <v>-</v>
      </c>
    </row>
    <row r="51" spans="1:6" s="16" customFormat="1" x14ac:dyDescent="0.25">
      <c r="A51" s="4" t="s">
        <v>98</v>
      </c>
      <c r="B51" s="5" t="s">
        <v>99</v>
      </c>
      <c r="C51" s="3" t="s">
        <v>23</v>
      </c>
      <c r="D51" s="147" t="s">
        <v>31</v>
      </c>
      <c r="E51" s="147" t="str">
        <f t="shared" si="4"/>
        <v>N/A</v>
      </c>
      <c r="F51" s="2" t="str">
        <f t="shared" si="1"/>
        <v>-</v>
      </c>
    </row>
    <row r="52" spans="1:6" s="16" customFormat="1" ht="26.4" x14ac:dyDescent="0.25">
      <c r="A52" s="4" t="s">
        <v>100</v>
      </c>
      <c r="B52" s="5" t="s">
        <v>101</v>
      </c>
      <c r="C52" s="3" t="s">
        <v>23</v>
      </c>
      <c r="D52" s="147">
        <v>1</v>
      </c>
      <c r="E52" s="147" t="str">
        <f t="shared" si="4"/>
        <v/>
      </c>
      <c r="F52" s="2" t="str">
        <f t="shared" si="1"/>
        <v/>
      </c>
    </row>
    <row r="53" spans="1:6" s="16" customFormat="1" ht="26.4" x14ac:dyDescent="0.25">
      <c r="A53" s="4" t="s">
        <v>102</v>
      </c>
      <c r="B53" s="5" t="s">
        <v>103</v>
      </c>
      <c r="C53" s="3" t="s">
        <v>74</v>
      </c>
      <c r="D53" s="147" t="s">
        <v>31</v>
      </c>
      <c r="E53" s="147" t="str">
        <f t="shared" si="4"/>
        <v>N/A</v>
      </c>
      <c r="F53" s="2" t="str">
        <f t="shared" si="1"/>
        <v>-</v>
      </c>
    </row>
    <row r="54" spans="1:6" s="16" customFormat="1" x14ac:dyDescent="0.25">
      <c r="A54" s="4" t="s">
        <v>104</v>
      </c>
      <c r="B54" s="5" t="s">
        <v>105</v>
      </c>
      <c r="C54" s="3" t="s">
        <v>23</v>
      </c>
      <c r="D54" s="147">
        <v>1</v>
      </c>
      <c r="E54" s="147" t="str">
        <f t="shared" si="4"/>
        <v/>
      </c>
      <c r="F54" s="2" t="str">
        <f t="shared" si="1"/>
        <v/>
      </c>
    </row>
    <row r="55" spans="1:6" s="16" customFormat="1" ht="28.05" customHeight="1" x14ac:dyDescent="0.25">
      <c r="A55" s="4" t="s">
        <v>106</v>
      </c>
      <c r="B55" s="5" t="s">
        <v>107</v>
      </c>
      <c r="C55" s="3" t="s">
        <v>23</v>
      </c>
      <c r="D55" s="147" t="s">
        <v>31</v>
      </c>
      <c r="E55" s="147" t="str">
        <f t="shared" si="4"/>
        <v>N/A</v>
      </c>
      <c r="F55" s="2" t="str">
        <f t="shared" si="1"/>
        <v>-</v>
      </c>
    </row>
    <row r="56" spans="1:6" s="16" customFormat="1" x14ac:dyDescent="0.25">
      <c r="A56" s="4" t="s">
        <v>108</v>
      </c>
      <c r="B56" s="5" t="s">
        <v>109</v>
      </c>
      <c r="C56" s="3" t="s">
        <v>74</v>
      </c>
      <c r="D56" s="147" t="s">
        <v>31</v>
      </c>
      <c r="E56" s="147" t="str">
        <f t="shared" si="4"/>
        <v>N/A</v>
      </c>
      <c r="F56" s="2" t="str">
        <f t="shared" si="1"/>
        <v>-</v>
      </c>
    </row>
    <row r="57" spans="1:6" s="16" customFormat="1" x14ac:dyDescent="0.25">
      <c r="A57" s="4" t="s">
        <v>110</v>
      </c>
      <c r="B57" s="5" t="s">
        <v>111</v>
      </c>
      <c r="C57" s="3" t="s">
        <v>23</v>
      </c>
      <c r="D57" s="147" t="s">
        <v>31</v>
      </c>
      <c r="E57" s="147" t="str">
        <f t="shared" si="4"/>
        <v>N/A</v>
      </c>
      <c r="F57" s="2" t="str">
        <f t="shared" si="1"/>
        <v>-</v>
      </c>
    </row>
    <row r="58" spans="1:6" s="16" customFormat="1" x14ac:dyDescent="0.25">
      <c r="A58" s="4" t="s">
        <v>112</v>
      </c>
      <c r="B58" s="5" t="s">
        <v>113</v>
      </c>
      <c r="C58" s="3" t="s">
        <v>23</v>
      </c>
      <c r="D58" s="147" t="s">
        <v>31</v>
      </c>
      <c r="E58" s="147" t="str">
        <f t="shared" si="4"/>
        <v>N/A</v>
      </c>
      <c r="F58" s="2" t="str">
        <f t="shared" si="1"/>
        <v>-</v>
      </c>
    </row>
    <row r="59" spans="1:6" s="16" customFormat="1" x14ac:dyDescent="0.25">
      <c r="A59" s="4" t="s">
        <v>114</v>
      </c>
      <c r="B59" s="5" t="s">
        <v>115</v>
      </c>
      <c r="C59" s="3" t="s">
        <v>74</v>
      </c>
      <c r="D59" s="147" t="s">
        <v>31</v>
      </c>
      <c r="E59" s="147" t="str">
        <f t="shared" si="4"/>
        <v>N/A</v>
      </c>
      <c r="F59" s="2" t="str">
        <f t="shared" si="1"/>
        <v>-</v>
      </c>
    </row>
    <row r="60" spans="1:6" s="16" customFormat="1" x14ac:dyDescent="0.25">
      <c r="A60" s="4" t="s">
        <v>116</v>
      </c>
      <c r="B60" s="5" t="s">
        <v>117</v>
      </c>
      <c r="C60" s="3" t="s">
        <v>23</v>
      </c>
      <c r="D60" s="147" t="s">
        <v>31</v>
      </c>
      <c r="E60" s="147" t="str">
        <f t="shared" si="4"/>
        <v>N/A</v>
      </c>
      <c r="F60" s="2" t="str">
        <f t="shared" si="1"/>
        <v>-</v>
      </c>
    </row>
    <row r="61" spans="1:6" s="16" customFormat="1" x14ac:dyDescent="0.25">
      <c r="A61" s="4" t="s">
        <v>118</v>
      </c>
      <c r="B61" s="5" t="s">
        <v>119</v>
      </c>
      <c r="C61" s="3" t="s">
        <v>23</v>
      </c>
      <c r="D61" s="147">
        <v>1</v>
      </c>
      <c r="E61" s="147" t="str">
        <f>IF(ISNUMBER(D61),"","N/A")</f>
        <v/>
      </c>
      <c r="F61" s="2" t="str">
        <f>IF(ISNUMBER(D61),"","-")</f>
        <v/>
      </c>
    </row>
    <row r="62" spans="1:6" s="16" customFormat="1" x14ac:dyDescent="0.25">
      <c r="A62" s="4" t="s">
        <v>120</v>
      </c>
      <c r="B62" s="5" t="s">
        <v>121</v>
      </c>
      <c r="C62" s="3" t="s">
        <v>23</v>
      </c>
      <c r="D62" s="147">
        <v>1</v>
      </c>
      <c r="E62" s="147" t="str">
        <f t="shared" ref="E62:E71" si="5">IF(ISNUMBER(D62),"","N/A")</f>
        <v/>
      </c>
      <c r="F62" s="2" t="str">
        <f t="shared" si="1"/>
        <v/>
      </c>
    </row>
    <row r="63" spans="1:6" s="16" customFormat="1" ht="26.4" x14ac:dyDescent="0.25">
      <c r="A63" s="4" t="s">
        <v>122</v>
      </c>
      <c r="B63" s="5" t="s">
        <v>123</v>
      </c>
      <c r="C63" s="3" t="s">
        <v>23</v>
      </c>
      <c r="D63" s="148">
        <v>1</v>
      </c>
      <c r="E63" s="147" t="str">
        <f t="shared" si="5"/>
        <v/>
      </c>
      <c r="F63" s="2" t="str">
        <f t="shared" si="1"/>
        <v/>
      </c>
    </row>
    <row r="64" spans="1:6" s="16" customFormat="1" ht="26.4" x14ac:dyDescent="0.25">
      <c r="A64" s="4" t="s">
        <v>124</v>
      </c>
      <c r="B64" s="5" t="s">
        <v>125</v>
      </c>
      <c r="C64" s="3" t="s">
        <v>126</v>
      </c>
      <c r="D64" s="148">
        <v>4</v>
      </c>
      <c r="E64" s="147" t="str">
        <f t="shared" si="5"/>
        <v/>
      </c>
      <c r="F64" s="2" t="str">
        <f t="shared" si="1"/>
        <v/>
      </c>
    </row>
    <row r="65" spans="1:6" s="16" customFormat="1" ht="26.4" x14ac:dyDescent="0.25">
      <c r="A65" s="4" t="s">
        <v>127</v>
      </c>
      <c r="B65" s="5" t="s">
        <v>128</v>
      </c>
      <c r="C65" s="3" t="s">
        <v>126</v>
      </c>
      <c r="D65" s="148">
        <v>4</v>
      </c>
      <c r="E65" s="147" t="str">
        <f t="shared" si="5"/>
        <v/>
      </c>
      <c r="F65" s="2" t="str">
        <f t="shared" si="1"/>
        <v/>
      </c>
    </row>
    <row r="66" spans="1:6" s="16" customFormat="1" x14ac:dyDescent="0.25">
      <c r="A66" s="4" t="s">
        <v>129</v>
      </c>
      <c r="B66" s="5" t="s">
        <v>130</v>
      </c>
      <c r="C66" s="3" t="s">
        <v>23</v>
      </c>
      <c r="D66" s="147" t="s">
        <v>131</v>
      </c>
      <c r="E66" s="147" t="str">
        <f t="shared" si="5"/>
        <v>N/A</v>
      </c>
      <c r="F66" s="2" t="str">
        <f t="shared" si="1"/>
        <v>-</v>
      </c>
    </row>
    <row r="67" spans="1:6" s="16" customFormat="1" x14ac:dyDescent="0.25">
      <c r="A67" s="4" t="s">
        <v>132</v>
      </c>
      <c r="B67" s="5" t="s">
        <v>133</v>
      </c>
      <c r="C67" s="3" t="s">
        <v>23</v>
      </c>
      <c r="D67" s="147">
        <v>1</v>
      </c>
      <c r="E67" s="147" t="str">
        <f t="shared" si="5"/>
        <v/>
      </c>
      <c r="F67" s="2" t="str">
        <f t="shared" si="1"/>
        <v/>
      </c>
    </row>
    <row r="68" spans="1:6" s="16" customFormat="1" x14ac:dyDescent="0.25">
      <c r="A68" s="4" t="s">
        <v>134</v>
      </c>
      <c r="B68" s="5" t="s">
        <v>135</v>
      </c>
      <c r="C68" s="3" t="s">
        <v>23</v>
      </c>
      <c r="D68" s="147" t="s">
        <v>31</v>
      </c>
      <c r="E68" s="147" t="str">
        <f t="shared" si="5"/>
        <v>N/A</v>
      </c>
      <c r="F68" s="2" t="str">
        <f t="shared" si="1"/>
        <v>-</v>
      </c>
    </row>
    <row r="69" spans="1:6" s="16" customFormat="1" x14ac:dyDescent="0.25">
      <c r="A69" s="4" t="s">
        <v>136</v>
      </c>
      <c r="B69" s="5" t="s">
        <v>137</v>
      </c>
      <c r="C69" s="3" t="s">
        <v>23</v>
      </c>
      <c r="D69" s="147">
        <v>1</v>
      </c>
      <c r="E69" s="147" t="str">
        <f t="shared" si="5"/>
        <v/>
      </c>
      <c r="F69" s="2" t="str">
        <f t="shared" si="1"/>
        <v/>
      </c>
    </row>
    <row r="70" spans="1:6" s="16" customFormat="1" ht="39.6" x14ac:dyDescent="0.25">
      <c r="A70" s="4" t="s">
        <v>138</v>
      </c>
      <c r="B70" s="5" t="s">
        <v>139</v>
      </c>
      <c r="C70" s="3" t="s">
        <v>23</v>
      </c>
      <c r="D70" s="147" t="s">
        <v>31</v>
      </c>
      <c r="E70" s="147" t="str">
        <f t="shared" si="5"/>
        <v>N/A</v>
      </c>
      <c r="F70" s="2" t="str">
        <f t="shared" si="1"/>
        <v>-</v>
      </c>
    </row>
    <row r="71" spans="1:6" s="16" customFormat="1" ht="39.6" x14ac:dyDescent="0.25">
      <c r="A71" s="4" t="s">
        <v>1231</v>
      </c>
      <c r="B71" s="5" t="s">
        <v>1232</v>
      </c>
      <c r="C71" s="19" t="s">
        <v>23</v>
      </c>
      <c r="D71" s="147">
        <v>1</v>
      </c>
      <c r="E71" s="147" t="str">
        <f t="shared" si="5"/>
        <v/>
      </c>
      <c r="F71" s="2" t="str">
        <f t="shared" si="1"/>
        <v/>
      </c>
    </row>
    <row r="72" spans="1:6" ht="12.75" customHeight="1" x14ac:dyDescent="0.25">
      <c r="B72" s="20" t="s">
        <v>140</v>
      </c>
      <c r="C72" s="21"/>
      <c r="D72" s="21"/>
      <c r="E72" s="22"/>
      <c r="F72" s="12">
        <f>SUM(F9:F71)</f>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1C12-7C84-4A12-A095-E6C77C7A4048}">
  <dimension ref="A2:L45"/>
  <sheetViews>
    <sheetView topLeftCell="A19" workbookViewId="0">
      <selection activeCell="I19" sqref="I19"/>
    </sheetView>
  </sheetViews>
  <sheetFormatPr defaultColWidth="9.21875" defaultRowHeight="13.2" x14ac:dyDescent="0.25"/>
  <cols>
    <col min="1" max="1" width="9.21875" style="8"/>
    <col min="2" max="2" width="35.77734375" style="8" customWidth="1"/>
    <col min="3" max="3" width="9.21875" style="23"/>
    <col min="4" max="5" width="11.44140625" style="23" customWidth="1"/>
    <col min="6" max="6" width="11.44140625" style="25" customWidth="1"/>
    <col min="7" max="7" width="1.5546875" style="23" customWidth="1"/>
    <col min="8" max="16384" width="9.21875" style="8"/>
  </cols>
  <sheetData>
    <row r="2" spans="1:10" s="32" customFormat="1" x14ac:dyDescent="0.25">
      <c r="C2" s="33"/>
      <c r="D2" s="33"/>
      <c r="E2" s="33"/>
      <c r="F2" s="34"/>
      <c r="G2" s="33"/>
    </row>
    <row r="6" spans="1:10" s="23" customFormat="1" x14ac:dyDescent="0.25">
      <c r="F6" s="25"/>
    </row>
    <row r="7" spans="1:10" s="23" customFormat="1" x14ac:dyDescent="0.25">
      <c r="A7" s="6" t="s">
        <v>15</v>
      </c>
      <c r="B7" s="6" t="s">
        <v>16</v>
      </c>
      <c r="C7" s="6" t="s">
        <v>17</v>
      </c>
      <c r="D7" s="6" t="s">
        <v>0</v>
      </c>
      <c r="E7" s="6" t="s">
        <v>1</v>
      </c>
      <c r="F7" s="1" t="s">
        <v>18</v>
      </c>
      <c r="G7" s="26"/>
    </row>
    <row r="8" spans="1:10" x14ac:dyDescent="0.25">
      <c r="A8" s="35"/>
      <c r="B8" s="35"/>
      <c r="C8" s="36"/>
      <c r="D8" s="36"/>
      <c r="E8" s="36" t="s">
        <v>19</v>
      </c>
      <c r="F8" s="37" t="s">
        <v>19</v>
      </c>
    </row>
    <row r="9" spans="1:10" s="43" customFormat="1" ht="39.6" x14ac:dyDescent="0.3">
      <c r="A9" s="38" t="s">
        <v>141</v>
      </c>
      <c r="B9" s="38" t="s">
        <v>142</v>
      </c>
      <c r="C9" s="39"/>
      <c r="D9" s="27"/>
      <c r="E9" s="40"/>
      <c r="F9" s="41"/>
      <c r="G9" s="42"/>
    </row>
    <row r="10" spans="1:10" s="16" customFormat="1" ht="52.8" x14ac:dyDescent="0.25">
      <c r="A10" s="4" t="s">
        <v>143</v>
      </c>
      <c r="B10" s="4" t="s">
        <v>144</v>
      </c>
      <c r="C10" s="3" t="s">
        <v>145</v>
      </c>
      <c r="D10" s="3" t="s">
        <v>145</v>
      </c>
      <c r="E10" s="3" t="str">
        <f t="shared" ref="E10:E16" si="0">IF(ISNUMBER(D10),"","N/A")</f>
        <v>N/A</v>
      </c>
      <c r="F10" s="2" t="s">
        <v>24</v>
      </c>
      <c r="G10" s="28"/>
    </row>
    <row r="11" spans="1:10" s="16" customFormat="1" ht="52.8" x14ac:dyDescent="0.25">
      <c r="A11" s="4" t="s">
        <v>146</v>
      </c>
      <c r="B11" s="4" t="s">
        <v>147</v>
      </c>
      <c r="C11" s="3" t="s">
        <v>74</v>
      </c>
      <c r="D11" s="18" t="e">
        <f>IF(AND(ISNUMBER('[2]Section B'!D11),'[2]Section B'!D11&gt;0),'[2]Section B'!D11,"Not Required")</f>
        <v>#VALUE!</v>
      </c>
      <c r="E11" s="3" t="str">
        <f t="shared" si="0"/>
        <v>N/A</v>
      </c>
      <c r="F11" s="2" t="e">
        <f>IF(AND(ISNUMBER(D11),D11&gt;0),D11*E11,"-")</f>
        <v>#VALUE!</v>
      </c>
      <c r="G11" s="28"/>
    </row>
    <row r="12" spans="1:10" s="16" customFormat="1" ht="66" x14ac:dyDescent="0.25">
      <c r="A12" s="4" t="s">
        <v>148</v>
      </c>
      <c r="B12" s="4" t="s">
        <v>149</v>
      </c>
      <c r="C12" s="3" t="s">
        <v>74</v>
      </c>
      <c r="D12" s="18" t="e">
        <f>IF(AND(ISNUMBER('[2]Section B'!D12),'[2]Section B'!D12&gt;0),'[2]Section B'!D12,"Not Required")</f>
        <v>#VALUE!</v>
      </c>
      <c r="E12" s="3" t="str">
        <f t="shared" si="0"/>
        <v>N/A</v>
      </c>
      <c r="F12" s="2" t="e">
        <f>IF(AND(ISNUMBER(D12),D12&gt;0),D12*E12,"-")</f>
        <v>#VALUE!</v>
      </c>
      <c r="G12" s="28"/>
    </row>
    <row r="13" spans="1:10" s="16" customFormat="1" ht="66" x14ac:dyDescent="0.25">
      <c r="A13" s="4" t="s">
        <v>150</v>
      </c>
      <c r="B13" s="4" t="s">
        <v>151</v>
      </c>
      <c r="C13" s="3" t="s">
        <v>74</v>
      </c>
      <c r="D13" s="18" t="e">
        <f>IF(AND(ISNUMBER('[2]Section B'!D13),'[2]Section B'!D13&gt;0),'[2]Section B'!D13,"Not Required")</f>
        <v>#VALUE!</v>
      </c>
      <c r="E13" s="3" t="str">
        <f t="shared" si="0"/>
        <v>N/A</v>
      </c>
      <c r="F13" s="2" t="e">
        <f>IF(AND(ISNUMBER(D13),D13&gt;0),D13*E13,"-")</f>
        <v>#VALUE!</v>
      </c>
      <c r="G13" s="28"/>
    </row>
    <row r="14" spans="1:10" s="16" customFormat="1" ht="79.2" x14ac:dyDescent="0.25">
      <c r="A14" s="4" t="s">
        <v>152</v>
      </c>
      <c r="B14" s="4" t="s">
        <v>153</v>
      </c>
      <c r="C14" s="3" t="s">
        <v>74</v>
      </c>
      <c r="D14" s="18" t="e">
        <f>IF(AND(ISNUMBER('[2]Section B'!D14),'[2]Section B'!D14&gt;0),'[2]Section B'!D14,"Not Required")</f>
        <v>#VALUE!</v>
      </c>
      <c r="E14" s="3" t="str">
        <f t="shared" si="0"/>
        <v>N/A</v>
      </c>
      <c r="F14" s="2" t="e">
        <f>IF(AND(ISNUMBER(D14),D14&gt;0),D14*E14,"-")</f>
        <v>#VALUE!</v>
      </c>
      <c r="G14" s="28"/>
    </row>
    <row r="15" spans="1:10" s="16" customFormat="1" ht="52.8" x14ac:dyDescent="0.25">
      <c r="A15" s="4" t="s">
        <v>154</v>
      </c>
      <c r="B15" s="4" t="s">
        <v>155</v>
      </c>
      <c r="C15" s="3" t="s">
        <v>156</v>
      </c>
      <c r="D15" s="3" t="s">
        <v>156</v>
      </c>
      <c r="E15" s="3" t="str">
        <f t="shared" si="0"/>
        <v>N/A</v>
      </c>
      <c r="F15" s="2" t="s">
        <v>24</v>
      </c>
      <c r="G15" s="28"/>
      <c r="J15" s="28"/>
    </row>
    <row r="16" spans="1:10" s="16" customFormat="1" ht="28.8" x14ac:dyDescent="0.25">
      <c r="A16" s="4" t="s">
        <v>157</v>
      </c>
      <c r="B16" s="4" t="s">
        <v>158</v>
      </c>
      <c r="C16" s="3" t="s">
        <v>74</v>
      </c>
      <c r="D16" s="18" t="e">
        <f>IF(AND(ISNUMBER('[2]Section B'!D16),'[2]Section B'!D16&gt;0),'[2]Section B'!D16,"Not Required")</f>
        <v>#VALUE!</v>
      </c>
      <c r="E16" s="3" t="str">
        <f t="shared" si="0"/>
        <v>N/A</v>
      </c>
      <c r="F16" s="2" t="str">
        <f>IF(AND(ISNUMBER(D16),E16&gt;0),D16*E16,"-")</f>
        <v>-</v>
      </c>
      <c r="G16" s="28"/>
    </row>
    <row r="17" spans="1:12" s="16" customFormat="1" ht="28.8" x14ac:dyDescent="0.25">
      <c r="A17" s="4" t="s">
        <v>159</v>
      </c>
      <c r="B17" s="4" t="s">
        <v>160</v>
      </c>
      <c r="C17" s="3" t="s">
        <v>74</v>
      </c>
      <c r="D17" s="18" t="e">
        <f>IF(AND(ISNUMBER('[2]Section B'!D17),'[2]Section B'!D17&gt;0),'[2]Section B'!D17,"Not Required")</f>
        <v>#VALUE!</v>
      </c>
      <c r="E17" s="3" t="str">
        <f t="shared" ref="E17:E27" si="1">IF(ISNUMBER(D17),"","N/A")</f>
        <v>N/A</v>
      </c>
      <c r="F17" s="2" t="str">
        <f t="shared" ref="F17:F27" si="2">IF(AND(ISNUMBER(D17),E17&gt;0),D17*E17,"-")</f>
        <v>-</v>
      </c>
      <c r="G17" s="28"/>
    </row>
    <row r="18" spans="1:12" s="16" customFormat="1" ht="64.5" customHeight="1" x14ac:dyDescent="0.25">
      <c r="A18" s="4" t="s">
        <v>161</v>
      </c>
      <c r="B18" s="4" t="s">
        <v>162</v>
      </c>
      <c r="C18" s="3" t="s">
        <v>74</v>
      </c>
      <c r="D18" s="18" t="e">
        <f>IF(AND(ISNUMBER('[2]Section B'!D18),'[2]Section B'!D18&gt;0),'[2]Section B'!D18,"Not Required")</f>
        <v>#VALUE!</v>
      </c>
      <c r="E18" s="3" t="str">
        <f t="shared" si="1"/>
        <v>N/A</v>
      </c>
      <c r="F18" s="2" t="str">
        <f t="shared" si="2"/>
        <v>-</v>
      </c>
      <c r="G18" s="28"/>
    </row>
    <row r="19" spans="1:12" s="16" customFormat="1" ht="39.6" x14ac:dyDescent="0.25">
      <c r="A19" s="4" t="s">
        <v>163</v>
      </c>
      <c r="B19" s="4" t="s">
        <v>164</v>
      </c>
      <c r="C19" s="3" t="s">
        <v>165</v>
      </c>
      <c r="D19" s="18" t="e">
        <f>IF(AND(ISNUMBER('[2]Section B'!D19),'[2]Section B'!D19&gt;0),'[2]Section B'!D19,"Not Required")</f>
        <v>#VALUE!</v>
      </c>
      <c r="E19" s="3" t="str">
        <f t="shared" si="1"/>
        <v>N/A</v>
      </c>
      <c r="F19" s="2" t="str">
        <f t="shared" si="2"/>
        <v>-</v>
      </c>
      <c r="G19" s="28"/>
      <c r="J19" s="133"/>
    </row>
    <row r="20" spans="1:12" s="16" customFormat="1" ht="28.8" x14ac:dyDescent="0.25">
      <c r="A20" s="4" t="s">
        <v>166</v>
      </c>
      <c r="B20" s="4" t="s">
        <v>167</v>
      </c>
      <c r="C20" s="3" t="s">
        <v>168</v>
      </c>
      <c r="D20" s="18" t="str">
        <f>IF(AND(ISNUMBER('[2]Section B'!D20),'[2]Section B'!D20&gt;0),'[2]Section B'!D20,"Not Required")</f>
        <v>Not Required</v>
      </c>
      <c r="E20" s="3" t="str">
        <f t="shared" si="1"/>
        <v>N/A</v>
      </c>
      <c r="F20" s="2" t="str">
        <f t="shared" si="2"/>
        <v>-</v>
      </c>
      <c r="G20" s="28"/>
    </row>
    <row r="21" spans="1:12" s="16" customFormat="1" ht="28.8" x14ac:dyDescent="0.25">
      <c r="A21" s="4" t="s">
        <v>169</v>
      </c>
      <c r="B21" s="4" t="s">
        <v>1223</v>
      </c>
      <c r="C21" s="3" t="s">
        <v>168</v>
      </c>
      <c r="D21" s="18" t="str">
        <f>IF(AND(ISNUMBER('[2]Section B'!D21),'[2]Section B'!D21&gt;0),'[2]Section B'!D21,"Not Required")</f>
        <v>Not Required</v>
      </c>
      <c r="E21" s="3" t="str">
        <f t="shared" si="1"/>
        <v>N/A</v>
      </c>
      <c r="F21" s="2" t="str">
        <f t="shared" si="2"/>
        <v>-</v>
      </c>
      <c r="G21" s="28"/>
    </row>
    <row r="22" spans="1:12" s="16" customFormat="1" ht="28.8" x14ac:dyDescent="0.25">
      <c r="A22" s="4" t="s">
        <v>170</v>
      </c>
      <c r="B22" s="4" t="s">
        <v>171</v>
      </c>
      <c r="C22" s="3" t="s">
        <v>168</v>
      </c>
      <c r="D22" s="18" t="str">
        <f>IF(AND(ISNUMBER('[2]Section B'!D22),'[2]Section B'!D22&gt;0),'[2]Section B'!D22,"Not Required")</f>
        <v>Not Required</v>
      </c>
      <c r="E22" s="3" t="str">
        <f t="shared" si="1"/>
        <v>N/A</v>
      </c>
      <c r="F22" s="2" t="str">
        <f t="shared" si="2"/>
        <v>-</v>
      </c>
      <c r="G22" s="28"/>
    </row>
    <row r="23" spans="1:12" s="16" customFormat="1" ht="28.8" x14ac:dyDescent="0.25">
      <c r="A23" s="4" t="s">
        <v>172</v>
      </c>
      <c r="B23" s="4" t="s">
        <v>173</v>
      </c>
      <c r="C23" s="3" t="s">
        <v>168</v>
      </c>
      <c r="D23" s="18" t="str">
        <f>IF(AND(ISNUMBER('[2]Section B'!D23),'[2]Section B'!D23&gt;0),'[2]Section B'!D23,"Not Required")</f>
        <v>Not Required</v>
      </c>
      <c r="E23" s="3" t="str">
        <f t="shared" si="1"/>
        <v>N/A</v>
      </c>
      <c r="F23" s="2" t="str">
        <f t="shared" si="2"/>
        <v>-</v>
      </c>
      <c r="G23" s="28"/>
    </row>
    <row r="24" spans="1:12" s="16" customFormat="1" ht="28.8" x14ac:dyDescent="0.25">
      <c r="A24" s="4" t="s">
        <v>174</v>
      </c>
      <c r="B24" s="4" t="s">
        <v>175</v>
      </c>
      <c r="C24" s="3" t="s">
        <v>168</v>
      </c>
      <c r="D24" s="18" t="str">
        <f>IF(AND(ISNUMBER('[2]Section B'!D24),'[2]Section B'!D24&gt;0),'[2]Section B'!D24,"Not Required")</f>
        <v>Not Required</v>
      </c>
      <c r="E24" s="3" t="str">
        <f t="shared" si="1"/>
        <v>N/A</v>
      </c>
      <c r="F24" s="2" t="str">
        <f t="shared" si="2"/>
        <v>-</v>
      </c>
      <c r="G24" s="29"/>
    </row>
    <row r="25" spans="1:12" s="16" customFormat="1" ht="28.8" x14ac:dyDescent="0.25">
      <c r="A25" s="4" t="s">
        <v>176</v>
      </c>
      <c r="B25" s="4" t="s">
        <v>177</v>
      </c>
      <c r="C25" s="3" t="s">
        <v>178</v>
      </c>
      <c r="D25" s="18" t="e">
        <f>IF(AND(ISNUMBER('[2]Section B'!D25),'[2]Section B'!D25&gt;0),'[2]Section B'!D25,"Not Required")</f>
        <v>#VALUE!</v>
      </c>
      <c r="E25" s="3" t="str">
        <f t="shared" si="1"/>
        <v>N/A</v>
      </c>
      <c r="F25" s="2" t="str">
        <f t="shared" si="2"/>
        <v>-</v>
      </c>
      <c r="G25" s="28"/>
      <c r="L25" s="28"/>
    </row>
    <row r="26" spans="1:12" s="16" customFormat="1" ht="52.8" x14ac:dyDescent="0.25">
      <c r="A26" s="4" t="s">
        <v>179</v>
      </c>
      <c r="B26" s="4" t="s">
        <v>180</v>
      </c>
      <c r="C26" s="3" t="s">
        <v>74</v>
      </c>
      <c r="D26" s="3" t="s">
        <v>1193</v>
      </c>
      <c r="E26" s="3" t="str">
        <f t="shared" si="1"/>
        <v>N/A</v>
      </c>
      <c r="F26" s="2" t="str">
        <f t="shared" si="2"/>
        <v>-</v>
      </c>
      <c r="G26" s="28"/>
      <c r="H26" s="28"/>
      <c r="J26" s="28"/>
    </row>
    <row r="27" spans="1:12" s="16" customFormat="1" ht="39.6" x14ac:dyDescent="0.25">
      <c r="A27" s="4" t="s">
        <v>181</v>
      </c>
      <c r="B27" s="4" t="s">
        <v>182</v>
      </c>
      <c r="C27" s="3" t="s">
        <v>183</v>
      </c>
      <c r="D27" s="3" t="s">
        <v>1193</v>
      </c>
      <c r="E27" s="3" t="str">
        <f t="shared" si="1"/>
        <v>N/A</v>
      </c>
      <c r="F27" s="2" t="str">
        <f t="shared" si="2"/>
        <v>-</v>
      </c>
      <c r="G27" s="28"/>
      <c r="H27" s="28"/>
    </row>
    <row r="28" spans="1:12" s="16" customFormat="1" ht="28.8" x14ac:dyDescent="0.25">
      <c r="A28" s="4" t="s">
        <v>184</v>
      </c>
      <c r="B28" s="4" t="s">
        <v>185</v>
      </c>
      <c r="C28" s="3" t="s">
        <v>178</v>
      </c>
      <c r="D28" s="135" t="e">
        <f>IF(AND(ISNUMBER('[2]Section B'!$D$28),'[2]Section B'!$D$28&gt;0),'[2]Section B'!$D$28,"Not Required")</f>
        <v>#VALUE!</v>
      </c>
      <c r="E28" s="134" t="str">
        <f>IF(ISNUMBER(D28),"","N/A")</f>
        <v>N/A</v>
      </c>
      <c r="F28" s="2" t="e">
        <f>IF(AND(ISNUMBER(D28),D28&gt;0),D28*E28,"-")</f>
        <v>#VALUE!</v>
      </c>
      <c r="G28" s="28"/>
      <c r="L28" s="28"/>
    </row>
    <row r="29" spans="1:12" s="16" customFormat="1" ht="29.1" customHeight="1" x14ac:dyDescent="0.25">
      <c r="A29" s="13"/>
      <c r="B29" s="30" t="s">
        <v>1201</v>
      </c>
      <c r="C29" s="3"/>
      <c r="D29" s="142"/>
      <c r="E29" s="134"/>
      <c r="F29" s="2"/>
      <c r="G29" s="28"/>
    </row>
    <row r="30" spans="1:12" s="16" customFormat="1" ht="28.8" x14ac:dyDescent="0.25">
      <c r="A30" s="4" t="s">
        <v>186</v>
      </c>
      <c r="B30" s="4" t="s">
        <v>187</v>
      </c>
      <c r="C30" s="3" t="s">
        <v>74</v>
      </c>
      <c r="D30" s="143" t="str">
        <f>IF(AND(ISNUMBER('[2]Section B'!D30),'[2]Section B'!D30&gt;0),'[2]Section B'!D30,"Not Required")</f>
        <v>Not Required</v>
      </c>
      <c r="E30" s="134" t="str">
        <f t="shared" ref="E30:E44" si="3">IF(ISNUMBER(D30),"","N/A")</f>
        <v>N/A</v>
      </c>
      <c r="F30" s="2" t="str">
        <f t="shared" ref="F30:F44" si="4">IF(AND(ISNUMBER(D30),D30&gt;0),D30*E30,"-")</f>
        <v>-</v>
      </c>
      <c r="G30" s="28"/>
    </row>
    <row r="31" spans="1:12" s="16" customFormat="1" ht="28.8" x14ac:dyDescent="0.25">
      <c r="A31" s="4" t="s">
        <v>188</v>
      </c>
      <c r="B31" s="4" t="s">
        <v>189</v>
      </c>
      <c r="C31" s="3" t="s">
        <v>74</v>
      </c>
      <c r="D31" s="143" t="e">
        <f>IF(AND(ISNUMBER('[2]Section B'!D31),'[2]Section B'!D31&gt;0),'[2]Section B'!D31,"Not Required")</f>
        <v>#VALUE!</v>
      </c>
      <c r="E31" s="134" t="str">
        <f t="shared" si="3"/>
        <v>N/A</v>
      </c>
      <c r="F31" s="2" t="e">
        <f t="shared" si="4"/>
        <v>#VALUE!</v>
      </c>
      <c r="G31" s="28"/>
    </row>
    <row r="32" spans="1:12" s="16" customFormat="1" ht="66" x14ac:dyDescent="0.25">
      <c r="A32" s="4" t="s">
        <v>190</v>
      </c>
      <c r="B32" s="4" t="s">
        <v>191</v>
      </c>
      <c r="C32" s="3" t="s">
        <v>74</v>
      </c>
      <c r="D32" s="143" t="str">
        <f>IF(AND(ISNUMBER('[2]Section B'!D32),'[2]Section B'!D32&gt;0),'[2]Section B'!D32,"Not Required")</f>
        <v>Not Required</v>
      </c>
      <c r="E32" s="134" t="str">
        <f t="shared" si="3"/>
        <v>N/A</v>
      </c>
      <c r="F32" s="2" t="str">
        <f t="shared" si="4"/>
        <v>-</v>
      </c>
      <c r="G32" s="29"/>
    </row>
    <row r="33" spans="1:8" s="16" customFormat="1" ht="28.8" x14ac:dyDescent="0.25">
      <c r="A33" s="4" t="s">
        <v>192</v>
      </c>
      <c r="B33" s="4" t="s">
        <v>193</v>
      </c>
      <c r="C33" s="3" t="s">
        <v>178</v>
      </c>
      <c r="D33" s="143" t="str">
        <f>IF(AND(ISNUMBER('[2]Section B'!D33),'[2]Section B'!D33&gt;0),'[2]Section B'!D33,"Not Required")</f>
        <v>Not Required</v>
      </c>
      <c r="E33" s="134" t="str">
        <f t="shared" si="3"/>
        <v>N/A</v>
      </c>
      <c r="F33" s="2" t="str">
        <f t="shared" si="4"/>
        <v>-</v>
      </c>
      <c r="G33" s="28"/>
    </row>
    <row r="34" spans="1:8" s="16" customFormat="1" ht="28.8" x14ac:dyDescent="0.25">
      <c r="A34" s="4" t="s">
        <v>194</v>
      </c>
      <c r="B34" s="4" t="s">
        <v>195</v>
      </c>
      <c r="C34" s="3" t="s">
        <v>168</v>
      </c>
      <c r="D34" s="143" t="str">
        <f>IF(AND(ISNUMBER('[2]Section B'!D34),'[2]Section B'!D34&gt;0),'[2]Section B'!D34,"Not Required")</f>
        <v>Not Required</v>
      </c>
      <c r="E34" s="134" t="str">
        <f t="shared" si="3"/>
        <v>N/A</v>
      </c>
      <c r="F34" s="2" t="str">
        <f t="shared" si="4"/>
        <v>-</v>
      </c>
      <c r="G34" s="28"/>
    </row>
    <row r="35" spans="1:8" s="16" customFormat="1" ht="28.8" x14ac:dyDescent="0.25">
      <c r="A35" s="4" t="s">
        <v>196</v>
      </c>
      <c r="B35" s="4" t="s">
        <v>197</v>
      </c>
      <c r="C35" s="3" t="s">
        <v>168</v>
      </c>
      <c r="D35" s="143" t="str">
        <f>IF(AND(ISNUMBER('[2]Section B'!D35),'[2]Section B'!D35&gt;0),'[2]Section B'!D35,"Not Required")</f>
        <v>Not Required</v>
      </c>
      <c r="E35" s="134" t="str">
        <f t="shared" si="3"/>
        <v>N/A</v>
      </c>
      <c r="F35" s="2" t="str">
        <f t="shared" si="4"/>
        <v>-</v>
      </c>
      <c r="G35" s="29"/>
    </row>
    <row r="36" spans="1:8" s="16" customFormat="1" ht="37.5" customHeight="1" x14ac:dyDescent="0.25">
      <c r="A36" s="4" t="s">
        <v>198</v>
      </c>
      <c r="B36" s="4" t="s">
        <v>1200</v>
      </c>
      <c r="C36" s="3" t="s">
        <v>168</v>
      </c>
      <c r="D36" s="143" t="str">
        <f>IF(AND(ISNUMBER('[2]Section B'!D36),'[2]Section B'!D36&gt;0),'[2]Section B'!D36,"Not Required")</f>
        <v>Not Required</v>
      </c>
      <c r="E36" s="134" t="str">
        <f t="shared" si="3"/>
        <v>N/A</v>
      </c>
      <c r="F36" s="2" t="str">
        <f t="shared" si="4"/>
        <v>-</v>
      </c>
      <c r="G36" s="28"/>
    </row>
    <row r="37" spans="1:8" s="16" customFormat="1" ht="28.8" x14ac:dyDescent="0.25">
      <c r="A37" s="4" t="s">
        <v>199</v>
      </c>
      <c r="B37" s="4" t="s">
        <v>200</v>
      </c>
      <c r="C37" s="3" t="s">
        <v>201</v>
      </c>
      <c r="D37" s="143" t="str">
        <f>IF(AND(ISNUMBER('[2]Section B'!D37),'[2]Section B'!D37&gt;0),'[2]Section B'!D37,"Not Required")</f>
        <v>Not Required</v>
      </c>
      <c r="E37" s="134" t="str">
        <f t="shared" si="3"/>
        <v>N/A</v>
      </c>
      <c r="F37" s="2" t="str">
        <f t="shared" si="4"/>
        <v>-</v>
      </c>
      <c r="G37" s="28"/>
    </row>
    <row r="38" spans="1:8" s="16" customFormat="1" ht="52.8" x14ac:dyDescent="0.25">
      <c r="A38" s="4" t="s">
        <v>202</v>
      </c>
      <c r="B38" s="4" t="s">
        <v>203</v>
      </c>
      <c r="C38" s="3" t="s">
        <v>183</v>
      </c>
      <c r="D38" s="142" t="str">
        <f>'[2]Section B'!$D$38</f>
        <v>Included in B13</v>
      </c>
      <c r="E38" s="134" t="str">
        <f t="shared" si="3"/>
        <v>N/A</v>
      </c>
      <c r="F38" s="2" t="str">
        <f t="shared" si="4"/>
        <v>-</v>
      </c>
      <c r="G38" s="29"/>
    </row>
    <row r="39" spans="1:8" s="16" customFormat="1" ht="39.75" customHeight="1" x14ac:dyDescent="0.25">
      <c r="A39" s="4"/>
      <c r="B39" s="30" t="s">
        <v>204</v>
      </c>
      <c r="C39" s="3"/>
      <c r="D39" s="3"/>
      <c r="E39" s="134"/>
      <c r="F39" s="2"/>
      <c r="G39" s="28"/>
    </row>
    <row r="40" spans="1:8" s="16" customFormat="1" ht="26.4" x14ac:dyDescent="0.25">
      <c r="A40" s="4" t="s">
        <v>205</v>
      </c>
      <c r="B40" s="4" t="s">
        <v>206</v>
      </c>
      <c r="C40" s="3" t="s">
        <v>207</v>
      </c>
      <c r="D40" s="3" t="s">
        <v>208</v>
      </c>
      <c r="E40" s="134" t="str">
        <f t="shared" si="3"/>
        <v>N/A</v>
      </c>
      <c r="F40" s="2" t="str">
        <f t="shared" si="4"/>
        <v>-</v>
      </c>
      <c r="G40" s="29"/>
    </row>
    <row r="41" spans="1:8" s="16" customFormat="1" ht="26.4" x14ac:dyDescent="0.25">
      <c r="A41" s="4" t="s">
        <v>209</v>
      </c>
      <c r="B41" s="4" t="s">
        <v>210</v>
      </c>
      <c r="C41" s="3" t="s">
        <v>207</v>
      </c>
      <c r="D41" s="3" t="s">
        <v>211</v>
      </c>
      <c r="E41" s="134" t="str">
        <f t="shared" si="3"/>
        <v>N/A</v>
      </c>
      <c r="F41" s="2" t="str">
        <f t="shared" si="4"/>
        <v>-</v>
      </c>
      <c r="G41" s="28"/>
    </row>
    <row r="42" spans="1:8" s="16" customFormat="1" ht="39.6" x14ac:dyDescent="0.25">
      <c r="A42" s="4" t="s">
        <v>212</v>
      </c>
      <c r="B42" s="4" t="s">
        <v>213</v>
      </c>
      <c r="C42" s="3" t="s">
        <v>207</v>
      </c>
      <c r="D42" s="3" t="s">
        <v>1233</v>
      </c>
      <c r="E42" s="134" t="str">
        <f t="shared" si="3"/>
        <v>N/A</v>
      </c>
      <c r="F42" s="2" t="str">
        <f t="shared" si="4"/>
        <v>-</v>
      </c>
      <c r="G42" s="28"/>
    </row>
    <row r="43" spans="1:8" s="16" customFormat="1" ht="26.4" x14ac:dyDescent="0.25">
      <c r="A43" s="4" t="s">
        <v>214</v>
      </c>
      <c r="B43" s="4" t="s">
        <v>215</v>
      </c>
      <c r="C43" s="3" t="s">
        <v>74</v>
      </c>
      <c r="D43" s="3" t="s">
        <v>31</v>
      </c>
      <c r="E43" s="134" t="str">
        <f t="shared" si="3"/>
        <v>N/A</v>
      </c>
      <c r="F43" s="2" t="str">
        <f t="shared" si="4"/>
        <v>-</v>
      </c>
      <c r="G43" s="28"/>
    </row>
    <row r="44" spans="1:8" s="16" customFormat="1" ht="52.8" x14ac:dyDescent="0.25">
      <c r="A44" s="4" t="s">
        <v>216</v>
      </c>
      <c r="B44" s="4" t="s">
        <v>217</v>
      </c>
      <c r="C44" s="3" t="s">
        <v>183</v>
      </c>
      <c r="D44" s="3" t="s">
        <v>1193</v>
      </c>
      <c r="E44" s="134" t="str">
        <f t="shared" si="3"/>
        <v>N/A</v>
      </c>
      <c r="F44" s="2" t="str">
        <f t="shared" si="4"/>
        <v>-</v>
      </c>
      <c r="G44" s="28"/>
      <c r="H44" s="28"/>
    </row>
    <row r="45" spans="1:8" ht="12.75" customHeight="1" x14ac:dyDescent="0.25">
      <c r="A45" s="45"/>
      <c r="B45" s="46" t="s">
        <v>218</v>
      </c>
      <c r="C45" s="46"/>
      <c r="D45" s="46"/>
      <c r="E45" s="47"/>
      <c r="F45" s="12" t="e">
        <f>SUM(F10:F44)</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FA7DB-D420-495D-BA4E-16882D2191A8}">
  <dimension ref="A7:I114"/>
  <sheetViews>
    <sheetView topLeftCell="A25" workbookViewId="0">
      <selection activeCell="D19" sqref="D19"/>
    </sheetView>
  </sheetViews>
  <sheetFormatPr defaultColWidth="9.21875" defaultRowHeight="13.2" x14ac:dyDescent="0.25"/>
  <cols>
    <col min="1" max="1" width="9.21875" style="8"/>
    <col min="2" max="2" width="35.77734375" style="8" customWidth="1"/>
    <col min="3" max="3" width="8.77734375" style="23" customWidth="1"/>
    <col min="4" max="5" width="11.44140625" style="23" customWidth="1"/>
    <col min="6" max="6" width="11.44140625" style="25" customWidth="1"/>
    <col min="7" max="7" width="1.5546875" style="23" customWidth="1"/>
    <col min="8" max="16384" width="9.21875" style="8"/>
  </cols>
  <sheetData>
    <row r="7" spans="1:7" x14ac:dyDescent="0.25">
      <c r="A7" s="6" t="s">
        <v>15</v>
      </c>
      <c r="B7" s="6" t="s">
        <v>16</v>
      </c>
      <c r="C7" s="6" t="s">
        <v>17</v>
      </c>
      <c r="D7" s="6" t="s">
        <v>0</v>
      </c>
      <c r="E7" s="6" t="s">
        <v>1</v>
      </c>
      <c r="F7" s="1" t="s">
        <v>18</v>
      </c>
      <c r="G7" s="26"/>
    </row>
    <row r="8" spans="1:7" x14ac:dyDescent="0.25">
      <c r="A8" s="35"/>
      <c r="B8" s="35"/>
      <c r="C8" s="36"/>
      <c r="D8" s="36"/>
      <c r="E8" s="36" t="s">
        <v>19</v>
      </c>
      <c r="F8" s="12" t="s">
        <v>19</v>
      </c>
    </row>
    <row r="9" spans="1:7" x14ac:dyDescent="0.25">
      <c r="A9" s="48" t="s">
        <v>406</v>
      </c>
      <c r="B9" s="49" t="s">
        <v>219</v>
      </c>
      <c r="C9" s="50"/>
      <c r="D9" s="50"/>
      <c r="E9" s="50"/>
      <c r="F9" s="51"/>
      <c r="G9" s="52"/>
    </row>
    <row r="10" spans="1:7" x14ac:dyDescent="0.25">
      <c r="A10" s="48"/>
      <c r="B10" s="49" t="s">
        <v>220</v>
      </c>
      <c r="C10" s="50"/>
      <c r="D10" s="50"/>
      <c r="E10" s="50"/>
      <c r="F10" s="51"/>
      <c r="G10" s="52"/>
    </row>
    <row r="11" spans="1:7" s="16" customFormat="1" ht="26.4" x14ac:dyDescent="0.25">
      <c r="A11" s="4" t="s">
        <v>221</v>
      </c>
      <c r="B11" s="4" t="s">
        <v>222</v>
      </c>
      <c r="C11" s="4" t="s">
        <v>74</v>
      </c>
      <c r="D11" s="3" t="s">
        <v>31</v>
      </c>
      <c r="E11" s="3" t="str">
        <f>IF(ISNUMBER(D11),"","N/A")</f>
        <v>N/A</v>
      </c>
      <c r="F11" s="2" t="str">
        <f>IF(AND(ISNUMBER(D11),D11&gt;0),D11*E11,"-")</f>
        <v>-</v>
      </c>
      <c r="G11" s="28"/>
    </row>
    <row r="12" spans="1:7" s="16" customFormat="1" ht="26.4" x14ac:dyDescent="0.25">
      <c r="A12" s="4" t="s">
        <v>223</v>
      </c>
      <c r="B12" s="4" t="s">
        <v>224</v>
      </c>
      <c r="C12" s="4" t="s">
        <v>168</v>
      </c>
      <c r="D12" s="3" t="s">
        <v>31</v>
      </c>
      <c r="E12" s="3" t="str">
        <f t="shared" ref="E12:E28" si="0">IF(ISNUMBER(D12),"","N/A")</f>
        <v>N/A</v>
      </c>
      <c r="F12" s="2" t="str">
        <f t="shared" ref="F12:F75" si="1">IF(AND(ISNUMBER(D12),D12&gt;0),D12*E12,"-")</f>
        <v>-</v>
      </c>
      <c r="G12" s="28"/>
    </row>
    <row r="13" spans="1:7" s="16" customFormat="1" ht="26.4" x14ac:dyDescent="0.25">
      <c r="A13" s="4" t="s">
        <v>225</v>
      </c>
      <c r="B13" s="4" t="s">
        <v>226</v>
      </c>
      <c r="C13" s="4" t="s">
        <v>168</v>
      </c>
      <c r="D13" s="3" t="s">
        <v>31</v>
      </c>
      <c r="E13" s="3" t="str">
        <f t="shared" si="0"/>
        <v>N/A</v>
      </c>
      <c r="F13" s="2" t="str">
        <f t="shared" si="1"/>
        <v>-</v>
      </c>
      <c r="G13" s="28"/>
    </row>
    <row r="14" spans="1:7" s="16" customFormat="1" ht="26.4" x14ac:dyDescent="0.25">
      <c r="A14" s="4" t="s">
        <v>227</v>
      </c>
      <c r="B14" s="4" t="s">
        <v>228</v>
      </c>
      <c r="C14" s="4" t="s">
        <v>178</v>
      </c>
      <c r="D14" s="3" t="s">
        <v>31</v>
      </c>
      <c r="E14" s="3" t="str">
        <f t="shared" si="0"/>
        <v>N/A</v>
      </c>
      <c r="F14" s="2" t="str">
        <f t="shared" si="1"/>
        <v>-</v>
      </c>
      <c r="G14" s="28"/>
    </row>
    <row r="15" spans="1:7" s="16" customFormat="1" ht="52.8" x14ac:dyDescent="0.25">
      <c r="A15" s="4" t="s">
        <v>229</v>
      </c>
      <c r="B15" s="4" t="s">
        <v>230</v>
      </c>
      <c r="C15" s="4" t="s">
        <v>231</v>
      </c>
      <c r="D15" s="3" t="s">
        <v>31</v>
      </c>
      <c r="E15" s="3" t="str">
        <f t="shared" si="0"/>
        <v>N/A</v>
      </c>
      <c r="F15" s="2" t="str">
        <f t="shared" si="1"/>
        <v>-</v>
      </c>
      <c r="G15" s="28"/>
    </row>
    <row r="16" spans="1:7" s="16" customFormat="1" ht="39.6" x14ac:dyDescent="0.25">
      <c r="A16" s="4" t="s">
        <v>232</v>
      </c>
      <c r="B16" s="4" t="s">
        <v>233</v>
      </c>
      <c r="C16" s="4" t="s">
        <v>168</v>
      </c>
      <c r="D16" s="3" t="s">
        <v>31</v>
      </c>
      <c r="E16" s="3" t="str">
        <f t="shared" si="0"/>
        <v>N/A</v>
      </c>
      <c r="F16" s="2" t="str">
        <f t="shared" si="1"/>
        <v>-</v>
      </c>
      <c r="G16" s="28"/>
    </row>
    <row r="17" spans="1:7" s="16" customFormat="1" ht="26.4" x14ac:dyDescent="0.25">
      <c r="A17" s="4"/>
      <c r="B17" s="30" t="s">
        <v>234</v>
      </c>
      <c r="C17" s="4"/>
      <c r="D17" s="3"/>
      <c r="E17" s="3"/>
      <c r="F17" s="2"/>
      <c r="G17" s="28"/>
    </row>
    <row r="18" spans="1:7" s="16" customFormat="1" ht="39.6" x14ac:dyDescent="0.25">
      <c r="A18" s="4" t="s">
        <v>235</v>
      </c>
      <c r="B18" s="4" t="s">
        <v>236</v>
      </c>
      <c r="C18" s="4" t="s">
        <v>74</v>
      </c>
      <c r="D18" s="3" t="s">
        <v>31</v>
      </c>
      <c r="E18" s="3" t="str">
        <f t="shared" si="0"/>
        <v>N/A</v>
      </c>
      <c r="F18" s="2" t="str">
        <f t="shared" si="1"/>
        <v>-</v>
      </c>
      <c r="G18" s="28"/>
    </row>
    <row r="19" spans="1:7" s="16" customFormat="1" ht="66" x14ac:dyDescent="0.25">
      <c r="A19" s="4" t="s">
        <v>237</v>
      </c>
      <c r="B19" s="4" t="s">
        <v>238</v>
      </c>
      <c r="C19" s="4" t="s">
        <v>74</v>
      </c>
      <c r="D19" s="3" t="s">
        <v>31</v>
      </c>
      <c r="E19" s="3" t="str">
        <f t="shared" si="0"/>
        <v>N/A</v>
      </c>
      <c r="F19" s="2" t="str">
        <f t="shared" si="1"/>
        <v>-</v>
      </c>
      <c r="G19" s="28"/>
    </row>
    <row r="20" spans="1:7" s="16" customFormat="1" ht="26.4" x14ac:dyDescent="0.25">
      <c r="A20" s="4" t="s">
        <v>239</v>
      </c>
      <c r="B20" s="4" t="s">
        <v>240</v>
      </c>
      <c r="C20" s="4" t="s">
        <v>74</v>
      </c>
      <c r="D20" s="3" t="s">
        <v>31</v>
      </c>
      <c r="E20" s="3" t="str">
        <f t="shared" si="0"/>
        <v>N/A</v>
      </c>
      <c r="F20" s="2" t="str">
        <f t="shared" si="1"/>
        <v>-</v>
      </c>
      <c r="G20" s="28"/>
    </row>
    <row r="21" spans="1:7" s="16" customFormat="1" ht="39.6" x14ac:dyDescent="0.25">
      <c r="A21" s="4" t="s">
        <v>241</v>
      </c>
      <c r="B21" s="4" t="s">
        <v>242</v>
      </c>
      <c r="C21" s="4" t="s">
        <v>165</v>
      </c>
      <c r="D21" s="3" t="s">
        <v>31</v>
      </c>
      <c r="E21" s="3" t="str">
        <f t="shared" si="0"/>
        <v>N/A</v>
      </c>
      <c r="F21" s="2" t="str">
        <f t="shared" si="1"/>
        <v>-</v>
      </c>
      <c r="G21" s="28"/>
    </row>
    <row r="22" spans="1:7" s="16" customFormat="1" ht="26.4" x14ac:dyDescent="0.25">
      <c r="A22" s="4" t="s">
        <v>243</v>
      </c>
      <c r="B22" s="4" t="s">
        <v>244</v>
      </c>
      <c r="C22" s="4" t="s">
        <v>178</v>
      </c>
      <c r="D22" s="3" t="s">
        <v>31</v>
      </c>
      <c r="E22" s="3" t="str">
        <f t="shared" si="0"/>
        <v>N/A</v>
      </c>
      <c r="F22" s="2" t="str">
        <f t="shared" si="1"/>
        <v>-</v>
      </c>
      <c r="G22" s="28"/>
    </row>
    <row r="23" spans="1:7" s="16" customFormat="1" ht="39.6" x14ac:dyDescent="0.25">
      <c r="A23" s="4" t="s">
        <v>245</v>
      </c>
      <c r="B23" s="4" t="s">
        <v>246</v>
      </c>
      <c r="C23" s="4" t="s">
        <v>168</v>
      </c>
      <c r="D23" s="3" t="s">
        <v>31</v>
      </c>
      <c r="E23" s="3" t="str">
        <f t="shared" si="0"/>
        <v>N/A</v>
      </c>
      <c r="F23" s="2" t="str">
        <f t="shared" si="1"/>
        <v>-</v>
      </c>
      <c r="G23" s="28"/>
    </row>
    <row r="24" spans="1:7" s="16" customFormat="1" ht="26.4" x14ac:dyDescent="0.25">
      <c r="A24" s="4" t="s">
        <v>247</v>
      </c>
      <c r="B24" s="4" t="s">
        <v>248</v>
      </c>
      <c r="C24" s="4" t="s">
        <v>168</v>
      </c>
      <c r="D24" s="3" t="s">
        <v>31</v>
      </c>
      <c r="E24" s="3" t="str">
        <f t="shared" si="0"/>
        <v>N/A</v>
      </c>
      <c r="F24" s="2" t="str">
        <f t="shared" si="1"/>
        <v>-</v>
      </c>
      <c r="G24" s="28"/>
    </row>
    <row r="25" spans="1:7" s="16" customFormat="1" ht="26.4" x14ac:dyDescent="0.25">
      <c r="A25" s="4" t="s">
        <v>249</v>
      </c>
      <c r="B25" s="4" t="s">
        <v>250</v>
      </c>
      <c r="C25" s="4" t="s">
        <v>168</v>
      </c>
      <c r="D25" s="3" t="s">
        <v>31</v>
      </c>
      <c r="E25" s="3" t="str">
        <f t="shared" si="0"/>
        <v>N/A</v>
      </c>
      <c r="F25" s="2" t="str">
        <f t="shared" si="1"/>
        <v>-</v>
      </c>
      <c r="G25" s="28"/>
    </row>
    <row r="26" spans="1:7" s="16" customFormat="1" ht="26.4" x14ac:dyDescent="0.25">
      <c r="A26" s="4" t="s">
        <v>251</v>
      </c>
      <c r="B26" s="4" t="s">
        <v>252</v>
      </c>
      <c r="C26" s="4" t="s">
        <v>168</v>
      </c>
      <c r="D26" s="3" t="s">
        <v>31</v>
      </c>
      <c r="E26" s="3" t="str">
        <f t="shared" si="0"/>
        <v>N/A</v>
      </c>
      <c r="F26" s="2" t="str">
        <f t="shared" si="1"/>
        <v>-</v>
      </c>
      <c r="G26" s="28"/>
    </row>
    <row r="27" spans="1:7" s="16" customFormat="1" ht="26.4" x14ac:dyDescent="0.25">
      <c r="A27" s="4"/>
      <c r="B27" s="30" t="s">
        <v>253</v>
      </c>
      <c r="C27" s="4"/>
      <c r="D27" s="3"/>
      <c r="E27" s="3"/>
      <c r="F27" s="2"/>
      <c r="G27" s="28"/>
    </row>
    <row r="28" spans="1:7" s="16" customFormat="1" ht="52.8" x14ac:dyDescent="0.25">
      <c r="A28" s="4" t="s">
        <v>254</v>
      </c>
      <c r="B28" s="4" t="s">
        <v>255</v>
      </c>
      <c r="C28" s="4" t="s">
        <v>74</v>
      </c>
      <c r="D28" s="3" t="s">
        <v>256</v>
      </c>
      <c r="E28" s="3" t="str">
        <f t="shared" si="0"/>
        <v>N/A</v>
      </c>
      <c r="F28" s="2" t="str">
        <f t="shared" si="1"/>
        <v>-</v>
      </c>
      <c r="G28" s="28"/>
    </row>
    <row r="29" spans="1:7" s="16" customFormat="1" ht="52.8" x14ac:dyDescent="0.25">
      <c r="A29" s="4" t="s">
        <v>257</v>
      </c>
      <c r="B29" s="4" t="s">
        <v>258</v>
      </c>
      <c r="C29" s="4" t="s">
        <v>74</v>
      </c>
      <c r="D29" s="18" t="e">
        <f>IF(AND(ISNUMBER('[2]Section C'!D29),'[2]Section C'!D29&gt;0),'[2]Section C'!D29,"Not Required")</f>
        <v>#VALUE!</v>
      </c>
      <c r="E29" s="3" t="str">
        <f>IF(ISNUMBER(D29),"","N/A")</f>
        <v>N/A</v>
      </c>
      <c r="F29" s="2" t="e">
        <f t="shared" si="1"/>
        <v>#VALUE!</v>
      </c>
      <c r="G29" s="28"/>
    </row>
    <row r="30" spans="1:7" s="16" customFormat="1" ht="66" x14ac:dyDescent="0.25">
      <c r="A30" s="4" t="s">
        <v>259</v>
      </c>
      <c r="B30" s="4" t="s">
        <v>260</v>
      </c>
      <c r="C30" s="4" t="s">
        <v>74</v>
      </c>
      <c r="D30" s="18" t="e">
        <f>IF(AND(ISNUMBER('[2]Section C'!D30),'[2]Section C'!D30&gt;0),'[2]Section C'!D30,"Not Required")</f>
        <v>#VALUE!</v>
      </c>
      <c r="E30" s="3" t="str">
        <f>IF(ISNUMBER(D30),"","N/A")</f>
        <v>N/A</v>
      </c>
      <c r="F30" s="2" t="e">
        <f t="shared" si="1"/>
        <v>#VALUE!</v>
      </c>
      <c r="G30" s="28"/>
    </row>
    <row r="31" spans="1:7" s="16" customFormat="1" ht="52.8" x14ac:dyDescent="0.25">
      <c r="A31" s="4" t="s">
        <v>261</v>
      </c>
      <c r="B31" s="4" t="s">
        <v>262</v>
      </c>
      <c r="C31" s="4" t="s">
        <v>74</v>
      </c>
      <c r="D31" s="18" t="e">
        <f>IF(AND(ISNUMBER('[2]Section C'!D31),'[2]Section C'!D31&gt;0),'[2]Section C'!D31,"Not Required")</f>
        <v>#VALUE!</v>
      </c>
      <c r="E31" s="3" t="str">
        <f>IF(ISNUMBER(D31),"","N/A")</f>
        <v>N/A</v>
      </c>
      <c r="F31" s="2" t="e">
        <f t="shared" si="1"/>
        <v>#VALUE!</v>
      </c>
      <c r="G31" s="28"/>
    </row>
    <row r="32" spans="1:7" s="16" customFormat="1" ht="66" x14ac:dyDescent="0.25">
      <c r="A32" s="4" t="s">
        <v>263</v>
      </c>
      <c r="B32" s="4" t="s">
        <v>264</v>
      </c>
      <c r="C32" s="4" t="s">
        <v>74</v>
      </c>
      <c r="D32" s="18" t="e">
        <f>IF(AND(ISNUMBER('[2]Section C'!D32),'[2]Section C'!D32&gt;0),'[2]Section C'!D32,"Not Required")</f>
        <v>#VALUE!</v>
      </c>
      <c r="E32" s="3" t="str">
        <f>IF(ISNUMBER(D32),"","N/A")</f>
        <v>N/A</v>
      </c>
      <c r="F32" s="2" t="e">
        <f t="shared" si="1"/>
        <v>#VALUE!</v>
      </c>
      <c r="G32" s="28"/>
    </row>
    <row r="33" spans="1:9" s="16" customFormat="1" ht="66" x14ac:dyDescent="0.25">
      <c r="A33" s="4" t="s">
        <v>265</v>
      </c>
      <c r="B33" s="4" t="s">
        <v>266</v>
      </c>
      <c r="C33" s="4" t="s">
        <v>74</v>
      </c>
      <c r="D33" s="18" t="e">
        <f>IF(AND(ISNUMBER('[2]Section C'!D33),'[2]Section C'!D33&gt;0),'[2]Section C'!D33,"Not Required")</f>
        <v>#VALUE!</v>
      </c>
      <c r="E33" s="3" t="str">
        <f>IF(ISNUMBER(D33),"","N/A")</f>
        <v>N/A</v>
      </c>
      <c r="F33" s="2" t="e">
        <f t="shared" si="1"/>
        <v>#VALUE!</v>
      </c>
      <c r="G33" s="28"/>
    </row>
    <row r="34" spans="1:9" s="16" customFormat="1" ht="35.1" customHeight="1" x14ac:dyDescent="0.25">
      <c r="A34" s="4" t="s">
        <v>267</v>
      </c>
      <c r="B34" s="4" t="s">
        <v>268</v>
      </c>
      <c r="C34" s="4" t="s">
        <v>74</v>
      </c>
      <c r="D34" s="18" t="e">
        <f>IF(AND(ISNUMBER('[2]Section C'!D34),'[2]Section C'!D34&gt;0),'[2]Section C'!D34,"Not Required")</f>
        <v>#VALUE!</v>
      </c>
      <c r="E34" s="3" t="s">
        <v>32</v>
      </c>
      <c r="F34" s="2" t="e">
        <f>IF(AND(ISNUMBER(D34),D34&gt;0),D34*E34,"-")</f>
        <v>#VALUE!</v>
      </c>
      <c r="G34" s="28"/>
    </row>
    <row r="35" spans="1:9" s="16" customFormat="1" ht="28.8" x14ac:dyDescent="0.25">
      <c r="A35" s="4" t="s">
        <v>269</v>
      </c>
      <c r="B35" s="4" t="s">
        <v>270</v>
      </c>
      <c r="C35" s="4" t="s">
        <v>74</v>
      </c>
      <c r="D35" s="18" t="str">
        <f>IF(AND(ISNUMBER('[2]Section C'!D35),'[2]Section C'!D35&gt;0),'[2]Section C'!D35,"Not Required")</f>
        <v>Not Required</v>
      </c>
      <c r="E35" s="3" t="s">
        <v>32</v>
      </c>
      <c r="F35" s="2" t="str">
        <f t="shared" si="1"/>
        <v>-</v>
      </c>
      <c r="G35" s="28"/>
      <c r="H35" s="28"/>
    </row>
    <row r="36" spans="1:9" s="16" customFormat="1" ht="39.6" x14ac:dyDescent="0.25">
      <c r="A36" s="4" t="s">
        <v>271</v>
      </c>
      <c r="B36" s="4" t="s">
        <v>272</v>
      </c>
      <c r="C36" s="4" t="s">
        <v>165</v>
      </c>
      <c r="D36" s="18" t="e">
        <f>IF(AND(ISNUMBER('[2]Section C'!D36),'[2]Section C'!D36&gt;0),'[2]Section C'!D36,"Not Required")</f>
        <v>#VALUE!</v>
      </c>
      <c r="E36" s="134" t="str">
        <f>IF(ISNUMBER(D36),"","N/A")</f>
        <v>N/A</v>
      </c>
      <c r="F36" s="2" t="e">
        <f t="shared" si="1"/>
        <v>#VALUE!</v>
      </c>
      <c r="G36" s="28"/>
      <c r="H36" s="137"/>
      <c r="I36" s="28"/>
    </row>
    <row r="37" spans="1:9" s="16" customFormat="1" ht="28.8" x14ac:dyDescent="0.25">
      <c r="A37" s="4" t="s">
        <v>273</v>
      </c>
      <c r="B37" s="4" t="s">
        <v>274</v>
      </c>
      <c r="C37" s="4" t="s">
        <v>178</v>
      </c>
      <c r="D37" s="18" t="e">
        <f>IF(AND(ISNUMBER('[2]Section C'!D37),'[2]Section C'!D37&gt;0),'[2]Section C'!D37,"Not Required")</f>
        <v>#VALUE!</v>
      </c>
      <c r="E37" s="134" t="str">
        <f>IF(ISNUMBER(D37),"","N/A")</f>
        <v>N/A</v>
      </c>
      <c r="F37" s="2" t="e">
        <f t="shared" si="1"/>
        <v>#VALUE!</v>
      </c>
      <c r="G37" s="28"/>
    </row>
    <row r="38" spans="1:9" s="16" customFormat="1" ht="39.6" x14ac:dyDescent="0.25">
      <c r="A38" s="4" t="s">
        <v>275</v>
      </c>
      <c r="B38" s="4" t="s">
        <v>276</v>
      </c>
      <c r="C38" s="4" t="s">
        <v>74</v>
      </c>
      <c r="D38" s="18" t="str">
        <f>IF(AND(ISNUMBER('[2]Section C'!D38),'[2]Section C'!D38&gt;0),'[2]Section C'!D38,"Not Required")</f>
        <v>Not Required</v>
      </c>
      <c r="E38" s="3" t="s">
        <v>32</v>
      </c>
      <c r="F38" s="2" t="str">
        <f t="shared" si="1"/>
        <v>-</v>
      </c>
      <c r="G38" s="28"/>
    </row>
    <row r="39" spans="1:9" s="16" customFormat="1" x14ac:dyDescent="0.25">
      <c r="A39" s="4"/>
      <c r="B39" s="30" t="s">
        <v>277</v>
      </c>
      <c r="C39" s="53"/>
      <c r="E39" s="3"/>
      <c r="F39" s="2"/>
      <c r="G39" s="28"/>
    </row>
    <row r="40" spans="1:9" s="16" customFormat="1" ht="66" x14ac:dyDescent="0.25">
      <c r="A40" s="4" t="s">
        <v>278</v>
      </c>
      <c r="B40" s="4" t="s">
        <v>1214</v>
      </c>
      <c r="C40" s="4" t="s">
        <v>168</v>
      </c>
      <c r="D40" s="18" t="str">
        <f>IF(AND(ISNUMBER('[2]Section C'!D40),'[2]Section C'!D40&gt;0),'[2]Section C'!D40,"Not Required")</f>
        <v>Not Required</v>
      </c>
      <c r="E40" s="3"/>
      <c r="F40" s="2"/>
      <c r="G40" s="28"/>
    </row>
    <row r="41" spans="1:9" s="16" customFormat="1" ht="28.8" x14ac:dyDescent="0.25">
      <c r="A41" s="4" t="s">
        <v>279</v>
      </c>
      <c r="B41" s="4" t="s">
        <v>1215</v>
      </c>
      <c r="C41" s="4" t="s">
        <v>168</v>
      </c>
      <c r="D41" s="18" t="str">
        <f>IF(AND(ISNUMBER('[2]Section C'!D41),'[2]Section C'!D41&gt;0),'[2]Section C'!D41,"Not Required")</f>
        <v>Not Required</v>
      </c>
      <c r="E41" s="3"/>
      <c r="F41" s="2"/>
      <c r="G41" s="28"/>
    </row>
    <row r="42" spans="1:9" s="16" customFormat="1" ht="28.8" x14ac:dyDescent="0.25">
      <c r="A42" s="4" t="s">
        <v>280</v>
      </c>
      <c r="B42" s="4" t="s">
        <v>281</v>
      </c>
      <c r="C42" s="4" t="s">
        <v>168</v>
      </c>
      <c r="D42" s="18" t="str">
        <f>IF(AND(ISNUMBER('[2]Section C'!D42),'[2]Section C'!D42&gt;0),'[2]Section C'!D42,"Not Required")</f>
        <v>Not Required</v>
      </c>
      <c r="E42" s="3" t="str">
        <f t="shared" ref="E42:E47" si="2">IF(ISNUMBER(D42),"","N/A")</f>
        <v>N/A</v>
      </c>
      <c r="F42" s="2" t="str">
        <f t="shared" si="1"/>
        <v>-</v>
      </c>
      <c r="G42" s="28"/>
    </row>
    <row r="43" spans="1:9" s="16" customFormat="1" ht="28.8" x14ac:dyDescent="0.25">
      <c r="A43" s="4" t="s">
        <v>282</v>
      </c>
      <c r="B43" s="4" t="s">
        <v>283</v>
      </c>
      <c r="C43" s="4" t="s">
        <v>168</v>
      </c>
      <c r="D43" s="18" t="str">
        <f>IF(AND(ISNUMBER('[2]Section C'!D43),'[2]Section C'!D43&gt;0),'[2]Section C'!D43,"Not Required")</f>
        <v>Not Required</v>
      </c>
      <c r="E43" s="3" t="str">
        <f t="shared" si="2"/>
        <v>N/A</v>
      </c>
      <c r="F43" s="2" t="str">
        <f t="shared" si="1"/>
        <v>-</v>
      </c>
      <c r="G43" s="28"/>
    </row>
    <row r="44" spans="1:9" s="16" customFormat="1" ht="28.8" x14ac:dyDescent="0.25">
      <c r="A44" s="4" t="s">
        <v>284</v>
      </c>
      <c r="B44" s="4" t="s">
        <v>285</v>
      </c>
      <c r="C44" s="4" t="s">
        <v>168</v>
      </c>
      <c r="D44" s="18" t="str">
        <f>IF(AND(ISNUMBER('[2]Section C'!D44),'[2]Section C'!D44&gt;0),'[2]Section C'!D44,"Not Required")</f>
        <v>Not Required</v>
      </c>
      <c r="E44" s="3" t="str">
        <f t="shared" si="2"/>
        <v>N/A</v>
      </c>
      <c r="F44" s="2" t="str">
        <f t="shared" si="1"/>
        <v>-</v>
      </c>
      <c r="G44" s="28"/>
    </row>
    <row r="45" spans="1:9" s="16" customFormat="1" ht="28.8" x14ac:dyDescent="0.25">
      <c r="A45" s="4" t="s">
        <v>286</v>
      </c>
      <c r="B45" s="4" t="s">
        <v>287</v>
      </c>
      <c r="C45" s="4" t="s">
        <v>168</v>
      </c>
      <c r="D45" s="18" t="str">
        <f>IF(AND(ISNUMBER('[2]Section C'!D45),'[2]Section C'!D45&gt;0),'[2]Section C'!D45,"Not Required")</f>
        <v>Not Required</v>
      </c>
      <c r="E45" s="3" t="str">
        <f t="shared" si="2"/>
        <v>N/A</v>
      </c>
      <c r="F45" s="2" t="str">
        <f t="shared" si="1"/>
        <v>-</v>
      </c>
      <c r="G45" s="28"/>
    </row>
    <row r="46" spans="1:9" s="16" customFormat="1" ht="52.8" x14ac:dyDescent="0.25">
      <c r="A46" s="4" t="s">
        <v>288</v>
      </c>
      <c r="B46" s="4" t="s">
        <v>1219</v>
      </c>
      <c r="C46" s="4" t="s">
        <v>168</v>
      </c>
      <c r="D46" s="18" t="str">
        <f>IF(AND(ISNUMBER('[2]Section C'!D46),'[2]Section C'!D46&gt;0),'[2]Section C'!D46,"Not Required")</f>
        <v>Not Required</v>
      </c>
      <c r="E46" s="3" t="str">
        <f t="shared" si="2"/>
        <v>N/A</v>
      </c>
      <c r="F46" s="2" t="str">
        <f t="shared" si="1"/>
        <v>-</v>
      </c>
      <c r="G46" s="28"/>
    </row>
    <row r="47" spans="1:9" s="16" customFormat="1" ht="28.8" x14ac:dyDescent="0.25">
      <c r="A47" s="4" t="s">
        <v>289</v>
      </c>
      <c r="B47" s="4" t="s">
        <v>1220</v>
      </c>
      <c r="C47" s="4" t="s">
        <v>168</v>
      </c>
      <c r="D47" s="18" t="str">
        <f>IF(AND(ISNUMBER('[2]Section C'!D47),'[2]Section C'!D47&gt;0),'[2]Section C'!D47,"Not Required")</f>
        <v>Not Required</v>
      </c>
      <c r="E47" s="3" t="str">
        <f t="shared" si="2"/>
        <v>N/A</v>
      </c>
      <c r="F47" s="2" t="str">
        <f t="shared" si="1"/>
        <v>-</v>
      </c>
      <c r="G47" s="28"/>
    </row>
    <row r="48" spans="1:9" s="16" customFormat="1" ht="28.8" x14ac:dyDescent="0.25">
      <c r="A48" s="4" t="s">
        <v>290</v>
      </c>
      <c r="B48" s="4" t="s">
        <v>291</v>
      </c>
      <c r="C48" s="4" t="s">
        <v>168</v>
      </c>
      <c r="D48" s="18" t="str">
        <f>IF(AND(ISNUMBER('[2]Section C'!D48),'[2]Section C'!D48&gt;0),'[2]Section C'!D48,"Not Required")</f>
        <v>Not Required</v>
      </c>
      <c r="E48" s="3" t="str">
        <f>IF(ISNUMBER(D48),"","N/A")</f>
        <v>N/A</v>
      </c>
      <c r="F48" s="2" t="str">
        <f t="shared" si="1"/>
        <v>-</v>
      </c>
      <c r="G48" s="28"/>
    </row>
    <row r="49" spans="1:8" s="16" customFormat="1" ht="28.8" x14ac:dyDescent="0.25">
      <c r="A49" s="4" t="s">
        <v>292</v>
      </c>
      <c r="B49" s="4" t="s">
        <v>293</v>
      </c>
      <c r="C49" s="4" t="s">
        <v>168</v>
      </c>
      <c r="D49" s="18" t="str">
        <f>IF(AND(ISNUMBER('[2]Section C'!D49),'[2]Section C'!D49&gt;0),'[2]Section C'!D49,"Not Required")</f>
        <v>Not Required</v>
      </c>
      <c r="E49" s="3" t="str">
        <f>IF(ISNUMBER(D49),"","N/A")</f>
        <v>N/A</v>
      </c>
      <c r="F49" s="2" t="str">
        <f t="shared" si="1"/>
        <v>-</v>
      </c>
      <c r="G49" s="28"/>
    </row>
    <row r="50" spans="1:8" s="16" customFormat="1" ht="28.8" x14ac:dyDescent="0.25">
      <c r="A50" s="4" t="s">
        <v>294</v>
      </c>
      <c r="B50" s="4" t="s">
        <v>295</v>
      </c>
      <c r="C50" s="4" t="s">
        <v>168</v>
      </c>
      <c r="D50" s="18" t="str">
        <f>IF(AND(ISNUMBER('[2]Section C'!D50),'[2]Section C'!D50&gt;0),'[2]Section C'!D50,"Not Required")</f>
        <v>Not Required</v>
      </c>
      <c r="E50" s="3" t="str">
        <f>IF(ISNUMBER(D50),"","N/A")</f>
        <v>N/A</v>
      </c>
      <c r="F50" s="2" t="str">
        <f t="shared" si="1"/>
        <v>-</v>
      </c>
      <c r="G50" s="28"/>
    </row>
    <row r="51" spans="1:8" s="16" customFormat="1" ht="28.8" x14ac:dyDescent="0.25">
      <c r="A51" s="4" t="s">
        <v>296</v>
      </c>
      <c r="B51" s="4" t="s">
        <v>297</v>
      </c>
      <c r="C51" s="4" t="s">
        <v>168</v>
      </c>
      <c r="D51" s="18" t="str">
        <f>IF(AND(ISNUMBER('[2]Section C'!D51),'[2]Section C'!D51&gt;0),'[2]Section C'!D51,"Not Required")</f>
        <v>Not Required</v>
      </c>
      <c r="E51" s="3" t="str">
        <f>IF(ISNUMBER(D51),"","N/A")</f>
        <v>N/A</v>
      </c>
      <c r="F51" s="2" t="str">
        <f t="shared" si="1"/>
        <v>-</v>
      </c>
      <c r="G51" s="28"/>
    </row>
    <row r="52" spans="1:8" s="16" customFormat="1" ht="52.8" x14ac:dyDescent="0.25">
      <c r="A52" s="4" t="s">
        <v>298</v>
      </c>
      <c r="B52" s="4" t="s">
        <v>299</v>
      </c>
      <c r="C52" s="4" t="s">
        <v>165</v>
      </c>
      <c r="D52" s="3" t="s">
        <v>398</v>
      </c>
      <c r="E52" s="3" t="str">
        <f>IF(ISNUMBER(D52),"","N/A")</f>
        <v>N/A</v>
      </c>
      <c r="F52" s="2" t="str">
        <f t="shared" si="1"/>
        <v>-</v>
      </c>
      <c r="G52" s="28"/>
      <c r="H52" s="28"/>
    </row>
    <row r="53" spans="1:8" s="16" customFormat="1" x14ac:dyDescent="0.25">
      <c r="A53" s="4"/>
      <c r="B53" s="30" t="s">
        <v>300</v>
      </c>
      <c r="C53" s="4"/>
      <c r="E53" s="3"/>
      <c r="F53" s="2"/>
      <c r="G53" s="28"/>
    </row>
    <row r="54" spans="1:8" s="16" customFormat="1" ht="56.55" customHeight="1" x14ac:dyDescent="0.25">
      <c r="A54" s="4" t="s">
        <v>301</v>
      </c>
      <c r="B54" s="4" t="s">
        <v>1221</v>
      </c>
      <c r="C54" s="4" t="s">
        <v>168</v>
      </c>
      <c r="D54" s="18" t="str">
        <f>IF(AND(ISNUMBER('[2]Section C'!D54),'[2]Section C'!D54&gt;0),'[2]Section C'!D54,"Not Required")</f>
        <v>Not Required</v>
      </c>
      <c r="E54" s="3" t="str">
        <f t="shared" ref="E54:E60" si="3">IF(ISNUMBER(D54),"","N/A")</f>
        <v>N/A</v>
      </c>
      <c r="F54" s="2" t="str">
        <f t="shared" si="1"/>
        <v>-</v>
      </c>
      <c r="G54" s="28"/>
    </row>
    <row r="55" spans="1:8" s="16" customFormat="1" ht="28.8" x14ac:dyDescent="0.25">
      <c r="A55" s="4" t="s">
        <v>302</v>
      </c>
      <c r="B55" s="4" t="s">
        <v>1222</v>
      </c>
      <c r="C55" s="4" t="s">
        <v>168</v>
      </c>
      <c r="D55" s="18" t="str">
        <f>IF(AND(ISNUMBER('[2]Section C'!D55),'[2]Section C'!D55&gt;0),'[2]Section C'!D55,"Not Required")</f>
        <v>Not Required</v>
      </c>
      <c r="E55" s="3" t="str">
        <f t="shared" si="3"/>
        <v>N/A</v>
      </c>
      <c r="F55" s="2" t="str">
        <f t="shared" si="1"/>
        <v>-</v>
      </c>
      <c r="G55" s="28"/>
    </row>
    <row r="56" spans="1:8" s="16" customFormat="1" ht="28.8" x14ac:dyDescent="0.25">
      <c r="A56" s="4" t="s">
        <v>303</v>
      </c>
      <c r="B56" s="4" t="s">
        <v>304</v>
      </c>
      <c r="C56" s="4" t="s">
        <v>168</v>
      </c>
      <c r="D56" s="18" t="str">
        <f>IF(AND(ISNUMBER('[2]Section C'!D56),'[2]Section C'!D56&gt;0),'[2]Section C'!D56,"Not Required")</f>
        <v>Not Required</v>
      </c>
      <c r="E56" s="3" t="str">
        <f t="shared" si="3"/>
        <v>N/A</v>
      </c>
      <c r="F56" s="2" t="str">
        <f t="shared" si="1"/>
        <v>-</v>
      </c>
      <c r="G56" s="28"/>
    </row>
    <row r="57" spans="1:8" s="16" customFormat="1" ht="28.8" x14ac:dyDescent="0.25">
      <c r="A57" s="4" t="s">
        <v>305</v>
      </c>
      <c r="B57" s="4" t="s">
        <v>306</v>
      </c>
      <c r="C57" s="4" t="s">
        <v>168</v>
      </c>
      <c r="D57" s="18" t="str">
        <f>IF(AND(ISNUMBER('[2]Section C'!D57),'[2]Section C'!D57&gt;0),'[2]Section C'!D57,"Not Required")</f>
        <v>Not Required</v>
      </c>
      <c r="E57" s="3" t="str">
        <f t="shared" si="3"/>
        <v>N/A</v>
      </c>
      <c r="F57" s="2" t="str">
        <f t="shared" si="1"/>
        <v>-</v>
      </c>
      <c r="G57" s="28"/>
    </row>
    <row r="58" spans="1:8" s="16" customFormat="1" ht="28.8" x14ac:dyDescent="0.25">
      <c r="A58" s="4" t="s">
        <v>307</v>
      </c>
      <c r="B58" s="4" t="s">
        <v>308</v>
      </c>
      <c r="C58" s="4" t="s">
        <v>168</v>
      </c>
      <c r="D58" s="18" t="str">
        <f>IF(AND(ISNUMBER('[2]Section C'!D58),'[2]Section C'!D58&gt;0),'[2]Section C'!D58,"Not Required")</f>
        <v>Not Required</v>
      </c>
      <c r="E58" s="3" t="str">
        <f t="shared" si="3"/>
        <v>N/A</v>
      </c>
      <c r="F58" s="2" t="str">
        <f t="shared" si="1"/>
        <v>-</v>
      </c>
      <c r="G58" s="28"/>
    </row>
    <row r="59" spans="1:8" s="16" customFormat="1" ht="28.8" x14ac:dyDescent="0.25">
      <c r="A59" s="4" t="s">
        <v>309</v>
      </c>
      <c r="B59" s="4" t="s">
        <v>310</v>
      </c>
      <c r="C59" s="4" t="s">
        <v>168</v>
      </c>
      <c r="D59" s="18" t="str">
        <f>IF(AND(ISNUMBER('[2]Section C'!D59),'[2]Section C'!D59&gt;0),'[2]Section C'!D59,"Not Required")</f>
        <v>Not Required</v>
      </c>
      <c r="E59" s="3" t="str">
        <f t="shared" si="3"/>
        <v>N/A</v>
      </c>
      <c r="F59" s="2" t="str">
        <f t="shared" si="1"/>
        <v>-</v>
      </c>
      <c r="G59" s="28"/>
    </row>
    <row r="60" spans="1:8" s="16" customFormat="1" ht="28.8" x14ac:dyDescent="0.25">
      <c r="A60" s="4" t="s">
        <v>311</v>
      </c>
      <c r="B60" s="4" t="s">
        <v>312</v>
      </c>
      <c r="C60" s="4" t="s">
        <v>168</v>
      </c>
      <c r="D60" s="18" t="str">
        <f>IF(AND(ISNUMBER('[2]Section C'!D60),'[2]Section C'!D60&gt;0),'[2]Section C'!D60,"Not Required")</f>
        <v>Not Required</v>
      </c>
      <c r="E60" s="3" t="str">
        <f t="shared" si="3"/>
        <v>N/A</v>
      </c>
      <c r="F60" s="2" t="str">
        <f t="shared" si="1"/>
        <v>-</v>
      </c>
      <c r="G60" s="28"/>
    </row>
    <row r="61" spans="1:8" s="16" customFormat="1" ht="54" customHeight="1" x14ac:dyDescent="0.25">
      <c r="A61" s="4" t="s">
        <v>313</v>
      </c>
      <c r="B61" s="4" t="s">
        <v>314</v>
      </c>
      <c r="C61" s="4" t="s">
        <v>168</v>
      </c>
      <c r="D61" s="18" t="str">
        <f>IF(AND(ISNUMBER('[2]Section C'!D61),'[2]Section C'!D61&gt;0),'[2]Section C'!D61,"Not Required")</f>
        <v>Not Required</v>
      </c>
      <c r="E61" s="3" t="str">
        <f>IF(ISNUMBER(D61),"","N/A")</f>
        <v>N/A</v>
      </c>
      <c r="F61" s="2" t="str">
        <f t="shared" si="1"/>
        <v>-</v>
      </c>
      <c r="G61" s="28"/>
    </row>
    <row r="62" spans="1:8" s="16" customFormat="1" ht="28.8" x14ac:dyDescent="0.25">
      <c r="A62" s="4" t="s">
        <v>315</v>
      </c>
      <c r="B62" s="4" t="s">
        <v>316</v>
      </c>
      <c r="C62" s="4" t="s">
        <v>168</v>
      </c>
      <c r="D62" s="18" t="str">
        <f>IF(AND(ISNUMBER('[2]Section C'!D62),'[2]Section C'!D62&gt;0),'[2]Section C'!D62,"Not Required")</f>
        <v>Not Required</v>
      </c>
      <c r="E62" s="3" t="str">
        <f t="shared" ref="E62:E111" si="4">IF(ISNUMBER(D62),"","N/A")</f>
        <v>N/A</v>
      </c>
      <c r="F62" s="2" t="str">
        <f t="shared" si="1"/>
        <v>-</v>
      </c>
      <c r="G62" s="28"/>
    </row>
    <row r="63" spans="1:8" s="16" customFormat="1" ht="28.8" x14ac:dyDescent="0.25">
      <c r="A63" s="4" t="s">
        <v>317</v>
      </c>
      <c r="B63" s="4" t="s">
        <v>318</v>
      </c>
      <c r="C63" s="4" t="s">
        <v>168</v>
      </c>
      <c r="D63" s="18" t="str">
        <f>IF(AND(ISNUMBER('[2]Section C'!D63),'[2]Section C'!D63&gt;0),'[2]Section C'!D63,"Not Required")</f>
        <v>Not Required</v>
      </c>
      <c r="E63" s="3" t="str">
        <f t="shared" si="4"/>
        <v>N/A</v>
      </c>
      <c r="F63" s="2" t="str">
        <f t="shared" si="1"/>
        <v>-</v>
      </c>
      <c r="G63" s="28"/>
    </row>
    <row r="64" spans="1:8" s="16" customFormat="1" ht="28.8" x14ac:dyDescent="0.25">
      <c r="A64" s="4" t="s">
        <v>319</v>
      </c>
      <c r="B64" s="4" t="s">
        <v>320</v>
      </c>
      <c r="C64" s="4" t="s">
        <v>168</v>
      </c>
      <c r="D64" s="18" t="str">
        <f>IF(AND(ISNUMBER('[2]Section C'!D64),'[2]Section C'!D64&gt;0),'[2]Section C'!D64,"Not Required")</f>
        <v>Not Required</v>
      </c>
      <c r="E64" s="3" t="str">
        <f t="shared" si="4"/>
        <v>N/A</v>
      </c>
      <c r="F64" s="2" t="str">
        <f t="shared" si="1"/>
        <v>-</v>
      </c>
      <c r="G64" s="28"/>
    </row>
    <row r="65" spans="1:8" s="16" customFormat="1" ht="28.8" x14ac:dyDescent="0.25">
      <c r="A65" s="4" t="s">
        <v>321</v>
      </c>
      <c r="B65" s="4" t="s">
        <v>322</v>
      </c>
      <c r="C65" s="4" t="s">
        <v>168</v>
      </c>
      <c r="D65" s="18" t="str">
        <f>IF(AND(ISNUMBER('[2]Section C'!D65),'[2]Section C'!D65&gt;0),'[2]Section C'!D65,"Not Required")</f>
        <v>Not Required</v>
      </c>
      <c r="E65" s="3" t="str">
        <f t="shared" si="4"/>
        <v>N/A</v>
      </c>
      <c r="F65" s="2" t="str">
        <f t="shared" si="1"/>
        <v>-</v>
      </c>
      <c r="G65" s="28"/>
    </row>
    <row r="66" spans="1:8" s="16" customFormat="1" ht="28.8" x14ac:dyDescent="0.25">
      <c r="A66" s="4" t="s">
        <v>323</v>
      </c>
      <c r="B66" s="4" t="s">
        <v>324</v>
      </c>
      <c r="C66" s="4" t="s">
        <v>168</v>
      </c>
      <c r="D66" s="18" t="str">
        <f>IF(AND(ISNUMBER('[2]Section C'!D66),'[2]Section C'!D66&gt;0),'[2]Section C'!D66,"Not Required")</f>
        <v>Not Required</v>
      </c>
      <c r="E66" s="3" t="str">
        <f t="shared" si="4"/>
        <v>N/A</v>
      </c>
      <c r="F66" s="2" t="str">
        <f t="shared" si="1"/>
        <v>-</v>
      </c>
      <c r="G66" s="28"/>
    </row>
    <row r="67" spans="1:8" s="16" customFormat="1" ht="28.8" x14ac:dyDescent="0.25">
      <c r="A67" s="4" t="s">
        <v>325</v>
      </c>
      <c r="B67" s="4" t="s">
        <v>326</v>
      </c>
      <c r="C67" s="4" t="s">
        <v>168</v>
      </c>
      <c r="D67" s="18" t="str">
        <f>IF(AND(ISNUMBER('[2]Section C'!D67),'[2]Section C'!D67&gt;0),'[2]Section C'!D67,"Not Required")</f>
        <v>Not Required</v>
      </c>
      <c r="E67" s="3" t="str">
        <f t="shared" si="4"/>
        <v>N/A</v>
      </c>
      <c r="F67" s="2" t="str">
        <f t="shared" si="1"/>
        <v>-</v>
      </c>
      <c r="G67" s="28"/>
    </row>
    <row r="68" spans="1:8" s="16" customFormat="1" ht="52.8" x14ac:dyDescent="0.25">
      <c r="A68" s="4" t="s">
        <v>327</v>
      </c>
      <c r="B68" s="4" t="s">
        <v>328</v>
      </c>
      <c r="C68" s="4" t="s">
        <v>165</v>
      </c>
      <c r="D68" s="3" t="s">
        <v>398</v>
      </c>
      <c r="E68" s="3" t="str">
        <f t="shared" si="4"/>
        <v>N/A</v>
      </c>
      <c r="F68" s="2" t="str">
        <f t="shared" si="1"/>
        <v>-</v>
      </c>
      <c r="G68" s="28"/>
      <c r="H68" s="28"/>
    </row>
    <row r="69" spans="1:8" s="16" customFormat="1" ht="26.4" x14ac:dyDescent="0.25">
      <c r="A69" s="4" t="s">
        <v>329</v>
      </c>
      <c r="B69" s="4" t="s">
        <v>330</v>
      </c>
      <c r="C69" s="4" t="s">
        <v>74</v>
      </c>
      <c r="D69" s="3" t="s">
        <v>31</v>
      </c>
      <c r="E69" s="3" t="str">
        <f t="shared" si="4"/>
        <v>N/A</v>
      </c>
      <c r="F69" s="2" t="str">
        <f t="shared" si="1"/>
        <v>-</v>
      </c>
      <c r="G69" s="28"/>
    </row>
    <row r="70" spans="1:8" s="16" customFormat="1" ht="26.4" x14ac:dyDescent="0.25">
      <c r="A70" s="4"/>
      <c r="B70" s="30" t="s">
        <v>331</v>
      </c>
      <c r="C70" s="4"/>
      <c r="D70" s="3"/>
      <c r="E70" s="3"/>
      <c r="F70" s="2"/>
      <c r="G70" s="28"/>
    </row>
    <row r="71" spans="1:8" s="16" customFormat="1" ht="39.6" x14ac:dyDescent="0.25">
      <c r="A71" s="4" t="s">
        <v>332</v>
      </c>
      <c r="B71" s="4" t="s">
        <v>333</v>
      </c>
      <c r="C71" s="4" t="s">
        <v>74</v>
      </c>
      <c r="D71" s="3" t="s">
        <v>31</v>
      </c>
      <c r="E71" s="3" t="str">
        <f t="shared" si="4"/>
        <v>N/A</v>
      </c>
      <c r="F71" s="2" t="str">
        <f t="shared" si="1"/>
        <v>-</v>
      </c>
      <c r="G71" s="28"/>
    </row>
    <row r="72" spans="1:8" s="16" customFormat="1" ht="26.4" x14ac:dyDescent="0.25">
      <c r="A72" s="4" t="s">
        <v>334</v>
      </c>
      <c r="B72" s="4" t="s">
        <v>335</v>
      </c>
      <c r="C72" s="4" t="s">
        <v>74</v>
      </c>
      <c r="D72" s="3" t="s">
        <v>31</v>
      </c>
      <c r="E72" s="3" t="str">
        <f t="shared" si="4"/>
        <v>N/A</v>
      </c>
      <c r="F72" s="2" t="str">
        <f t="shared" si="1"/>
        <v>-</v>
      </c>
      <c r="G72" s="28"/>
    </row>
    <row r="73" spans="1:8" s="16" customFormat="1" ht="39.6" x14ac:dyDescent="0.25">
      <c r="A73" s="4" t="s">
        <v>336</v>
      </c>
      <c r="B73" s="4" t="s">
        <v>337</v>
      </c>
      <c r="C73" s="4" t="s">
        <v>168</v>
      </c>
      <c r="D73" s="3" t="s">
        <v>31</v>
      </c>
      <c r="E73" s="3" t="str">
        <f t="shared" si="4"/>
        <v>N/A</v>
      </c>
      <c r="F73" s="2" t="str">
        <f t="shared" si="1"/>
        <v>-</v>
      </c>
      <c r="G73" s="28"/>
    </row>
    <row r="74" spans="1:8" s="16" customFormat="1" ht="26.4" x14ac:dyDescent="0.25">
      <c r="A74" s="4" t="s">
        <v>338</v>
      </c>
      <c r="B74" s="4" t="s">
        <v>339</v>
      </c>
      <c r="C74" s="4" t="s">
        <v>168</v>
      </c>
      <c r="D74" s="3" t="s">
        <v>31</v>
      </c>
      <c r="E74" s="3" t="str">
        <f t="shared" si="4"/>
        <v>N/A</v>
      </c>
      <c r="F74" s="2" t="str">
        <f t="shared" si="1"/>
        <v>-</v>
      </c>
      <c r="G74" s="28"/>
    </row>
    <row r="75" spans="1:8" s="16" customFormat="1" ht="26.4" x14ac:dyDescent="0.25">
      <c r="A75" s="4" t="s">
        <v>340</v>
      </c>
      <c r="B75" s="4" t="s">
        <v>341</v>
      </c>
      <c r="C75" s="4" t="s">
        <v>168</v>
      </c>
      <c r="D75" s="3" t="s">
        <v>31</v>
      </c>
      <c r="E75" s="3" t="str">
        <f t="shared" si="4"/>
        <v>N/A</v>
      </c>
      <c r="F75" s="2" t="str">
        <f t="shared" si="1"/>
        <v>-</v>
      </c>
      <c r="G75" s="28"/>
    </row>
    <row r="76" spans="1:8" s="16" customFormat="1" ht="26.4" x14ac:dyDescent="0.25">
      <c r="A76" s="4" t="s">
        <v>342</v>
      </c>
      <c r="B76" s="4" t="s">
        <v>343</v>
      </c>
      <c r="C76" s="4" t="s">
        <v>168</v>
      </c>
      <c r="D76" s="3" t="s">
        <v>31</v>
      </c>
      <c r="E76" s="3" t="str">
        <f t="shared" si="4"/>
        <v>N/A</v>
      </c>
      <c r="F76" s="2" t="str">
        <f t="shared" ref="F76:F111" si="5">IF(AND(ISNUMBER(D76),D76&gt;0),D76*E76,"-")</f>
        <v>-</v>
      </c>
      <c r="G76" s="28"/>
    </row>
    <row r="77" spans="1:8" s="16" customFormat="1" ht="26.4" x14ac:dyDescent="0.25">
      <c r="A77" s="4" t="s">
        <v>344</v>
      </c>
      <c r="B77" s="4" t="s">
        <v>345</v>
      </c>
      <c r="C77" s="4" t="s">
        <v>168</v>
      </c>
      <c r="D77" s="3" t="s">
        <v>31</v>
      </c>
      <c r="E77" s="3" t="str">
        <f t="shared" si="4"/>
        <v>N/A</v>
      </c>
      <c r="F77" s="2" t="str">
        <f t="shared" si="5"/>
        <v>-</v>
      </c>
      <c r="G77" s="28"/>
    </row>
    <row r="78" spans="1:8" s="16" customFormat="1" ht="26.4" x14ac:dyDescent="0.25">
      <c r="A78" s="4" t="s">
        <v>346</v>
      </c>
      <c r="B78" s="4" t="s">
        <v>347</v>
      </c>
      <c r="C78" s="4" t="s">
        <v>178</v>
      </c>
      <c r="D78" s="3" t="s">
        <v>31</v>
      </c>
      <c r="E78" s="3" t="str">
        <f t="shared" si="4"/>
        <v>N/A</v>
      </c>
      <c r="F78" s="2" t="str">
        <f t="shared" si="5"/>
        <v>-</v>
      </c>
      <c r="G78" s="28"/>
    </row>
    <row r="79" spans="1:8" s="16" customFormat="1" ht="53.1" customHeight="1" x14ac:dyDescent="0.25">
      <c r="A79" s="4" t="s">
        <v>348</v>
      </c>
      <c r="B79" s="4" t="s">
        <v>349</v>
      </c>
      <c r="C79" s="4" t="s">
        <v>168</v>
      </c>
      <c r="D79" s="3" t="s">
        <v>31</v>
      </c>
      <c r="E79" s="3" t="str">
        <f t="shared" si="4"/>
        <v>N/A</v>
      </c>
      <c r="F79" s="2" t="str">
        <f t="shared" si="5"/>
        <v>-</v>
      </c>
      <c r="G79" s="28"/>
    </row>
    <row r="80" spans="1:8" s="16" customFormat="1" x14ac:dyDescent="0.25">
      <c r="A80" s="4"/>
      <c r="B80" s="30" t="s">
        <v>350</v>
      </c>
      <c r="C80" s="4"/>
      <c r="D80" s="3"/>
      <c r="E80" s="3"/>
      <c r="F80" s="2"/>
      <c r="G80" s="28"/>
    </row>
    <row r="81" spans="1:7" s="16" customFormat="1" ht="66" x14ac:dyDescent="0.25">
      <c r="A81" s="4" t="s">
        <v>351</v>
      </c>
      <c r="B81" s="4" t="s">
        <v>352</v>
      </c>
      <c r="C81" s="4" t="s">
        <v>74</v>
      </c>
      <c r="D81" s="3" t="s">
        <v>31</v>
      </c>
      <c r="E81" s="3" t="str">
        <f t="shared" si="4"/>
        <v>N/A</v>
      </c>
      <c r="F81" s="2" t="str">
        <f t="shared" si="5"/>
        <v>-</v>
      </c>
      <c r="G81" s="28"/>
    </row>
    <row r="82" spans="1:7" s="16" customFormat="1" ht="79.2" x14ac:dyDescent="0.25">
      <c r="A82" s="4" t="s">
        <v>353</v>
      </c>
      <c r="B82" s="4" t="s">
        <v>354</v>
      </c>
      <c r="C82" s="4" t="s">
        <v>74</v>
      </c>
      <c r="D82" s="3" t="s">
        <v>31</v>
      </c>
      <c r="E82" s="3" t="str">
        <f t="shared" si="4"/>
        <v>N/A</v>
      </c>
      <c r="F82" s="2" t="str">
        <f t="shared" si="5"/>
        <v>-</v>
      </c>
      <c r="G82" s="28"/>
    </row>
    <row r="83" spans="1:7" s="16" customFormat="1" ht="66" x14ac:dyDescent="0.25">
      <c r="A83" s="4" t="s">
        <v>355</v>
      </c>
      <c r="B83" s="4" t="s">
        <v>356</v>
      </c>
      <c r="C83" s="4" t="s">
        <v>74</v>
      </c>
      <c r="D83" s="3" t="s">
        <v>31</v>
      </c>
      <c r="E83" s="3" t="str">
        <f t="shared" si="4"/>
        <v>N/A</v>
      </c>
      <c r="F83" s="2" t="str">
        <f t="shared" si="5"/>
        <v>-</v>
      </c>
      <c r="G83" s="28"/>
    </row>
    <row r="84" spans="1:7" s="16" customFormat="1" ht="26.4" x14ac:dyDescent="0.25">
      <c r="A84" s="4" t="s">
        <v>357</v>
      </c>
      <c r="B84" s="4" t="s">
        <v>358</v>
      </c>
      <c r="C84" s="4" t="s">
        <v>23</v>
      </c>
      <c r="D84" s="3" t="s">
        <v>31</v>
      </c>
      <c r="E84" s="3" t="str">
        <f t="shared" si="4"/>
        <v>N/A</v>
      </c>
      <c r="F84" s="2" t="str">
        <f t="shared" si="5"/>
        <v>-</v>
      </c>
      <c r="G84" s="28"/>
    </row>
    <row r="85" spans="1:7" s="16" customFormat="1" ht="39" customHeight="1" x14ac:dyDescent="0.25">
      <c r="A85" s="4" t="s">
        <v>359</v>
      </c>
      <c r="B85" s="4" t="s">
        <v>360</v>
      </c>
      <c r="C85" s="4" t="s">
        <v>165</v>
      </c>
      <c r="D85" s="3" t="s">
        <v>31</v>
      </c>
      <c r="E85" s="3" t="str">
        <f t="shared" si="4"/>
        <v>N/A</v>
      </c>
      <c r="F85" s="2" t="str">
        <f t="shared" si="5"/>
        <v>-</v>
      </c>
      <c r="G85" s="28"/>
    </row>
    <row r="86" spans="1:7" s="16" customFormat="1" ht="26.4" x14ac:dyDescent="0.25">
      <c r="A86" s="4" t="s">
        <v>361</v>
      </c>
      <c r="B86" s="4" t="s">
        <v>362</v>
      </c>
      <c r="C86" s="4" t="s">
        <v>178</v>
      </c>
      <c r="D86" s="3" t="s">
        <v>31</v>
      </c>
      <c r="E86" s="3" t="str">
        <f t="shared" si="4"/>
        <v>N/A</v>
      </c>
      <c r="F86" s="2" t="str">
        <f t="shared" si="5"/>
        <v>-</v>
      </c>
      <c r="G86" s="28"/>
    </row>
    <row r="87" spans="1:7" s="16" customFormat="1" ht="26.4" x14ac:dyDescent="0.25">
      <c r="A87" s="4"/>
      <c r="B87" s="54" t="s">
        <v>363</v>
      </c>
      <c r="C87" s="4"/>
      <c r="D87" s="3"/>
      <c r="E87" s="3"/>
      <c r="F87" s="2"/>
      <c r="G87" s="28"/>
    </row>
    <row r="88" spans="1:7" s="16" customFormat="1" ht="39.6" x14ac:dyDescent="0.25">
      <c r="A88" s="4" t="s">
        <v>364</v>
      </c>
      <c r="B88" s="4" t="s">
        <v>365</v>
      </c>
      <c r="C88" s="4" t="s">
        <v>168</v>
      </c>
      <c r="D88" s="3" t="s">
        <v>31</v>
      </c>
      <c r="E88" s="3" t="str">
        <f t="shared" si="4"/>
        <v>N/A</v>
      </c>
      <c r="F88" s="2" t="str">
        <f t="shared" si="5"/>
        <v>-</v>
      </c>
      <c r="G88" s="28"/>
    </row>
    <row r="89" spans="1:7" s="16" customFormat="1" ht="52.8" x14ac:dyDescent="0.25">
      <c r="A89" s="4" t="s">
        <v>366</v>
      </c>
      <c r="B89" s="4" t="s">
        <v>367</v>
      </c>
      <c r="C89" s="4" t="s">
        <v>168</v>
      </c>
      <c r="D89" s="3" t="s">
        <v>31</v>
      </c>
      <c r="E89" s="3" t="str">
        <f t="shared" si="4"/>
        <v>N/A</v>
      </c>
      <c r="F89" s="2" t="str">
        <f t="shared" si="5"/>
        <v>-</v>
      </c>
      <c r="G89" s="28"/>
    </row>
    <row r="90" spans="1:7" s="16" customFormat="1" ht="26.4" x14ac:dyDescent="0.25">
      <c r="A90" s="4" t="s">
        <v>368</v>
      </c>
      <c r="B90" s="4" t="s">
        <v>369</v>
      </c>
      <c r="C90" s="4" t="s">
        <v>168</v>
      </c>
      <c r="D90" s="3" t="s">
        <v>31</v>
      </c>
      <c r="E90" s="3" t="str">
        <f t="shared" si="4"/>
        <v>N/A</v>
      </c>
      <c r="F90" s="2" t="str">
        <f t="shared" si="5"/>
        <v>-</v>
      </c>
      <c r="G90" s="28"/>
    </row>
    <row r="91" spans="1:7" s="16" customFormat="1" ht="26.4" x14ac:dyDescent="0.25">
      <c r="A91" s="4" t="s">
        <v>370</v>
      </c>
      <c r="B91" s="4" t="s">
        <v>371</v>
      </c>
      <c r="C91" s="4" t="s">
        <v>168</v>
      </c>
      <c r="D91" s="3" t="s">
        <v>31</v>
      </c>
      <c r="E91" s="3" t="str">
        <f t="shared" si="4"/>
        <v>N/A</v>
      </c>
      <c r="F91" s="2" t="str">
        <f t="shared" si="5"/>
        <v>-</v>
      </c>
      <c r="G91" s="28"/>
    </row>
    <row r="92" spans="1:7" s="16" customFormat="1" ht="26.4" x14ac:dyDescent="0.25">
      <c r="A92" s="4" t="s">
        <v>372</v>
      </c>
      <c r="B92" s="4" t="s">
        <v>373</v>
      </c>
      <c r="C92" s="4" t="s">
        <v>168</v>
      </c>
      <c r="D92" s="3" t="s">
        <v>31</v>
      </c>
      <c r="E92" s="3" t="str">
        <f t="shared" si="4"/>
        <v>N/A</v>
      </c>
      <c r="F92" s="2" t="str">
        <f t="shared" si="5"/>
        <v>-</v>
      </c>
      <c r="G92" s="28"/>
    </row>
    <row r="93" spans="1:7" s="16" customFormat="1" ht="26.4" x14ac:dyDescent="0.25">
      <c r="A93" s="4" t="s">
        <v>374</v>
      </c>
      <c r="B93" s="4" t="s">
        <v>375</v>
      </c>
      <c r="C93" s="4" t="s">
        <v>168</v>
      </c>
      <c r="D93" s="3" t="s">
        <v>31</v>
      </c>
      <c r="E93" s="3" t="str">
        <f t="shared" si="4"/>
        <v>N/A</v>
      </c>
      <c r="F93" s="2" t="str">
        <f t="shared" si="5"/>
        <v>-</v>
      </c>
      <c r="G93" s="28"/>
    </row>
    <row r="94" spans="1:7" s="16" customFormat="1" ht="52.8" x14ac:dyDescent="0.25">
      <c r="A94" s="4" t="s">
        <v>376</v>
      </c>
      <c r="B94" s="4" t="s">
        <v>377</v>
      </c>
      <c r="C94" s="4" t="s">
        <v>168</v>
      </c>
      <c r="D94" s="3" t="s">
        <v>31</v>
      </c>
      <c r="E94" s="3" t="str">
        <f t="shared" si="4"/>
        <v>N/A</v>
      </c>
      <c r="F94" s="2" t="str">
        <f t="shared" si="5"/>
        <v>-</v>
      </c>
      <c r="G94" s="28"/>
    </row>
    <row r="95" spans="1:7" s="16" customFormat="1" ht="26.4" x14ac:dyDescent="0.25">
      <c r="A95" s="4" t="s">
        <v>378</v>
      </c>
      <c r="B95" s="4" t="s">
        <v>379</v>
      </c>
      <c r="C95" s="4" t="s">
        <v>168</v>
      </c>
      <c r="D95" s="3" t="s">
        <v>31</v>
      </c>
      <c r="E95" s="3" t="str">
        <f t="shared" si="4"/>
        <v>N/A</v>
      </c>
      <c r="F95" s="2" t="str">
        <f t="shared" si="5"/>
        <v>-</v>
      </c>
      <c r="G95" s="28"/>
    </row>
    <row r="96" spans="1:7" s="16" customFormat="1" ht="26.4" x14ac:dyDescent="0.25">
      <c r="A96" s="4" t="s">
        <v>380</v>
      </c>
      <c r="B96" s="4" t="s">
        <v>371</v>
      </c>
      <c r="C96" s="4" t="s">
        <v>168</v>
      </c>
      <c r="D96" s="3" t="s">
        <v>31</v>
      </c>
      <c r="E96" s="3" t="str">
        <f t="shared" si="4"/>
        <v>N/A</v>
      </c>
      <c r="F96" s="2" t="str">
        <f t="shared" si="5"/>
        <v>-</v>
      </c>
      <c r="G96" s="28"/>
    </row>
    <row r="97" spans="1:9" s="16" customFormat="1" ht="26.4" x14ac:dyDescent="0.25">
      <c r="A97" s="4" t="s">
        <v>381</v>
      </c>
      <c r="B97" s="4" t="s">
        <v>373</v>
      </c>
      <c r="C97" s="4" t="s">
        <v>168</v>
      </c>
      <c r="D97" s="3" t="s">
        <v>31</v>
      </c>
      <c r="E97" s="3" t="str">
        <f t="shared" si="4"/>
        <v>N/A</v>
      </c>
      <c r="F97" s="2" t="str">
        <f t="shared" si="5"/>
        <v>-</v>
      </c>
      <c r="G97" s="28"/>
    </row>
    <row r="98" spans="1:9" s="16" customFormat="1" ht="26.4" x14ac:dyDescent="0.25">
      <c r="A98" s="4" t="s">
        <v>382</v>
      </c>
      <c r="B98" s="4" t="s">
        <v>375</v>
      </c>
      <c r="C98" s="4" t="s">
        <v>168</v>
      </c>
      <c r="D98" s="3" t="s">
        <v>31</v>
      </c>
      <c r="E98" s="3" t="str">
        <f t="shared" si="4"/>
        <v>N/A</v>
      </c>
      <c r="F98" s="2" t="str">
        <f t="shared" si="5"/>
        <v>-</v>
      </c>
      <c r="G98" s="28"/>
    </row>
    <row r="99" spans="1:9" s="16" customFormat="1" ht="39.6" x14ac:dyDescent="0.25">
      <c r="A99" s="4" t="s">
        <v>383</v>
      </c>
      <c r="B99" s="4" t="s">
        <v>384</v>
      </c>
      <c r="C99" s="4" t="s">
        <v>168</v>
      </c>
      <c r="D99" s="3" t="s">
        <v>31</v>
      </c>
      <c r="E99" s="3" t="str">
        <f t="shared" si="4"/>
        <v>N/A</v>
      </c>
      <c r="F99" s="2" t="str">
        <f t="shared" si="5"/>
        <v>-</v>
      </c>
      <c r="G99" s="28"/>
    </row>
    <row r="100" spans="1:9" s="16" customFormat="1" ht="26.4" x14ac:dyDescent="0.25">
      <c r="A100" s="4"/>
      <c r="B100" s="54" t="s">
        <v>385</v>
      </c>
      <c r="C100" s="4"/>
      <c r="D100" s="3"/>
      <c r="E100" s="3"/>
      <c r="F100" s="2"/>
      <c r="G100" s="28"/>
    </row>
    <row r="101" spans="1:9" s="16" customFormat="1" ht="52.8" x14ac:dyDescent="0.25">
      <c r="A101" s="4" t="s">
        <v>386</v>
      </c>
      <c r="B101" s="4" t="s">
        <v>387</v>
      </c>
      <c r="C101" s="4" t="s">
        <v>183</v>
      </c>
      <c r="D101" s="3" t="s">
        <v>31</v>
      </c>
      <c r="E101" s="3" t="str">
        <f t="shared" si="4"/>
        <v>N/A</v>
      </c>
      <c r="F101" s="2" t="str">
        <f t="shared" si="5"/>
        <v>-</v>
      </c>
      <c r="G101" s="28"/>
    </row>
    <row r="102" spans="1:9" s="16" customFormat="1" ht="26.4" x14ac:dyDescent="0.25">
      <c r="A102" s="4" t="s">
        <v>388</v>
      </c>
      <c r="B102" s="4" t="s">
        <v>389</v>
      </c>
      <c r="C102" s="4" t="s">
        <v>168</v>
      </c>
      <c r="D102" s="3" t="s">
        <v>31</v>
      </c>
      <c r="E102" s="3" t="str">
        <f t="shared" si="4"/>
        <v>N/A</v>
      </c>
      <c r="F102" s="2" t="str">
        <f t="shared" si="5"/>
        <v>-</v>
      </c>
      <c r="G102" s="28"/>
    </row>
    <row r="103" spans="1:9" s="16" customFormat="1" ht="26.4" x14ac:dyDescent="0.25">
      <c r="A103" s="4" t="s">
        <v>390</v>
      </c>
      <c r="B103" s="4" t="s">
        <v>391</v>
      </c>
      <c r="C103" s="4" t="s">
        <v>74</v>
      </c>
      <c r="D103" s="3" t="s">
        <v>31</v>
      </c>
      <c r="E103" s="3" t="str">
        <f t="shared" si="4"/>
        <v>N/A</v>
      </c>
      <c r="F103" s="2" t="str">
        <f t="shared" si="5"/>
        <v>-</v>
      </c>
      <c r="G103" s="28"/>
    </row>
    <row r="104" spans="1:9" s="16" customFormat="1" ht="66" x14ac:dyDescent="0.25">
      <c r="A104" s="4" t="s">
        <v>392</v>
      </c>
      <c r="B104" s="4" t="s">
        <v>393</v>
      </c>
      <c r="C104" s="4" t="s">
        <v>183</v>
      </c>
      <c r="D104" s="3" t="s">
        <v>31</v>
      </c>
      <c r="E104" s="3" t="str">
        <f t="shared" si="4"/>
        <v>N/A</v>
      </c>
      <c r="F104" s="2" t="str">
        <f t="shared" si="5"/>
        <v>-</v>
      </c>
      <c r="G104" s="28"/>
    </row>
    <row r="105" spans="1:9" s="16" customFormat="1" ht="79.2" x14ac:dyDescent="0.25">
      <c r="A105" s="4" t="s">
        <v>394</v>
      </c>
      <c r="B105" s="4" t="s">
        <v>395</v>
      </c>
      <c r="C105" s="4" t="s">
        <v>183</v>
      </c>
      <c r="D105" s="3" t="s">
        <v>31</v>
      </c>
      <c r="E105" s="3" t="str">
        <f t="shared" si="4"/>
        <v>N/A</v>
      </c>
      <c r="F105" s="2" t="str">
        <f t="shared" si="5"/>
        <v>-</v>
      </c>
      <c r="G105" s="28"/>
    </row>
    <row r="106" spans="1:9" s="16" customFormat="1" x14ac:dyDescent="0.25">
      <c r="A106" s="4"/>
      <c r="B106" s="30" t="s">
        <v>396</v>
      </c>
      <c r="C106" s="4"/>
      <c r="D106" s="3"/>
      <c r="E106" s="3"/>
      <c r="F106" s="2"/>
      <c r="G106" s="28"/>
    </row>
    <row r="107" spans="1:9" s="16" customFormat="1" ht="39.6" x14ac:dyDescent="0.25">
      <c r="A107" s="4" t="s">
        <v>397</v>
      </c>
      <c r="B107" s="4" t="s">
        <v>206</v>
      </c>
      <c r="C107" s="4" t="s">
        <v>207</v>
      </c>
      <c r="D107" s="3" t="s">
        <v>398</v>
      </c>
      <c r="E107" s="3" t="str">
        <f t="shared" si="4"/>
        <v>N/A</v>
      </c>
      <c r="F107" s="2" t="str">
        <f t="shared" si="5"/>
        <v>-</v>
      </c>
      <c r="G107" s="28"/>
    </row>
    <row r="108" spans="1:9" s="16" customFormat="1" ht="26.4" x14ac:dyDescent="0.25">
      <c r="A108" s="4" t="s">
        <v>399</v>
      </c>
      <c r="B108" s="4" t="s">
        <v>210</v>
      </c>
      <c r="C108" s="4" t="s">
        <v>207</v>
      </c>
      <c r="D108" s="3" t="s">
        <v>211</v>
      </c>
      <c r="E108" s="3" t="str">
        <f t="shared" si="4"/>
        <v>N/A</v>
      </c>
      <c r="F108" s="2" t="str">
        <f t="shared" si="5"/>
        <v>-</v>
      </c>
      <c r="G108" s="28"/>
    </row>
    <row r="109" spans="1:9" s="16" customFormat="1" ht="39.6" x14ac:dyDescent="0.25">
      <c r="A109" s="4" t="s">
        <v>400</v>
      </c>
      <c r="B109" s="4" t="s">
        <v>213</v>
      </c>
      <c r="C109" s="4" t="s">
        <v>207</v>
      </c>
      <c r="D109" s="3" t="s">
        <v>398</v>
      </c>
      <c r="E109" s="3" t="str">
        <f t="shared" si="4"/>
        <v>N/A</v>
      </c>
      <c r="F109" s="2" t="str">
        <f t="shared" si="5"/>
        <v>-</v>
      </c>
      <c r="G109" s="28"/>
    </row>
    <row r="110" spans="1:9" s="16" customFormat="1" ht="39.6" x14ac:dyDescent="0.25">
      <c r="A110" s="4" t="s">
        <v>401</v>
      </c>
      <c r="B110" s="4" t="s">
        <v>402</v>
      </c>
      <c r="C110" s="4" t="s">
        <v>168</v>
      </c>
      <c r="D110" s="3" t="s">
        <v>1218</v>
      </c>
      <c r="E110" s="3" t="str">
        <f t="shared" si="4"/>
        <v>N/A</v>
      </c>
      <c r="F110" s="2" t="str">
        <f t="shared" si="5"/>
        <v>-</v>
      </c>
      <c r="G110" s="28"/>
    </row>
    <row r="111" spans="1:9" s="16" customFormat="1" ht="48" customHeight="1" x14ac:dyDescent="0.25">
      <c r="A111" s="4" t="s">
        <v>403</v>
      </c>
      <c r="B111" s="4" t="s">
        <v>404</v>
      </c>
      <c r="C111" s="4" t="s">
        <v>183</v>
      </c>
      <c r="D111" s="3" t="s">
        <v>398</v>
      </c>
      <c r="E111" s="3" t="str">
        <f t="shared" si="4"/>
        <v>N/A</v>
      </c>
      <c r="F111" s="2" t="str">
        <f t="shared" si="5"/>
        <v>-</v>
      </c>
      <c r="G111" s="28"/>
      <c r="H111" s="28"/>
      <c r="I111" s="28"/>
    </row>
    <row r="112" spans="1:9" ht="13.8" thickBot="1" x14ac:dyDescent="0.3">
      <c r="A112" s="55"/>
      <c r="B112" s="56"/>
      <c r="C112" s="55"/>
      <c r="D112" s="55"/>
      <c r="E112" s="55"/>
      <c r="F112" s="57"/>
      <c r="G112" s="52"/>
    </row>
    <row r="113" spans="2:6" ht="13.8" thickBot="1" x14ac:dyDescent="0.3">
      <c r="B113" s="58" t="s">
        <v>405</v>
      </c>
      <c r="C113" s="59"/>
      <c r="D113" s="59"/>
      <c r="E113" s="60"/>
      <c r="F113" s="61" t="e">
        <f>SUM(F11:F111)</f>
        <v>#VALUE!</v>
      </c>
    </row>
    <row r="114" spans="2:6" x14ac:dyDescent="0.25">
      <c r="B114" s="6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CB0C-9A9D-4820-A955-AC2F4C08414F}">
  <dimension ref="A2:H75"/>
  <sheetViews>
    <sheetView topLeftCell="A58" workbookViewId="0">
      <selection activeCell="F28" sqref="F28"/>
    </sheetView>
  </sheetViews>
  <sheetFormatPr defaultColWidth="9.21875" defaultRowHeight="13.2" x14ac:dyDescent="0.25"/>
  <cols>
    <col min="1" max="1" width="9.21875" style="8"/>
    <col min="2" max="2" width="38.77734375" style="8" customWidth="1"/>
    <col min="3" max="3" width="7.44140625" style="23" customWidth="1"/>
    <col min="4" max="4" width="11.5546875" style="23" customWidth="1"/>
    <col min="5" max="5" width="11.44140625" style="24" customWidth="1"/>
    <col min="6" max="6" width="11.44140625" style="25" customWidth="1"/>
    <col min="7" max="7" width="2.44140625" style="23" customWidth="1"/>
    <col min="8" max="16384" width="9.21875" style="8"/>
  </cols>
  <sheetData>
    <row r="2" spans="1:7" s="32" customFormat="1" x14ac:dyDescent="0.25">
      <c r="C2" s="33"/>
      <c r="D2" s="33"/>
      <c r="E2" s="33"/>
      <c r="F2" s="34"/>
      <c r="G2" s="33"/>
    </row>
    <row r="3" spans="1:7" s="64" customFormat="1" x14ac:dyDescent="0.3">
      <c r="E3" s="65"/>
      <c r="F3" s="66"/>
    </row>
    <row r="4" spans="1:7" s="64" customFormat="1" x14ac:dyDescent="0.3">
      <c r="E4" s="65"/>
      <c r="F4" s="66"/>
    </row>
    <row r="5" spans="1:7" s="64" customFormat="1" x14ac:dyDescent="0.3">
      <c r="E5" s="65"/>
      <c r="F5" s="66"/>
    </row>
    <row r="6" spans="1:7" s="64" customFormat="1" x14ac:dyDescent="0.3">
      <c r="E6" s="65"/>
      <c r="F6" s="66"/>
    </row>
    <row r="8" spans="1:7" x14ac:dyDescent="0.25">
      <c r="A8" s="6" t="s">
        <v>15</v>
      </c>
      <c r="B8" s="6" t="s">
        <v>16</v>
      </c>
      <c r="C8" s="6" t="s">
        <v>17</v>
      </c>
      <c r="D8" s="6" t="s">
        <v>0</v>
      </c>
      <c r="E8" s="7" t="s">
        <v>1</v>
      </c>
      <c r="F8" s="1" t="s">
        <v>18</v>
      </c>
      <c r="G8" s="26"/>
    </row>
    <row r="9" spans="1:7" x14ac:dyDescent="0.25">
      <c r="A9" s="35"/>
      <c r="B9" s="35"/>
      <c r="C9" s="36"/>
      <c r="D9" s="36"/>
      <c r="E9" s="67" t="s">
        <v>19</v>
      </c>
      <c r="F9" s="37" t="s">
        <v>19</v>
      </c>
    </row>
    <row r="10" spans="1:7" s="16" customFormat="1" ht="13.8" x14ac:dyDescent="0.25">
      <c r="A10" s="13" t="s">
        <v>407</v>
      </c>
      <c r="B10" s="68" t="s">
        <v>408</v>
      </c>
      <c r="C10" s="69"/>
      <c r="D10" s="3"/>
      <c r="E10" s="17"/>
      <c r="F10" s="31"/>
      <c r="G10" s="28"/>
    </row>
    <row r="11" spans="1:7" s="16" customFormat="1" ht="52.8" x14ac:dyDescent="0.25">
      <c r="A11" s="70"/>
      <c r="B11" s="71" t="s">
        <v>409</v>
      </c>
      <c r="C11" s="72"/>
      <c r="D11" s="72"/>
      <c r="E11" s="73"/>
      <c r="F11" s="2"/>
      <c r="G11" s="28"/>
    </row>
    <row r="12" spans="1:7" s="16" customFormat="1" ht="28.8" x14ac:dyDescent="0.25">
      <c r="A12" s="4" t="s">
        <v>410</v>
      </c>
      <c r="B12" s="4" t="s">
        <v>411</v>
      </c>
      <c r="C12" s="4" t="s">
        <v>74</v>
      </c>
      <c r="D12" s="18" t="str">
        <f>IF(AND(ISNUMBER('[2]Section D'!D12),'[2]Section D'!D12&gt;0),'[2]Section D'!D12,"Not Required")</f>
        <v>Not Required</v>
      </c>
      <c r="E12" s="3" t="str">
        <f>IF(ISNUMBER(D12),"","N/A")</f>
        <v>N/A</v>
      </c>
      <c r="F12" s="2" t="str">
        <f>IF(AND(ISNUMBER(D12),D12&gt;0),D12*E12,"-")</f>
        <v>-</v>
      </c>
      <c r="G12" s="28"/>
    </row>
    <row r="13" spans="1:7" s="16" customFormat="1" ht="28.8" x14ac:dyDescent="0.25">
      <c r="A13" s="4" t="s">
        <v>412</v>
      </c>
      <c r="B13" s="4" t="s">
        <v>413</v>
      </c>
      <c r="C13" s="4" t="s">
        <v>165</v>
      </c>
      <c r="D13" s="18" t="str">
        <f>IF(AND(ISNUMBER('[2]Section D'!D13),'[2]Section D'!D13&gt;0),'[2]Section D'!D13,"Not Required")</f>
        <v>Not Required</v>
      </c>
      <c r="E13" s="3" t="str">
        <f>IF(ISNUMBER(D13),"","N/A")</f>
        <v>N/A</v>
      </c>
      <c r="F13" s="2" t="str">
        <f t="shared" ref="F13:F74" si="0">IF(AND(ISNUMBER(D13),D13&gt;0),D13*E13,"-")</f>
        <v>-</v>
      </c>
      <c r="G13" s="28"/>
    </row>
    <row r="14" spans="1:7" s="16" customFormat="1" ht="14.4" x14ac:dyDescent="0.25">
      <c r="A14" s="4"/>
      <c r="B14" s="30" t="s">
        <v>414</v>
      </c>
      <c r="C14" s="4"/>
      <c r="D14" s="136"/>
      <c r="E14" s="3"/>
      <c r="F14" s="2"/>
      <c r="G14" s="28"/>
    </row>
    <row r="15" spans="1:7" s="16" customFormat="1" ht="28.8" x14ac:dyDescent="0.25">
      <c r="A15" s="4" t="s">
        <v>415</v>
      </c>
      <c r="B15" s="4" t="s">
        <v>416</v>
      </c>
      <c r="C15" s="4" t="s">
        <v>74</v>
      </c>
      <c r="D15" s="18" t="e">
        <f>IF(AND(ISNUMBER('[2]Section D'!D15),'[2]Section D'!D15&gt;0),'[2]Section D'!D15,"Not Required")</f>
        <v>#VALUE!</v>
      </c>
      <c r="E15" s="3" t="str">
        <f t="shared" ref="E15:E21" si="1">IF(ISNUMBER(D15),"","N/A")</f>
        <v>N/A</v>
      </c>
      <c r="F15" s="2" t="e">
        <f t="shared" si="0"/>
        <v>#VALUE!</v>
      </c>
      <c r="G15" s="28"/>
    </row>
    <row r="16" spans="1:7" s="16" customFormat="1" ht="52.8" x14ac:dyDescent="0.25">
      <c r="A16" s="4" t="s">
        <v>417</v>
      </c>
      <c r="B16" s="4" t="s">
        <v>418</v>
      </c>
      <c r="C16" s="4" t="s">
        <v>74</v>
      </c>
      <c r="D16" s="18" t="e">
        <f>IF(AND(ISNUMBER('[2]Section D'!D16),'[2]Section D'!D16&gt;0),'[2]Section D'!D16,"Not Required")</f>
        <v>#VALUE!</v>
      </c>
      <c r="E16" s="3" t="str">
        <f t="shared" si="1"/>
        <v>N/A</v>
      </c>
      <c r="F16" s="2" t="e">
        <f t="shared" si="0"/>
        <v>#VALUE!</v>
      </c>
      <c r="G16" s="28"/>
    </row>
    <row r="17" spans="1:8" s="16" customFormat="1" ht="28.8" x14ac:dyDescent="0.25">
      <c r="A17" s="4" t="s">
        <v>419</v>
      </c>
      <c r="B17" s="4" t="s">
        <v>420</v>
      </c>
      <c r="C17" s="4" t="s">
        <v>74</v>
      </c>
      <c r="D17" s="18" t="e">
        <f>IF(AND(ISNUMBER('[2]Section D'!D17),'[2]Section D'!D17&gt;0),'[2]Section D'!D17,"Not Required")</f>
        <v>#VALUE!</v>
      </c>
      <c r="E17" s="3" t="str">
        <f t="shared" si="1"/>
        <v>N/A</v>
      </c>
      <c r="F17" s="2" t="e">
        <f t="shared" si="0"/>
        <v>#VALUE!</v>
      </c>
      <c r="G17" s="28"/>
    </row>
    <row r="18" spans="1:8" s="16" customFormat="1" ht="26.4" x14ac:dyDescent="0.25">
      <c r="A18" s="4" t="s">
        <v>421</v>
      </c>
      <c r="B18" s="4" t="s">
        <v>422</v>
      </c>
      <c r="C18" s="4" t="s">
        <v>74</v>
      </c>
      <c r="D18" s="3" t="s">
        <v>31</v>
      </c>
      <c r="E18" s="3" t="str">
        <f t="shared" si="1"/>
        <v>N/A</v>
      </c>
      <c r="F18" s="2" t="str">
        <f t="shared" si="0"/>
        <v>-</v>
      </c>
      <c r="G18" s="28"/>
    </row>
    <row r="19" spans="1:8" s="16" customFormat="1" ht="38.25" customHeight="1" x14ac:dyDescent="0.25">
      <c r="A19" s="4" t="s">
        <v>423</v>
      </c>
      <c r="B19" s="4" t="s">
        <v>424</v>
      </c>
      <c r="C19" s="4" t="s">
        <v>425</v>
      </c>
      <c r="D19" s="18" t="e">
        <f>IF(AND(ISNUMBER('[2]Section D'!D19),'[2]Section D'!D19&gt;0),'[2]Section D'!D19,"Not Required")</f>
        <v>#VALUE!</v>
      </c>
      <c r="E19" s="3" t="str">
        <f t="shared" si="1"/>
        <v>N/A</v>
      </c>
      <c r="F19" s="2" t="e">
        <f t="shared" si="0"/>
        <v>#VALUE!</v>
      </c>
      <c r="G19" s="28"/>
    </row>
    <row r="20" spans="1:8" s="16" customFormat="1" ht="37.5" customHeight="1" x14ac:dyDescent="0.25">
      <c r="A20" s="4" t="s">
        <v>426</v>
      </c>
      <c r="B20" s="4" t="s">
        <v>427</v>
      </c>
      <c r="C20" s="4" t="s">
        <v>168</v>
      </c>
      <c r="D20" s="18" t="e">
        <f>IF(AND(ISNUMBER('[2]Section D'!D20),'[2]Section D'!D20&gt;0),'[2]Section D'!D20,"Not Required")</f>
        <v>#VALUE!</v>
      </c>
      <c r="E20" s="3" t="str">
        <f t="shared" si="1"/>
        <v>N/A</v>
      </c>
      <c r="F20" s="2" t="e">
        <f t="shared" si="0"/>
        <v>#VALUE!</v>
      </c>
      <c r="G20" s="28"/>
    </row>
    <row r="21" spans="1:8" s="16" customFormat="1" ht="25.5" customHeight="1" x14ac:dyDescent="0.25">
      <c r="A21" s="4" t="s">
        <v>428</v>
      </c>
      <c r="B21" s="4" t="s">
        <v>429</v>
      </c>
      <c r="C21" s="4" t="s">
        <v>168</v>
      </c>
      <c r="D21" s="3" t="s">
        <v>31</v>
      </c>
      <c r="E21" s="3" t="str">
        <f t="shared" si="1"/>
        <v>N/A</v>
      </c>
      <c r="F21" s="2" t="str">
        <f t="shared" si="0"/>
        <v>-</v>
      </c>
      <c r="G21" s="28"/>
    </row>
    <row r="22" spans="1:8" s="16" customFormat="1" ht="28.8" x14ac:dyDescent="0.25">
      <c r="A22" s="4" t="s">
        <v>430</v>
      </c>
      <c r="B22" s="4" t="s">
        <v>431</v>
      </c>
      <c r="C22" s="4" t="s">
        <v>165</v>
      </c>
      <c r="D22" s="18" t="str">
        <f>IF(AND(ISNUMBER('[2]Section D'!D22),'[2]Section D'!D22&gt;0),'[2]Section D'!D22,"Not Required")</f>
        <v>Not Required</v>
      </c>
      <c r="E22" s="3" t="str">
        <f t="shared" ref="E22:E24" si="2">IF(ISNUMBER(D22),"","N/A")</f>
        <v>N/A</v>
      </c>
      <c r="F22" s="2" t="str">
        <f t="shared" si="0"/>
        <v>-</v>
      </c>
      <c r="G22" s="28"/>
    </row>
    <row r="23" spans="1:8" s="16" customFormat="1" ht="25.5" customHeight="1" x14ac:dyDescent="0.25">
      <c r="A23" s="4" t="s">
        <v>432</v>
      </c>
      <c r="B23" s="4" t="s">
        <v>433</v>
      </c>
      <c r="C23" s="4" t="s">
        <v>165</v>
      </c>
      <c r="D23" s="18" t="str">
        <f>IF(AND(ISNUMBER('[2]Section D'!D23),'[2]Section D'!D23&gt;0),'[2]Section D'!D23,"Not Required")</f>
        <v>Not Required</v>
      </c>
      <c r="E23" s="3" t="str">
        <f t="shared" si="2"/>
        <v>N/A</v>
      </c>
      <c r="F23" s="2" t="str">
        <f t="shared" si="0"/>
        <v>-</v>
      </c>
      <c r="G23" s="28"/>
    </row>
    <row r="24" spans="1:8" s="16" customFormat="1" ht="26.4" x14ac:dyDescent="0.25">
      <c r="A24" s="4" t="s">
        <v>434</v>
      </c>
      <c r="B24" s="4" t="s">
        <v>435</v>
      </c>
      <c r="C24" s="4" t="s">
        <v>165</v>
      </c>
      <c r="D24" s="3" t="s">
        <v>31</v>
      </c>
      <c r="E24" s="3" t="str">
        <f t="shared" si="2"/>
        <v>N/A</v>
      </c>
      <c r="F24" s="2" t="str">
        <f t="shared" si="0"/>
        <v>-</v>
      </c>
      <c r="G24" s="28"/>
      <c r="H24" s="28"/>
    </row>
    <row r="25" spans="1:8" s="16" customFormat="1" x14ac:dyDescent="0.25">
      <c r="A25" s="4"/>
      <c r="B25" s="30" t="s">
        <v>436</v>
      </c>
      <c r="C25" s="4"/>
      <c r="E25" s="17"/>
      <c r="F25" s="2"/>
      <c r="G25" s="28"/>
    </row>
    <row r="26" spans="1:8" s="16" customFormat="1" ht="66" x14ac:dyDescent="0.25">
      <c r="A26" s="4" t="s">
        <v>437</v>
      </c>
      <c r="B26" s="4" t="s">
        <v>438</v>
      </c>
      <c r="C26" s="4" t="s">
        <v>74</v>
      </c>
      <c r="D26" s="18" t="e">
        <f>IF(AND(ISNUMBER('[2]Section D'!D26),'[2]Section D'!D26&gt;0),'[2]Section D'!D26,"Not Required")</f>
        <v>#VALUE!</v>
      </c>
      <c r="E26" s="3" t="str">
        <f>IF(ISNUMBER(D26),"","N/A")</f>
        <v>N/A</v>
      </c>
      <c r="F26" s="2" t="e">
        <f t="shared" si="0"/>
        <v>#VALUE!</v>
      </c>
      <c r="G26" s="28"/>
    </row>
    <row r="27" spans="1:8" s="16" customFormat="1" ht="62.55" customHeight="1" x14ac:dyDescent="0.25">
      <c r="A27" s="4" t="s">
        <v>439</v>
      </c>
      <c r="B27" s="4" t="s">
        <v>440</v>
      </c>
      <c r="C27" s="4" t="s">
        <v>74</v>
      </c>
      <c r="D27" s="18" t="e">
        <f>IF(AND(ISNUMBER('[2]Section D'!D27),'[2]Section D'!D27&gt;0),'[2]Section D'!D27,"Not Required")</f>
        <v>#VALUE!</v>
      </c>
      <c r="E27" s="3" t="str">
        <f t="shared" ref="E27:E65" si="3">IF(ISNUMBER(D27),"","N/A")</f>
        <v>N/A</v>
      </c>
      <c r="F27" s="2" t="e">
        <f t="shared" si="0"/>
        <v>#VALUE!</v>
      </c>
      <c r="G27" s="28"/>
    </row>
    <row r="28" spans="1:8" s="16" customFormat="1" ht="28.8" x14ac:dyDescent="0.25">
      <c r="A28" s="4" t="s">
        <v>441</v>
      </c>
      <c r="B28" s="4" t="s">
        <v>442</v>
      </c>
      <c r="C28" s="4" t="s">
        <v>443</v>
      </c>
      <c r="D28" s="18" t="e">
        <f>IF(AND(ISNUMBER('[2]Section D'!D28),'[2]Section D'!D28&gt;0),'[2]Section D'!D28,"Not Required")</f>
        <v>#VALUE!</v>
      </c>
      <c r="E28" s="3" t="str">
        <f t="shared" si="3"/>
        <v>N/A</v>
      </c>
      <c r="F28" s="2" t="e">
        <f t="shared" si="0"/>
        <v>#VALUE!</v>
      </c>
      <c r="G28" s="28"/>
    </row>
    <row r="29" spans="1:8" s="16" customFormat="1" ht="28.8" x14ac:dyDescent="0.25">
      <c r="A29" s="4" t="s">
        <v>444</v>
      </c>
      <c r="B29" s="4" t="s">
        <v>445</v>
      </c>
      <c r="C29" s="4" t="s">
        <v>165</v>
      </c>
      <c r="D29" s="18" t="str">
        <f>IF(AND(ISNUMBER('[2]Section D'!D29),'[2]Section D'!D29&gt;0),'[2]Section D'!D29,"Not Required")</f>
        <v>Not Required</v>
      </c>
      <c r="E29" s="3" t="str">
        <f t="shared" si="3"/>
        <v>N/A</v>
      </c>
      <c r="F29" s="2" t="str">
        <f t="shared" si="0"/>
        <v>-</v>
      </c>
      <c r="G29" s="28"/>
    </row>
    <row r="30" spans="1:8" s="16" customFormat="1" ht="52.8" x14ac:dyDescent="0.25">
      <c r="A30" s="4" t="s">
        <v>446</v>
      </c>
      <c r="B30" s="4" t="s">
        <v>447</v>
      </c>
      <c r="C30" s="4" t="s">
        <v>425</v>
      </c>
      <c r="D30" s="18" t="str">
        <f>IF(AND(ISNUMBER('[2]Section D'!D30),'[2]Section D'!D30&gt;0),'[2]Section D'!D30,"Not Required")</f>
        <v>Not Required</v>
      </c>
      <c r="E30" s="3" t="str">
        <f t="shared" si="3"/>
        <v>N/A</v>
      </c>
      <c r="F30" s="2" t="str">
        <f t="shared" si="0"/>
        <v>-</v>
      </c>
      <c r="G30" s="28"/>
    </row>
    <row r="31" spans="1:8" s="16" customFormat="1" ht="28.8" x14ac:dyDescent="0.25">
      <c r="A31" s="4" t="s">
        <v>448</v>
      </c>
      <c r="B31" s="4" t="s">
        <v>449</v>
      </c>
      <c r="C31" s="4" t="s">
        <v>443</v>
      </c>
      <c r="D31" s="18" t="e">
        <f>IF(AND(ISNUMBER('[2]Section D'!D31),'[2]Section D'!D31&gt;0),'[2]Section D'!D31,"Not Required")</f>
        <v>#VALUE!</v>
      </c>
      <c r="E31" s="3" t="str">
        <f t="shared" si="3"/>
        <v>N/A</v>
      </c>
      <c r="F31" s="2" t="e">
        <f t="shared" si="0"/>
        <v>#VALUE!</v>
      </c>
      <c r="G31" s="28"/>
    </row>
    <row r="32" spans="1:8" s="16" customFormat="1" ht="52.8" x14ac:dyDescent="0.25">
      <c r="A32" s="4" t="s">
        <v>450</v>
      </c>
      <c r="B32" s="4" t="s">
        <v>451</v>
      </c>
      <c r="C32" s="4" t="s">
        <v>183</v>
      </c>
      <c r="D32" s="18" t="str">
        <f>IF(AND(ISNUMBER('[2]Section D'!D32),'[2]Section D'!D32&gt;0),'[2]Section D'!D32,"Not Required")</f>
        <v>Not Required</v>
      </c>
      <c r="E32" s="3" t="str">
        <f t="shared" si="3"/>
        <v>N/A</v>
      </c>
      <c r="F32" s="2" t="str">
        <f t="shared" si="0"/>
        <v>-</v>
      </c>
      <c r="G32" s="28"/>
    </row>
    <row r="33" spans="1:7" s="16" customFormat="1" ht="52.8" x14ac:dyDescent="0.25">
      <c r="A33" s="4" t="s">
        <v>452</v>
      </c>
      <c r="B33" s="4" t="s">
        <v>453</v>
      </c>
      <c r="C33" s="4" t="s">
        <v>183</v>
      </c>
      <c r="D33" s="18" t="str">
        <f>IF(AND(ISNUMBER('[2]Section D'!D33),'[2]Section D'!D33&gt;0),'[2]Section D'!D33,"Not Required")</f>
        <v>Not Required</v>
      </c>
      <c r="E33" s="3" t="str">
        <f t="shared" si="3"/>
        <v>N/A</v>
      </c>
      <c r="F33" s="2" t="str">
        <f t="shared" si="0"/>
        <v>-</v>
      </c>
      <c r="G33" s="28"/>
    </row>
    <row r="34" spans="1:7" s="16" customFormat="1" ht="28.8" x14ac:dyDescent="0.25">
      <c r="A34" s="4" t="s">
        <v>454</v>
      </c>
      <c r="B34" s="4" t="s">
        <v>455</v>
      </c>
      <c r="C34" s="4" t="s">
        <v>178</v>
      </c>
      <c r="D34" s="18" t="e">
        <f>IF(AND(ISNUMBER('[2]Section D'!D34),'[2]Section D'!D34&gt;0),'[2]Section D'!D34,"Not Required")</f>
        <v>#VALUE!</v>
      </c>
      <c r="E34" s="3" t="str">
        <f t="shared" si="3"/>
        <v>N/A</v>
      </c>
      <c r="F34" s="2" t="e">
        <f t="shared" si="0"/>
        <v>#VALUE!</v>
      </c>
      <c r="G34" s="28"/>
    </row>
    <row r="35" spans="1:7" s="16" customFormat="1" x14ac:dyDescent="0.25">
      <c r="A35" s="4"/>
      <c r="B35" s="30" t="s">
        <v>456</v>
      </c>
      <c r="C35" s="4"/>
      <c r="D35" s="3"/>
      <c r="E35" s="3"/>
      <c r="F35" s="2"/>
      <c r="G35" s="28"/>
    </row>
    <row r="36" spans="1:7" s="16" customFormat="1" ht="39.6" x14ac:dyDescent="0.25">
      <c r="A36" s="4" t="s">
        <v>457</v>
      </c>
      <c r="B36" s="4" t="s">
        <v>458</v>
      </c>
      <c r="C36" s="4" t="s">
        <v>74</v>
      </c>
      <c r="D36" s="3" t="s">
        <v>31</v>
      </c>
      <c r="E36" s="3" t="str">
        <f t="shared" si="3"/>
        <v>N/A</v>
      </c>
      <c r="F36" s="2" t="str">
        <f t="shared" si="0"/>
        <v>-</v>
      </c>
      <c r="G36" s="28"/>
    </row>
    <row r="37" spans="1:7" s="16" customFormat="1" ht="26.4" x14ac:dyDescent="0.25">
      <c r="A37" s="4" t="s">
        <v>459</v>
      </c>
      <c r="B37" s="4" t="s">
        <v>460</v>
      </c>
      <c r="C37" s="4" t="s">
        <v>74</v>
      </c>
      <c r="D37" s="3" t="s">
        <v>31</v>
      </c>
      <c r="E37" s="3" t="str">
        <f t="shared" si="3"/>
        <v>N/A</v>
      </c>
      <c r="F37" s="2" t="str">
        <f t="shared" si="0"/>
        <v>-</v>
      </c>
      <c r="G37" s="28"/>
    </row>
    <row r="38" spans="1:7" s="16" customFormat="1" ht="26.4" x14ac:dyDescent="0.25">
      <c r="A38" s="4" t="s">
        <v>461</v>
      </c>
      <c r="B38" s="4" t="s">
        <v>462</v>
      </c>
      <c r="C38" s="4" t="s">
        <v>74</v>
      </c>
      <c r="D38" s="3" t="s">
        <v>31</v>
      </c>
      <c r="E38" s="3" t="str">
        <f t="shared" si="3"/>
        <v>N/A</v>
      </c>
      <c r="F38" s="2" t="str">
        <f t="shared" si="0"/>
        <v>-</v>
      </c>
      <c r="G38" s="28"/>
    </row>
    <row r="39" spans="1:7" s="16" customFormat="1" ht="26.4" x14ac:dyDescent="0.25">
      <c r="A39" s="4" t="s">
        <v>463</v>
      </c>
      <c r="B39" s="4" t="s">
        <v>464</v>
      </c>
      <c r="C39" s="4" t="s">
        <v>168</v>
      </c>
      <c r="D39" s="3" t="s">
        <v>31</v>
      </c>
      <c r="E39" s="3" t="str">
        <f t="shared" si="3"/>
        <v>N/A</v>
      </c>
      <c r="F39" s="2" t="str">
        <f t="shared" si="0"/>
        <v>-</v>
      </c>
      <c r="G39" s="28"/>
    </row>
    <row r="40" spans="1:7" s="16" customFormat="1" ht="26.4" x14ac:dyDescent="0.25">
      <c r="A40" s="4" t="s">
        <v>465</v>
      </c>
      <c r="B40" s="4" t="s">
        <v>466</v>
      </c>
      <c r="C40" s="4" t="s">
        <v>168</v>
      </c>
      <c r="D40" s="3" t="s">
        <v>31</v>
      </c>
      <c r="E40" s="3" t="str">
        <f t="shared" si="3"/>
        <v>N/A</v>
      </c>
      <c r="F40" s="2" t="str">
        <f t="shared" si="0"/>
        <v>-</v>
      </c>
      <c r="G40" s="28"/>
    </row>
    <row r="41" spans="1:7" s="16" customFormat="1" ht="26.4" x14ac:dyDescent="0.25">
      <c r="A41" s="4" t="s">
        <v>467</v>
      </c>
      <c r="B41" s="4" t="s">
        <v>468</v>
      </c>
      <c r="C41" s="4" t="s">
        <v>168</v>
      </c>
      <c r="D41" s="3" t="s">
        <v>31</v>
      </c>
      <c r="E41" s="3" t="str">
        <f t="shared" si="3"/>
        <v>N/A</v>
      </c>
      <c r="F41" s="2" t="str">
        <f t="shared" si="0"/>
        <v>-</v>
      </c>
      <c r="G41" s="28"/>
    </row>
    <row r="42" spans="1:7" s="16" customFormat="1" ht="26.4" x14ac:dyDescent="0.25">
      <c r="A42" s="4" t="s">
        <v>469</v>
      </c>
      <c r="B42" s="4" t="s">
        <v>470</v>
      </c>
      <c r="C42" s="4" t="s">
        <v>168</v>
      </c>
      <c r="D42" s="3" t="s">
        <v>31</v>
      </c>
      <c r="E42" s="3" t="str">
        <f t="shared" si="3"/>
        <v>N/A</v>
      </c>
      <c r="F42" s="2" t="str">
        <f t="shared" si="0"/>
        <v>-</v>
      </c>
      <c r="G42" s="28"/>
    </row>
    <row r="43" spans="1:7" s="16" customFormat="1" ht="26.4" x14ac:dyDescent="0.25">
      <c r="A43" s="4" t="s">
        <v>471</v>
      </c>
      <c r="B43" s="4" t="s">
        <v>472</v>
      </c>
      <c r="C43" s="4" t="s">
        <v>165</v>
      </c>
      <c r="D43" s="3" t="s">
        <v>31</v>
      </c>
      <c r="E43" s="3" t="str">
        <f t="shared" si="3"/>
        <v>N/A</v>
      </c>
      <c r="F43" s="2" t="str">
        <f t="shared" si="0"/>
        <v>-</v>
      </c>
      <c r="G43" s="28"/>
    </row>
    <row r="44" spans="1:7" s="16" customFormat="1" ht="26.4" x14ac:dyDescent="0.25">
      <c r="A44" s="4" t="s">
        <v>473</v>
      </c>
      <c r="B44" s="4" t="s">
        <v>474</v>
      </c>
      <c r="C44" s="4" t="s">
        <v>165</v>
      </c>
      <c r="D44" s="3" t="s">
        <v>31</v>
      </c>
      <c r="E44" s="3" t="str">
        <f t="shared" si="3"/>
        <v>N/A</v>
      </c>
      <c r="F44" s="2" t="str">
        <f t="shared" si="0"/>
        <v>-</v>
      </c>
      <c r="G44" s="28"/>
    </row>
    <row r="45" spans="1:7" s="16" customFormat="1" ht="26.4" x14ac:dyDescent="0.25">
      <c r="A45" s="4" t="s">
        <v>475</v>
      </c>
      <c r="B45" s="4" t="s">
        <v>476</v>
      </c>
      <c r="C45" s="4" t="s">
        <v>165</v>
      </c>
      <c r="D45" s="3" t="s">
        <v>31</v>
      </c>
      <c r="E45" s="3" t="str">
        <f t="shared" si="3"/>
        <v>N/A</v>
      </c>
      <c r="F45" s="2" t="str">
        <f t="shared" si="0"/>
        <v>-</v>
      </c>
      <c r="G45" s="28"/>
    </row>
    <row r="46" spans="1:7" s="16" customFormat="1" ht="26.4" x14ac:dyDescent="0.25">
      <c r="A46" s="4" t="s">
        <v>477</v>
      </c>
      <c r="B46" s="4" t="s">
        <v>478</v>
      </c>
      <c r="C46" s="4" t="s">
        <v>165</v>
      </c>
      <c r="D46" s="3" t="s">
        <v>31</v>
      </c>
      <c r="E46" s="3" t="str">
        <f t="shared" si="3"/>
        <v>N/A</v>
      </c>
      <c r="F46" s="2" t="str">
        <f t="shared" si="0"/>
        <v>-</v>
      </c>
      <c r="G46" s="28"/>
    </row>
    <row r="47" spans="1:7" s="16" customFormat="1" ht="26.4" x14ac:dyDescent="0.25">
      <c r="A47" s="4" t="s">
        <v>479</v>
      </c>
      <c r="B47" s="4" t="s">
        <v>480</v>
      </c>
      <c r="C47" s="4" t="s">
        <v>178</v>
      </c>
      <c r="D47" s="3" t="s">
        <v>31</v>
      </c>
      <c r="E47" s="3" t="str">
        <f t="shared" si="3"/>
        <v>N/A</v>
      </c>
      <c r="F47" s="2" t="str">
        <f t="shared" si="0"/>
        <v>-</v>
      </c>
      <c r="G47" s="28"/>
    </row>
    <row r="48" spans="1:7" s="16" customFormat="1" ht="26.4" x14ac:dyDescent="0.25">
      <c r="A48" s="4" t="s">
        <v>481</v>
      </c>
      <c r="B48" s="4" t="s">
        <v>482</v>
      </c>
      <c r="C48" s="4" t="s">
        <v>178</v>
      </c>
      <c r="D48" s="3" t="s">
        <v>31</v>
      </c>
      <c r="E48" s="3" t="str">
        <f t="shared" si="3"/>
        <v>N/A</v>
      </c>
      <c r="F48" s="2" t="str">
        <f t="shared" si="0"/>
        <v>-</v>
      </c>
      <c r="G48" s="28"/>
    </row>
    <row r="49" spans="1:7" s="16" customFormat="1" ht="39.6" x14ac:dyDescent="0.25">
      <c r="A49" s="4" t="s">
        <v>483</v>
      </c>
      <c r="B49" s="4" t="s">
        <v>484</v>
      </c>
      <c r="C49" s="4" t="s">
        <v>178</v>
      </c>
      <c r="D49" s="3" t="s">
        <v>31</v>
      </c>
      <c r="E49" s="3" t="str">
        <f t="shared" si="3"/>
        <v>N/A</v>
      </c>
      <c r="F49" s="2" t="str">
        <f t="shared" si="0"/>
        <v>-</v>
      </c>
      <c r="G49" s="28"/>
    </row>
    <row r="50" spans="1:7" s="16" customFormat="1" ht="39.6" x14ac:dyDescent="0.25">
      <c r="A50" s="4" t="s">
        <v>485</v>
      </c>
      <c r="B50" s="4" t="s">
        <v>486</v>
      </c>
      <c r="C50" s="4" t="s">
        <v>178</v>
      </c>
      <c r="D50" s="3" t="s">
        <v>31</v>
      </c>
      <c r="E50" s="3" t="str">
        <f t="shared" si="3"/>
        <v>N/A</v>
      </c>
      <c r="F50" s="2" t="str">
        <f t="shared" si="0"/>
        <v>-</v>
      </c>
      <c r="G50" s="28"/>
    </row>
    <row r="51" spans="1:7" s="16" customFormat="1" ht="25.5" customHeight="1" x14ac:dyDescent="0.25">
      <c r="A51" s="4"/>
      <c r="B51" s="30" t="s">
        <v>487</v>
      </c>
      <c r="C51" s="4"/>
      <c r="D51" s="3"/>
      <c r="E51" s="3"/>
      <c r="F51" s="2"/>
      <c r="G51" s="28"/>
    </row>
    <row r="52" spans="1:7" s="16" customFormat="1" ht="52.8" x14ac:dyDescent="0.25">
      <c r="A52" s="4" t="s">
        <v>488</v>
      </c>
      <c r="B52" s="4" t="s">
        <v>489</v>
      </c>
      <c r="C52" s="4" t="s">
        <v>231</v>
      </c>
      <c r="D52" s="3" t="s">
        <v>490</v>
      </c>
      <c r="E52" s="3" t="str">
        <f t="shared" si="3"/>
        <v>N/A</v>
      </c>
      <c r="F52" s="2" t="str">
        <f t="shared" si="0"/>
        <v>-</v>
      </c>
      <c r="G52" s="28"/>
    </row>
    <row r="53" spans="1:7" s="16" customFormat="1" ht="24" customHeight="1" x14ac:dyDescent="0.25">
      <c r="A53" s="4" t="s">
        <v>491</v>
      </c>
      <c r="B53" s="4" t="s">
        <v>492</v>
      </c>
      <c r="C53" s="4" t="s">
        <v>231</v>
      </c>
      <c r="D53" s="3" t="s">
        <v>31</v>
      </c>
      <c r="E53" s="3" t="str">
        <f t="shared" si="3"/>
        <v>N/A</v>
      </c>
      <c r="F53" s="2" t="str">
        <f t="shared" si="0"/>
        <v>-</v>
      </c>
      <c r="G53" s="28"/>
    </row>
    <row r="54" spans="1:7" s="16" customFormat="1" ht="24" customHeight="1" x14ac:dyDescent="0.25">
      <c r="A54" s="4" t="s">
        <v>493</v>
      </c>
      <c r="B54" s="4" t="s">
        <v>494</v>
      </c>
      <c r="C54" s="4" t="s">
        <v>231</v>
      </c>
      <c r="D54" s="3" t="s">
        <v>31</v>
      </c>
      <c r="E54" s="3" t="str">
        <f t="shared" si="3"/>
        <v>N/A</v>
      </c>
      <c r="F54" s="2" t="str">
        <f t="shared" si="0"/>
        <v>-</v>
      </c>
      <c r="G54" s="28"/>
    </row>
    <row r="55" spans="1:7" s="16" customFormat="1" ht="52.8" x14ac:dyDescent="0.25">
      <c r="A55" s="4" t="s">
        <v>495</v>
      </c>
      <c r="B55" s="4" t="s">
        <v>496</v>
      </c>
      <c r="C55" s="4" t="s">
        <v>231</v>
      </c>
      <c r="D55" s="3" t="s">
        <v>31</v>
      </c>
      <c r="E55" s="3" t="str">
        <f t="shared" si="3"/>
        <v>N/A</v>
      </c>
      <c r="F55" s="2" t="str">
        <f t="shared" si="0"/>
        <v>-</v>
      </c>
      <c r="G55" s="28"/>
    </row>
    <row r="56" spans="1:7" s="16" customFormat="1" ht="29.1" customHeight="1" x14ac:dyDescent="0.25">
      <c r="A56" s="4" t="s">
        <v>497</v>
      </c>
      <c r="B56" s="4" t="s">
        <v>498</v>
      </c>
      <c r="C56" s="4" t="s">
        <v>231</v>
      </c>
      <c r="D56" s="3" t="s">
        <v>31</v>
      </c>
      <c r="E56" s="3" t="str">
        <f t="shared" si="3"/>
        <v>N/A</v>
      </c>
      <c r="F56" s="2" t="str">
        <f t="shared" si="0"/>
        <v>-</v>
      </c>
      <c r="G56" s="28"/>
    </row>
    <row r="57" spans="1:7" s="16" customFormat="1" ht="29.1" customHeight="1" x14ac:dyDescent="0.25">
      <c r="A57" s="4" t="s">
        <v>499</v>
      </c>
      <c r="B57" s="4" t="s">
        <v>500</v>
      </c>
      <c r="C57" s="4" t="s">
        <v>231</v>
      </c>
      <c r="D57" s="3" t="s">
        <v>31</v>
      </c>
      <c r="E57" s="3" t="str">
        <f t="shared" si="3"/>
        <v>N/A</v>
      </c>
      <c r="F57" s="2" t="str">
        <f t="shared" si="0"/>
        <v>-</v>
      </c>
      <c r="G57" s="28"/>
    </row>
    <row r="58" spans="1:7" s="16" customFormat="1" ht="29.1" customHeight="1" x14ac:dyDescent="0.25">
      <c r="A58" s="4" t="s">
        <v>501</v>
      </c>
      <c r="B58" s="4" t="s">
        <v>502</v>
      </c>
      <c r="C58" s="4" t="s">
        <v>231</v>
      </c>
      <c r="D58" s="3" t="s">
        <v>31</v>
      </c>
      <c r="E58" s="3" t="str">
        <f t="shared" si="3"/>
        <v>N/A</v>
      </c>
      <c r="F58" s="2" t="str">
        <f t="shared" si="0"/>
        <v>-</v>
      </c>
      <c r="G58" s="28"/>
    </row>
    <row r="59" spans="1:7" s="16" customFormat="1" ht="52.8" x14ac:dyDescent="0.25">
      <c r="A59" s="4" t="s">
        <v>503</v>
      </c>
      <c r="B59" s="4" t="s">
        <v>504</v>
      </c>
      <c r="C59" s="4" t="s">
        <v>231</v>
      </c>
      <c r="D59" s="3" t="s">
        <v>505</v>
      </c>
      <c r="E59" s="3" t="str">
        <f t="shared" si="3"/>
        <v>N/A</v>
      </c>
      <c r="F59" s="2" t="str">
        <f t="shared" si="0"/>
        <v>-</v>
      </c>
      <c r="G59" s="28"/>
    </row>
    <row r="60" spans="1:7" s="16" customFormat="1" x14ac:dyDescent="0.25">
      <c r="A60" s="4"/>
      <c r="B60" s="30" t="s">
        <v>506</v>
      </c>
      <c r="C60" s="4"/>
      <c r="D60" s="3"/>
      <c r="E60" s="3"/>
      <c r="F60" s="2"/>
      <c r="G60" s="28"/>
    </row>
    <row r="61" spans="1:7" s="16" customFormat="1" ht="26.4" x14ac:dyDescent="0.25">
      <c r="A61" s="4" t="s">
        <v>507</v>
      </c>
      <c r="B61" s="4" t="s">
        <v>508</v>
      </c>
      <c r="C61" s="4" t="s">
        <v>74</v>
      </c>
      <c r="D61" s="3" t="s">
        <v>31</v>
      </c>
      <c r="E61" s="3" t="str">
        <f t="shared" si="3"/>
        <v>N/A</v>
      </c>
      <c r="F61" s="2" t="str">
        <f t="shared" si="0"/>
        <v>-</v>
      </c>
      <c r="G61" s="28"/>
    </row>
    <row r="62" spans="1:7" s="16" customFormat="1" ht="26.4" x14ac:dyDescent="0.25">
      <c r="A62" s="4" t="s">
        <v>509</v>
      </c>
      <c r="B62" s="4" t="s">
        <v>510</v>
      </c>
      <c r="C62" s="4" t="s">
        <v>178</v>
      </c>
      <c r="D62" s="3" t="s">
        <v>31</v>
      </c>
      <c r="E62" s="3" t="str">
        <f t="shared" si="3"/>
        <v>N/A</v>
      </c>
      <c r="F62" s="2" t="str">
        <f t="shared" si="0"/>
        <v>-</v>
      </c>
      <c r="G62" s="28"/>
    </row>
    <row r="63" spans="1:7" s="16" customFormat="1" ht="39.6" x14ac:dyDescent="0.25">
      <c r="A63" s="4" t="s">
        <v>511</v>
      </c>
      <c r="B63" s="4" t="s">
        <v>512</v>
      </c>
      <c r="C63" s="4" t="s">
        <v>513</v>
      </c>
      <c r="D63" s="3" t="s">
        <v>31</v>
      </c>
      <c r="E63" s="3" t="str">
        <f t="shared" si="3"/>
        <v>N/A</v>
      </c>
      <c r="F63" s="2" t="str">
        <f t="shared" si="0"/>
        <v>-</v>
      </c>
      <c r="G63" s="28"/>
    </row>
    <row r="64" spans="1:7" s="16" customFormat="1" ht="26.4" x14ac:dyDescent="0.25">
      <c r="A64" s="4" t="s">
        <v>514</v>
      </c>
      <c r="B64" s="4" t="s">
        <v>515</v>
      </c>
      <c r="C64" s="4" t="s">
        <v>231</v>
      </c>
      <c r="D64" s="3" t="s">
        <v>31</v>
      </c>
      <c r="E64" s="3" t="str">
        <f t="shared" si="3"/>
        <v>N/A</v>
      </c>
      <c r="F64" s="2" t="str">
        <f t="shared" si="0"/>
        <v>-</v>
      </c>
      <c r="G64" s="28"/>
    </row>
    <row r="65" spans="1:7" s="16" customFormat="1" ht="26.4" x14ac:dyDescent="0.25">
      <c r="A65" s="4" t="s">
        <v>516</v>
      </c>
      <c r="B65" s="4" t="s">
        <v>517</v>
      </c>
      <c r="C65" s="4" t="s">
        <v>231</v>
      </c>
      <c r="D65" s="3" t="s">
        <v>31</v>
      </c>
      <c r="E65" s="3" t="str">
        <f t="shared" si="3"/>
        <v>N/A</v>
      </c>
      <c r="F65" s="2" t="str">
        <f t="shared" si="0"/>
        <v>-</v>
      </c>
      <c r="G65" s="28"/>
    </row>
    <row r="66" spans="1:7" s="16" customFormat="1" ht="26.4" x14ac:dyDescent="0.25">
      <c r="A66" s="4"/>
      <c r="B66" s="30" t="s">
        <v>518</v>
      </c>
      <c r="C66" s="4"/>
      <c r="D66" s="3"/>
      <c r="E66" s="17"/>
      <c r="F66" s="2"/>
      <c r="G66" s="28"/>
    </row>
    <row r="67" spans="1:7" s="16" customFormat="1" ht="38.25" customHeight="1" x14ac:dyDescent="0.25">
      <c r="A67" s="4" t="s">
        <v>519</v>
      </c>
      <c r="B67" s="4" t="s">
        <v>520</v>
      </c>
      <c r="C67" s="4" t="s">
        <v>74</v>
      </c>
      <c r="D67" s="18" t="str">
        <f>IF(AND(ISNUMBER('[2]Section D'!D49),'[2]Section D'!D49&gt;0),'[2]Section D'!D49,"Not Required")</f>
        <v>Not Required</v>
      </c>
      <c r="E67" s="3" t="str">
        <f>IF(ISNUMBER(D67),"","N/A")</f>
        <v>N/A</v>
      </c>
      <c r="F67" s="2" t="str">
        <f t="shared" si="0"/>
        <v>-</v>
      </c>
      <c r="G67" s="28"/>
    </row>
    <row r="68" spans="1:7" s="16" customFormat="1" ht="39.6" x14ac:dyDescent="0.25">
      <c r="A68" s="4" t="s">
        <v>521</v>
      </c>
      <c r="B68" s="4" t="s">
        <v>522</v>
      </c>
      <c r="C68" s="4" t="s">
        <v>207</v>
      </c>
      <c r="D68" s="3" t="s">
        <v>523</v>
      </c>
      <c r="E68" s="3" t="str">
        <f t="shared" ref="E68:E74" si="4">IF(ISNUMBER(D68),"","N/A")</f>
        <v>N/A</v>
      </c>
      <c r="F68" s="2" t="str">
        <f t="shared" si="0"/>
        <v>-</v>
      </c>
      <c r="G68" s="28"/>
    </row>
    <row r="69" spans="1:7" s="16" customFormat="1" ht="39.6" x14ac:dyDescent="0.25">
      <c r="A69" s="4" t="s">
        <v>524</v>
      </c>
      <c r="B69" s="4" t="s">
        <v>525</v>
      </c>
      <c r="C69" s="4" t="s">
        <v>207</v>
      </c>
      <c r="D69" s="3" t="s">
        <v>523</v>
      </c>
      <c r="E69" s="3" t="str">
        <f t="shared" si="4"/>
        <v>N/A</v>
      </c>
      <c r="F69" s="2" t="str">
        <f t="shared" si="0"/>
        <v>-</v>
      </c>
      <c r="G69" s="63"/>
    </row>
    <row r="70" spans="1:7" s="16" customFormat="1" ht="39.6" x14ac:dyDescent="0.25">
      <c r="A70" s="4" t="s">
        <v>526</v>
      </c>
      <c r="B70" s="4" t="s">
        <v>527</v>
      </c>
      <c r="C70" s="4" t="s">
        <v>165</v>
      </c>
      <c r="D70" s="18" t="str">
        <f>IF(AND(ISNUMBER('[2]Section D'!D70),'[2]Section D'!D70&gt;0),'[2]Section D'!D70,"Not Required")</f>
        <v>Not Required</v>
      </c>
      <c r="E70" s="3" t="str">
        <f t="shared" si="4"/>
        <v>N/A</v>
      </c>
      <c r="F70" s="2" t="str">
        <f t="shared" si="0"/>
        <v>-</v>
      </c>
      <c r="G70" s="28"/>
    </row>
    <row r="71" spans="1:7" s="16" customFormat="1" ht="52.8" x14ac:dyDescent="0.25">
      <c r="A71" s="4" t="s">
        <v>528</v>
      </c>
      <c r="B71" s="4" t="s">
        <v>1236</v>
      </c>
      <c r="C71" s="4" t="s">
        <v>165</v>
      </c>
      <c r="D71" s="3" t="s">
        <v>31</v>
      </c>
      <c r="E71" s="3" t="str">
        <f t="shared" si="4"/>
        <v>N/A</v>
      </c>
      <c r="F71" s="2" t="str">
        <f t="shared" si="0"/>
        <v>-</v>
      </c>
      <c r="G71" s="28"/>
    </row>
    <row r="72" spans="1:7" s="16" customFormat="1" ht="51.6" customHeight="1" x14ac:dyDescent="0.25">
      <c r="A72" s="4" t="s">
        <v>529</v>
      </c>
      <c r="B72" s="4" t="s">
        <v>1237</v>
      </c>
      <c r="C72" s="4" t="s">
        <v>207</v>
      </c>
      <c r="D72" s="18" t="str">
        <f>IF(AND(ISNUMBER('[2]Section D'!D72),'[2]Section D'!D72&gt;0),'[2]Section D'!D72,"Not Required")</f>
        <v>Not Required</v>
      </c>
      <c r="E72" s="3" t="str">
        <f t="shared" si="4"/>
        <v>N/A</v>
      </c>
      <c r="F72" s="2" t="str">
        <f t="shared" si="0"/>
        <v>-</v>
      </c>
      <c r="G72" s="28"/>
    </row>
    <row r="73" spans="1:7" s="16" customFormat="1" ht="26.4" x14ac:dyDescent="0.25">
      <c r="A73" s="4" t="s">
        <v>530</v>
      </c>
      <c r="B73" s="4" t="s">
        <v>531</v>
      </c>
      <c r="C73" s="4" t="s">
        <v>532</v>
      </c>
      <c r="D73" s="3" t="s">
        <v>31</v>
      </c>
      <c r="E73" s="3" t="str">
        <f t="shared" si="4"/>
        <v>N/A</v>
      </c>
      <c r="F73" s="2" t="str">
        <f t="shared" si="0"/>
        <v>-</v>
      </c>
      <c r="G73" s="28"/>
    </row>
    <row r="74" spans="1:7" s="16" customFormat="1" ht="52.8" x14ac:dyDescent="0.25">
      <c r="A74" s="4" t="s">
        <v>533</v>
      </c>
      <c r="B74" s="4" t="s">
        <v>534</v>
      </c>
      <c r="C74" s="4" t="s">
        <v>165</v>
      </c>
      <c r="D74" s="3" t="s">
        <v>535</v>
      </c>
      <c r="E74" s="3" t="str">
        <f t="shared" si="4"/>
        <v>N/A</v>
      </c>
      <c r="F74" s="2" t="str">
        <f t="shared" si="0"/>
        <v>-</v>
      </c>
      <c r="G74" s="28"/>
    </row>
    <row r="75" spans="1:7" ht="12.75" customHeight="1" x14ac:dyDescent="0.25">
      <c r="B75" s="74" t="s">
        <v>536</v>
      </c>
      <c r="C75" s="75"/>
      <c r="D75" s="75"/>
      <c r="E75" s="76"/>
      <c r="F75" s="12" t="e">
        <f>SUM(F11:F74)</f>
        <v>#VALUE!</v>
      </c>
    </row>
  </sheetData>
  <pageMargins left="0.7" right="0.7" top="0.75" bottom="0.75" header="0.3" footer="0.3"/>
  <ignoredErrors>
    <ignoredError sqref="F31"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7EF1D-7E29-45E8-B883-ABB2EED84758}">
  <dimension ref="A7:G33"/>
  <sheetViews>
    <sheetView tabSelected="1" topLeftCell="A14" workbookViewId="0">
      <selection activeCell="C16" sqref="C16:C20"/>
    </sheetView>
  </sheetViews>
  <sheetFormatPr defaultColWidth="9.21875" defaultRowHeight="13.2" x14ac:dyDescent="0.25"/>
  <cols>
    <col min="1" max="1" width="9.21875" style="8"/>
    <col min="2" max="2" width="35.77734375" style="8" customWidth="1"/>
    <col min="3" max="3" width="8" style="23" customWidth="1"/>
    <col min="4" max="4" width="11.44140625" style="23" customWidth="1"/>
    <col min="5" max="5" width="11.44140625" style="24" customWidth="1"/>
    <col min="6" max="6" width="11.44140625" style="25" customWidth="1"/>
    <col min="7" max="7" width="2.21875" style="23" customWidth="1"/>
    <col min="8" max="16384" width="9.21875" style="8"/>
  </cols>
  <sheetData>
    <row r="7" spans="1:7" x14ac:dyDescent="0.25">
      <c r="A7" s="6" t="s">
        <v>15</v>
      </c>
      <c r="B7" s="6" t="s">
        <v>16</v>
      </c>
      <c r="C7" s="6" t="s">
        <v>17</v>
      </c>
      <c r="D7" s="6" t="s">
        <v>0</v>
      </c>
      <c r="E7" s="7" t="s">
        <v>1</v>
      </c>
      <c r="F7" s="1" t="s">
        <v>18</v>
      </c>
      <c r="G7" s="26"/>
    </row>
    <row r="8" spans="1:7" x14ac:dyDescent="0.25">
      <c r="A8" s="35"/>
      <c r="B8" s="35"/>
      <c r="C8" s="36"/>
      <c r="D8" s="36"/>
      <c r="E8" s="67" t="s">
        <v>19</v>
      </c>
      <c r="F8" s="37" t="s">
        <v>19</v>
      </c>
    </row>
    <row r="9" spans="1:7" s="16" customFormat="1" ht="26.4" x14ac:dyDescent="0.25">
      <c r="A9" s="13" t="s">
        <v>537</v>
      </c>
      <c r="B9" s="13" t="s">
        <v>538</v>
      </c>
      <c r="C9" s="13"/>
      <c r="D9" s="69"/>
      <c r="E9" s="80"/>
      <c r="F9" s="77"/>
      <c r="G9" s="78"/>
    </row>
    <row r="10" spans="1:7" s="16" customFormat="1" x14ac:dyDescent="0.25">
      <c r="A10" s="70"/>
      <c r="B10" s="81" t="s">
        <v>539</v>
      </c>
      <c r="C10" s="72"/>
      <c r="D10" s="72"/>
      <c r="E10" s="73"/>
      <c r="F10" s="77"/>
      <c r="G10" s="79"/>
    </row>
    <row r="11" spans="1:7" s="16" customFormat="1" ht="26.4" x14ac:dyDescent="0.25">
      <c r="A11" s="4" t="s">
        <v>540</v>
      </c>
      <c r="B11" s="4" t="s">
        <v>541</v>
      </c>
      <c r="C11" s="3" t="s">
        <v>74</v>
      </c>
      <c r="D11" s="3" t="s">
        <v>31</v>
      </c>
      <c r="E11" s="3" t="str">
        <f>IF(ISNUMBER(D11),"","N/A")</f>
        <v>N/A</v>
      </c>
      <c r="F11" s="2" t="str">
        <f>IF(AND(ISNUMBER(D11),D11&gt;0),D11*E11,"-")</f>
        <v>-</v>
      </c>
      <c r="G11" s="28"/>
    </row>
    <row r="12" spans="1:7" s="16" customFormat="1" ht="28.8" x14ac:dyDescent="0.25">
      <c r="A12" s="4" t="s">
        <v>542</v>
      </c>
      <c r="B12" s="4" t="s">
        <v>543</v>
      </c>
      <c r="C12" s="3" t="s">
        <v>74</v>
      </c>
      <c r="D12" s="44" t="str">
        <f>IF(AND(ISNUMBER('[2]Section E'!D12),'[2]Section E'!D12&gt;0),'[2]Section E'!D12,"Not Required")</f>
        <v>Not Required</v>
      </c>
      <c r="E12" s="3" t="str">
        <f>IF(ISNUMBER(D12),"","N/A")</f>
        <v>N/A</v>
      </c>
      <c r="F12" s="2" t="str">
        <f>IF(AND(ISNUMBER(D12),D12&gt;0),D12*E12,"-")</f>
        <v>-</v>
      </c>
      <c r="G12" s="28"/>
    </row>
    <row r="13" spans="1:7" s="16" customFormat="1" ht="28.8" x14ac:dyDescent="0.25">
      <c r="A13" s="4" t="s">
        <v>544</v>
      </c>
      <c r="B13" s="4" t="s">
        <v>545</v>
      </c>
      <c r="C13" s="3" t="s">
        <v>74</v>
      </c>
      <c r="D13" s="44" t="str">
        <f>IF(AND(ISNUMBER('[2]Section E'!D13),'[2]Section E'!D13&gt;0),'[2]Section E'!D13,"Not Required")</f>
        <v>Not Required</v>
      </c>
      <c r="E13" s="3" t="str">
        <f t="shared" ref="E13:E23" si="0">IF(ISNUMBER(D13),"","N/A")</f>
        <v>N/A</v>
      </c>
      <c r="F13" s="2" t="str">
        <f t="shared" ref="F13:F30" si="1">IF(AND(ISNUMBER(D13),D13&gt;0),D13*E13,"-")</f>
        <v>-</v>
      </c>
      <c r="G13" s="28"/>
    </row>
    <row r="14" spans="1:7" s="16" customFormat="1" ht="28.8" x14ac:dyDescent="0.25">
      <c r="A14" s="4" t="s">
        <v>546</v>
      </c>
      <c r="B14" s="4" t="s">
        <v>547</v>
      </c>
      <c r="C14" s="3" t="s">
        <v>74</v>
      </c>
      <c r="D14" s="44" t="str">
        <f>IF(AND(ISNUMBER('[2]Section E'!D14),'[2]Section E'!D14&gt;0),'[2]Section E'!D14,"Not Required")</f>
        <v>Not Required</v>
      </c>
      <c r="E14" s="3" t="str">
        <f t="shared" si="0"/>
        <v>N/A</v>
      </c>
      <c r="F14" s="2" t="str">
        <f t="shared" si="1"/>
        <v>-</v>
      </c>
      <c r="G14" s="28"/>
    </row>
    <row r="15" spans="1:7" s="16" customFormat="1" ht="28.8" x14ac:dyDescent="0.25">
      <c r="A15" s="4" t="s">
        <v>548</v>
      </c>
      <c r="B15" s="4" t="s">
        <v>549</v>
      </c>
      <c r="C15" s="3" t="s">
        <v>74</v>
      </c>
      <c r="D15" s="44" t="str">
        <f>IF(AND(ISNUMBER('[2]Section E'!D15),'[2]Section E'!D15&gt;0),'[2]Section E'!D15,"Not Required")</f>
        <v>Not Required</v>
      </c>
      <c r="E15" s="3" t="str">
        <f t="shared" ref="E15:E20" si="2">IF(ISNUMBER(D15),"","N/A")</f>
        <v>N/A</v>
      </c>
      <c r="F15" s="2" t="str">
        <f t="shared" ref="F15:F20" si="3">IF(AND(ISNUMBER(D15),D15&gt;0),D15*E15,"-")</f>
        <v>-</v>
      </c>
      <c r="G15" s="28"/>
    </row>
    <row r="16" spans="1:7" s="16" customFormat="1" ht="28.8" x14ac:dyDescent="0.25">
      <c r="A16" s="4" t="s">
        <v>550</v>
      </c>
      <c r="B16" s="4" t="s">
        <v>551</v>
      </c>
      <c r="C16" s="3" t="s">
        <v>74</v>
      </c>
      <c r="D16" s="44" t="str">
        <f>IF(AND(ISNUMBER('[2]Section E'!D16),'[2]Section E'!D16&gt;0),'[2]Section E'!D16,"Not Required")</f>
        <v>Not Required</v>
      </c>
      <c r="E16" s="3" t="str">
        <f t="shared" si="2"/>
        <v>N/A</v>
      </c>
      <c r="F16" s="2" t="str">
        <f t="shared" si="3"/>
        <v>-</v>
      </c>
      <c r="G16" s="28"/>
    </row>
    <row r="17" spans="1:7" s="16" customFormat="1" ht="26.4" x14ac:dyDescent="0.25">
      <c r="A17" s="4" t="s">
        <v>552</v>
      </c>
      <c r="B17" s="4" t="s">
        <v>553</v>
      </c>
      <c r="C17" s="3" t="s">
        <v>74</v>
      </c>
      <c r="D17" s="3" t="s">
        <v>31</v>
      </c>
      <c r="E17" s="3" t="str">
        <f t="shared" si="2"/>
        <v>N/A</v>
      </c>
      <c r="F17" s="2" t="str">
        <f t="shared" si="3"/>
        <v>-</v>
      </c>
      <c r="G17" s="28"/>
    </row>
    <row r="18" spans="1:7" s="16" customFormat="1" ht="28.8" x14ac:dyDescent="0.25">
      <c r="A18" s="4" t="s">
        <v>554</v>
      </c>
      <c r="B18" s="4" t="s">
        <v>555</v>
      </c>
      <c r="C18" s="3" t="s">
        <v>74</v>
      </c>
      <c r="D18" s="44" t="str">
        <f>IF(AND(ISNUMBER('[2]Section E'!D18),'[2]Section E'!D18&gt;0),'[2]Section E'!D18,"Not Required")</f>
        <v>Not Required</v>
      </c>
      <c r="E18" s="3" t="str">
        <f t="shared" si="2"/>
        <v>N/A</v>
      </c>
      <c r="F18" s="2" t="str">
        <f t="shared" si="3"/>
        <v>-</v>
      </c>
      <c r="G18" s="28"/>
    </row>
    <row r="19" spans="1:7" s="16" customFormat="1" ht="28.8" x14ac:dyDescent="0.25">
      <c r="A19" s="4" t="s">
        <v>556</v>
      </c>
      <c r="B19" s="4" t="s">
        <v>557</v>
      </c>
      <c r="C19" s="3" t="s">
        <v>74</v>
      </c>
      <c r="D19" s="44" t="str">
        <f>IF(AND(ISNUMBER('[2]Section E'!D19),'[2]Section E'!D19&gt;0),'[2]Section E'!D19,"Not Required")</f>
        <v>Not Required</v>
      </c>
      <c r="E19" s="3" t="str">
        <f t="shared" si="2"/>
        <v>N/A</v>
      </c>
      <c r="F19" s="2" t="str">
        <f t="shared" si="3"/>
        <v>-</v>
      </c>
      <c r="G19" s="28"/>
    </row>
    <row r="20" spans="1:7" s="16" customFormat="1" ht="26.4" x14ac:dyDescent="0.25">
      <c r="A20" s="4" t="s">
        <v>558</v>
      </c>
      <c r="B20" s="4" t="s">
        <v>559</v>
      </c>
      <c r="C20" s="3" t="s">
        <v>74</v>
      </c>
      <c r="D20" s="3" t="s">
        <v>31</v>
      </c>
      <c r="E20" s="3" t="str">
        <f t="shared" si="2"/>
        <v>N/A</v>
      </c>
      <c r="F20" s="2" t="str">
        <f t="shared" si="3"/>
        <v>-</v>
      </c>
      <c r="G20" s="28"/>
    </row>
    <row r="21" spans="1:7" s="16" customFormat="1" ht="26.4" x14ac:dyDescent="0.25">
      <c r="A21" s="4" t="s">
        <v>560</v>
      </c>
      <c r="B21" s="4" t="s">
        <v>561</v>
      </c>
      <c r="C21" s="3" t="s">
        <v>74</v>
      </c>
      <c r="D21" s="3" t="s">
        <v>31</v>
      </c>
      <c r="E21" s="3" t="str">
        <f t="shared" si="0"/>
        <v>N/A</v>
      </c>
      <c r="F21" s="2" t="str">
        <f t="shared" si="1"/>
        <v>-</v>
      </c>
      <c r="G21" s="28"/>
    </row>
    <row r="22" spans="1:7" s="16" customFormat="1" ht="26.4" x14ac:dyDescent="0.25">
      <c r="A22" s="4" t="s">
        <v>562</v>
      </c>
      <c r="B22" s="4" t="s">
        <v>563</v>
      </c>
      <c r="C22" s="3" t="s">
        <v>74</v>
      </c>
      <c r="D22" s="3" t="s">
        <v>31</v>
      </c>
      <c r="E22" s="3" t="str">
        <f t="shared" si="0"/>
        <v>N/A</v>
      </c>
      <c r="F22" s="2" t="str">
        <f t="shared" si="1"/>
        <v>-</v>
      </c>
      <c r="G22" s="28"/>
    </row>
    <row r="23" spans="1:7" s="16" customFormat="1" ht="26.4" x14ac:dyDescent="0.25">
      <c r="A23" s="4" t="s">
        <v>564</v>
      </c>
      <c r="B23" s="4" t="s">
        <v>565</v>
      </c>
      <c r="C23" s="3" t="s">
        <v>74</v>
      </c>
      <c r="D23" s="3" t="s">
        <v>31</v>
      </c>
      <c r="E23" s="3" t="str">
        <f t="shared" si="0"/>
        <v>N/A</v>
      </c>
      <c r="F23" s="2" t="str">
        <f t="shared" si="1"/>
        <v>-</v>
      </c>
      <c r="G23" s="28"/>
    </row>
    <row r="24" spans="1:7" s="16" customFormat="1" ht="26.4" x14ac:dyDescent="0.25">
      <c r="A24" s="4"/>
      <c r="B24" s="54" t="s">
        <v>566</v>
      </c>
      <c r="C24" s="3"/>
      <c r="D24" s="4"/>
      <c r="E24" s="82"/>
      <c r="F24" s="2"/>
      <c r="G24" s="28"/>
    </row>
    <row r="25" spans="1:7" s="16" customFormat="1" ht="28.8" x14ac:dyDescent="0.25">
      <c r="A25" s="4" t="s">
        <v>567</v>
      </c>
      <c r="B25" s="4" t="s">
        <v>568</v>
      </c>
      <c r="C25" s="3" t="s">
        <v>74</v>
      </c>
      <c r="D25" s="138" t="e">
        <f>IF(AND(ISNUMBER('[2]Section E'!$D$25),'[2]Section E'!$D$25&gt;0),'[2]Section E'!$D$25,"Not Required")</f>
        <v>#VALUE!</v>
      </c>
      <c r="E25" s="3" t="str">
        <f t="shared" ref="E25:E30" si="4">IF(ISNUMBER(D25),"","N/A")</f>
        <v>N/A</v>
      </c>
      <c r="F25" s="2" t="e">
        <f t="shared" si="1"/>
        <v>#VALUE!</v>
      </c>
      <c r="G25" s="28"/>
    </row>
    <row r="26" spans="1:7" s="16" customFormat="1" ht="26.4" x14ac:dyDescent="0.25">
      <c r="A26" s="4" t="s">
        <v>569</v>
      </c>
      <c r="B26" s="4" t="s">
        <v>570</v>
      </c>
      <c r="C26" s="3" t="s">
        <v>74</v>
      </c>
      <c r="D26" s="3" t="s">
        <v>31</v>
      </c>
      <c r="E26" s="3" t="str">
        <f t="shared" si="4"/>
        <v>N/A</v>
      </c>
      <c r="F26" s="2" t="str">
        <f t="shared" si="1"/>
        <v>-</v>
      </c>
      <c r="G26" s="28"/>
    </row>
    <row r="27" spans="1:7" s="16" customFormat="1" ht="26.4" x14ac:dyDescent="0.25">
      <c r="A27" s="4" t="s">
        <v>571</v>
      </c>
      <c r="B27" s="4" t="s">
        <v>572</v>
      </c>
      <c r="C27" s="3" t="s">
        <v>74</v>
      </c>
      <c r="D27" s="3" t="s">
        <v>31</v>
      </c>
      <c r="E27" s="3" t="str">
        <f t="shared" si="4"/>
        <v>N/A</v>
      </c>
      <c r="F27" s="2" t="str">
        <f t="shared" si="1"/>
        <v>-</v>
      </c>
      <c r="G27" s="28"/>
    </row>
    <row r="28" spans="1:7" s="16" customFormat="1" ht="26.4" x14ac:dyDescent="0.25">
      <c r="A28" s="4" t="s">
        <v>573</v>
      </c>
      <c r="B28" s="4" t="s">
        <v>574</v>
      </c>
      <c r="C28" s="3" t="s">
        <v>74</v>
      </c>
      <c r="D28" s="3" t="s">
        <v>575</v>
      </c>
      <c r="E28" s="3" t="str">
        <f t="shared" si="4"/>
        <v>N/A</v>
      </c>
      <c r="F28" s="2" t="str">
        <f t="shared" si="1"/>
        <v>-</v>
      </c>
      <c r="G28" s="28"/>
    </row>
    <row r="29" spans="1:7" s="16" customFormat="1" ht="28.8" x14ac:dyDescent="0.25">
      <c r="A29" s="4" t="s">
        <v>576</v>
      </c>
      <c r="B29" s="4" t="s">
        <v>577</v>
      </c>
      <c r="C29" s="3" t="s">
        <v>74</v>
      </c>
      <c r="D29" s="138" t="e">
        <f>IF(AND(ISNUMBER('[2]Section E'!$D$29),'[2]Section E'!$D$29&gt;0),'[2]Section E'!$D$29,"Not Required")</f>
        <v>#VALUE!</v>
      </c>
      <c r="E29" s="3" t="str">
        <f t="shared" si="4"/>
        <v>N/A</v>
      </c>
      <c r="F29" s="2" t="e">
        <f t="shared" si="1"/>
        <v>#VALUE!</v>
      </c>
      <c r="G29" s="28"/>
    </row>
    <row r="30" spans="1:7" s="16" customFormat="1" ht="39.6" x14ac:dyDescent="0.25">
      <c r="A30" s="4" t="s">
        <v>578</v>
      </c>
      <c r="B30" s="4" t="s">
        <v>579</v>
      </c>
      <c r="C30" s="3" t="s">
        <v>74</v>
      </c>
      <c r="D30" s="3" t="s">
        <v>575</v>
      </c>
      <c r="E30" s="3" t="str">
        <f t="shared" si="4"/>
        <v>N/A</v>
      </c>
      <c r="F30" s="2" t="str">
        <f t="shared" si="1"/>
        <v>-</v>
      </c>
      <c r="G30" s="28"/>
    </row>
    <row r="31" spans="1:7" s="16" customFormat="1" x14ac:dyDescent="0.25">
      <c r="A31" s="4"/>
      <c r="B31" s="4"/>
      <c r="C31" s="3"/>
      <c r="D31" s="3"/>
      <c r="E31" s="17"/>
      <c r="F31" s="2"/>
      <c r="G31" s="28"/>
    </row>
    <row r="32" spans="1:7" s="16" customFormat="1" ht="26.4" x14ac:dyDescent="0.25">
      <c r="A32" s="4"/>
      <c r="B32" s="4" t="s">
        <v>580</v>
      </c>
      <c r="C32" s="3"/>
      <c r="D32" s="3"/>
      <c r="E32" s="17"/>
      <c r="F32" s="2"/>
      <c r="G32" s="28"/>
    </row>
    <row r="33" spans="2:6" ht="12.75" customHeight="1" x14ac:dyDescent="0.25">
      <c r="B33" s="74" t="s">
        <v>581</v>
      </c>
      <c r="C33" s="75"/>
      <c r="D33" s="75"/>
      <c r="E33" s="76"/>
      <c r="F33" s="12" t="e">
        <f>SUM(F11:F30)</f>
        <v>#VALUE!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2D7D-996F-4BE8-809E-F71640CE4918}">
  <dimension ref="A7:H34"/>
  <sheetViews>
    <sheetView topLeftCell="A17" workbookViewId="0">
      <selection activeCell="D34" sqref="D34"/>
    </sheetView>
  </sheetViews>
  <sheetFormatPr defaultColWidth="9.21875" defaultRowHeight="13.2" x14ac:dyDescent="0.25"/>
  <cols>
    <col min="1" max="1" width="9.21875" style="8"/>
    <col min="2" max="2" width="35.77734375" style="8" customWidth="1"/>
    <col min="3" max="3" width="7.77734375" style="23" customWidth="1"/>
    <col min="4" max="5" width="11.44140625" style="23" customWidth="1"/>
    <col min="6" max="6" width="11.44140625" style="25" customWidth="1"/>
    <col min="7" max="16384" width="9.21875" style="8"/>
  </cols>
  <sheetData>
    <row r="7" spans="1:8" x14ac:dyDescent="0.25">
      <c r="A7" s="6" t="s">
        <v>15</v>
      </c>
      <c r="B7" s="6" t="s">
        <v>16</v>
      </c>
      <c r="C7" s="6" t="s">
        <v>17</v>
      </c>
      <c r="D7" s="6" t="s">
        <v>0</v>
      </c>
      <c r="E7" s="6" t="s">
        <v>1</v>
      </c>
      <c r="F7" s="1" t="s">
        <v>18</v>
      </c>
    </row>
    <row r="8" spans="1:8" x14ac:dyDescent="0.25">
      <c r="A8" s="35"/>
      <c r="B8" s="35"/>
      <c r="C8" s="36"/>
      <c r="D8" s="36"/>
      <c r="E8" s="36" t="s">
        <v>19</v>
      </c>
      <c r="F8" s="37" t="s">
        <v>19</v>
      </c>
    </row>
    <row r="9" spans="1:8" s="16" customFormat="1" x14ac:dyDescent="0.25">
      <c r="A9" s="13" t="s">
        <v>582</v>
      </c>
      <c r="B9" s="13" t="s">
        <v>583</v>
      </c>
      <c r="C9" s="83"/>
      <c r="D9" s="83"/>
      <c r="E9" s="83"/>
      <c r="F9" s="31"/>
    </row>
    <row r="10" spans="1:8" s="16" customFormat="1" x14ac:dyDescent="0.25">
      <c r="A10" s="4"/>
      <c r="B10" s="54" t="s">
        <v>584</v>
      </c>
      <c r="C10" s="3"/>
      <c r="D10" s="3"/>
      <c r="E10" s="3"/>
      <c r="F10" s="31"/>
    </row>
    <row r="11" spans="1:8" s="16" customFormat="1" ht="28.8" x14ac:dyDescent="0.25">
      <c r="A11" s="4" t="s">
        <v>585</v>
      </c>
      <c r="B11" s="4" t="s">
        <v>586</v>
      </c>
      <c r="C11" s="3" t="s">
        <v>74</v>
      </c>
      <c r="D11" s="18" t="str">
        <f>IF(AND(ISNUMBER('[2]Section F'!D11),'[2]Section F'!D11&gt;0),'[2]Section F'!D11,"Not Required")</f>
        <v>Not Required</v>
      </c>
      <c r="E11" s="3" t="str">
        <f>IF(ISNUMBER(D11),"","N/A")</f>
        <v>N/A</v>
      </c>
      <c r="F11" s="2" t="str">
        <f>IF(AND(ISNUMBER(D11),D11&gt;0),D11*E11,"-")</f>
        <v>-</v>
      </c>
    </row>
    <row r="12" spans="1:8" s="16" customFormat="1" ht="28.8" x14ac:dyDescent="0.25">
      <c r="A12" s="4" t="s">
        <v>587</v>
      </c>
      <c r="B12" s="4" t="s">
        <v>588</v>
      </c>
      <c r="C12" s="3" t="s">
        <v>74</v>
      </c>
      <c r="D12" s="18" t="e">
        <f>IF(AND(ISNUMBER('[2]Section F'!D12),'[2]Section F'!D12&gt;0),'[2]Section F'!D12,"Not Required")</f>
        <v>#VALUE!</v>
      </c>
      <c r="E12" s="3" t="str">
        <f t="shared" ref="E12:E17" si="0">IF(ISNUMBER(D12),"","N/A")</f>
        <v>N/A</v>
      </c>
      <c r="F12" s="2" t="e">
        <f t="shared" ref="F12:F33" si="1">IF(AND(ISNUMBER(D12),D12&gt;0),D12*E12,"-")</f>
        <v>#VALUE!</v>
      </c>
    </row>
    <row r="13" spans="1:8" s="16" customFormat="1" ht="28.8" x14ac:dyDescent="0.25">
      <c r="A13" s="4" t="s">
        <v>589</v>
      </c>
      <c r="B13" s="4" t="s">
        <v>590</v>
      </c>
      <c r="C13" s="3" t="s">
        <v>168</v>
      </c>
      <c r="D13" s="18" t="str">
        <f>IF(AND(ISNUMBER('[2]Section F'!D13),'[2]Section F'!D13&gt;0),'[2]Section F'!D13,"Not Required")</f>
        <v>Not Required</v>
      </c>
      <c r="E13" s="3" t="str">
        <f t="shared" si="0"/>
        <v>N/A</v>
      </c>
      <c r="F13" s="2" t="str">
        <f t="shared" si="1"/>
        <v>-</v>
      </c>
    </row>
    <row r="14" spans="1:8" s="16" customFormat="1" ht="28.8" x14ac:dyDescent="0.25">
      <c r="A14" s="4" t="s">
        <v>591</v>
      </c>
      <c r="B14" s="4" t="s">
        <v>592</v>
      </c>
      <c r="C14" s="3" t="s">
        <v>168</v>
      </c>
      <c r="D14" s="18" t="str">
        <f>IF(AND(ISNUMBER('[2]Section F'!D14),'[2]Section F'!D14&gt;0),'[2]Section F'!D14,"Not Required")</f>
        <v>Not Required</v>
      </c>
      <c r="E14" s="3" t="str">
        <f t="shared" si="0"/>
        <v>N/A</v>
      </c>
      <c r="F14" s="2" t="str">
        <f t="shared" si="1"/>
        <v>-</v>
      </c>
    </row>
    <row r="15" spans="1:8" s="16" customFormat="1" ht="28.8" x14ac:dyDescent="0.25">
      <c r="A15" s="4" t="s">
        <v>593</v>
      </c>
      <c r="B15" s="4" t="s">
        <v>594</v>
      </c>
      <c r="C15" s="3" t="s">
        <v>168</v>
      </c>
      <c r="D15" s="18" t="str">
        <f>IF(AND(ISNUMBER('[2]Section F'!D15),'[2]Section F'!D15&gt;0),'[2]Section F'!D15,"Not Required")</f>
        <v>Not Required</v>
      </c>
      <c r="E15" s="3" t="str">
        <f t="shared" si="0"/>
        <v>N/A</v>
      </c>
      <c r="F15" s="2" t="str">
        <f t="shared" si="1"/>
        <v>-</v>
      </c>
    </row>
    <row r="16" spans="1:8" s="16" customFormat="1" ht="28.8" x14ac:dyDescent="0.25">
      <c r="A16" s="4" t="s">
        <v>595</v>
      </c>
      <c r="B16" s="4" t="s">
        <v>596</v>
      </c>
      <c r="C16" s="3" t="s">
        <v>178</v>
      </c>
      <c r="D16" s="18" t="str">
        <f>IF(AND(ISNUMBER('[2]Section F'!D16),'[2]Section F'!D16&gt;0),'[2]Section F'!D16,"Not Required")</f>
        <v>Not Required</v>
      </c>
      <c r="E16" s="3" t="str">
        <f t="shared" si="0"/>
        <v>N/A</v>
      </c>
      <c r="F16" s="2" t="str">
        <f t="shared" si="1"/>
        <v>-</v>
      </c>
      <c r="H16" s="28"/>
    </row>
    <row r="17" spans="1:6" s="16" customFormat="1" ht="52.8" x14ac:dyDescent="0.25">
      <c r="A17" s="4" t="s">
        <v>597</v>
      </c>
      <c r="B17" s="4" t="s">
        <v>598</v>
      </c>
      <c r="C17" s="3" t="s">
        <v>231</v>
      </c>
      <c r="D17" s="3" t="s">
        <v>31</v>
      </c>
      <c r="E17" s="3" t="str">
        <f t="shared" si="0"/>
        <v>N/A</v>
      </c>
      <c r="F17" s="2" t="str">
        <f t="shared" si="1"/>
        <v>-</v>
      </c>
    </row>
    <row r="18" spans="1:6" s="16" customFormat="1" x14ac:dyDescent="0.25">
      <c r="A18" s="4"/>
      <c r="B18" s="30" t="s">
        <v>599</v>
      </c>
      <c r="C18" s="3"/>
      <c r="E18" s="3"/>
      <c r="F18" s="2"/>
    </row>
    <row r="19" spans="1:6" s="16" customFormat="1" ht="28.8" x14ac:dyDescent="0.25">
      <c r="A19" s="4" t="s">
        <v>600</v>
      </c>
      <c r="B19" s="4" t="s">
        <v>601</v>
      </c>
      <c r="C19" s="3" t="s">
        <v>74</v>
      </c>
      <c r="D19" s="18" t="str">
        <f>IF(AND(ISNUMBER('[2]Section F'!D19),'[2]Section F'!D19&gt;0),'[2]Section F'!D19,"Not Required")</f>
        <v>Not Required</v>
      </c>
      <c r="E19" s="3" t="str">
        <f>IF(ISNUMBER(D19),"","N/A")</f>
        <v>N/A</v>
      </c>
      <c r="F19" s="2" t="str">
        <f t="shared" si="1"/>
        <v>-</v>
      </c>
    </row>
    <row r="20" spans="1:6" s="16" customFormat="1" ht="28.8" x14ac:dyDescent="0.25">
      <c r="A20" s="4" t="s">
        <v>602</v>
      </c>
      <c r="B20" s="4" t="s">
        <v>603</v>
      </c>
      <c r="C20" s="3" t="s">
        <v>74</v>
      </c>
      <c r="D20" s="18" t="e">
        <f>IF(AND(ISNUMBER('[2]Section F'!D20),'[2]Section F'!D20&gt;0),'[2]Section F'!D20,"Not Required")</f>
        <v>#VALUE!</v>
      </c>
      <c r="E20" s="3" t="str">
        <f t="shared" ref="E20:E28" si="2">IF(ISNUMBER(D20),"","N/A")</f>
        <v>N/A</v>
      </c>
      <c r="F20" s="2" t="e">
        <f t="shared" si="1"/>
        <v>#VALUE!</v>
      </c>
    </row>
    <row r="21" spans="1:6" s="16" customFormat="1" ht="52.8" x14ac:dyDescent="0.25">
      <c r="A21" s="4" t="s">
        <v>604</v>
      </c>
      <c r="B21" s="4" t="s">
        <v>605</v>
      </c>
      <c r="C21" s="3" t="s">
        <v>168</v>
      </c>
      <c r="D21" s="18" t="str">
        <f>IF(AND(ISNUMBER('[2]Section F'!D21),'[2]Section F'!D21&gt;0),'[2]Section F'!D21,"Not Required")</f>
        <v>Not Required</v>
      </c>
      <c r="E21" s="3" t="str">
        <f t="shared" si="2"/>
        <v>N/A</v>
      </c>
      <c r="F21" s="2" t="str">
        <f t="shared" si="1"/>
        <v>-</v>
      </c>
    </row>
    <row r="22" spans="1:6" s="16" customFormat="1" ht="28.8" x14ac:dyDescent="0.25">
      <c r="A22" s="4" t="s">
        <v>606</v>
      </c>
      <c r="B22" s="4" t="s">
        <v>607</v>
      </c>
      <c r="C22" s="3" t="s">
        <v>168</v>
      </c>
      <c r="D22" s="18" t="str">
        <f>IF(AND(ISNUMBER('[2]Section F'!D22),'[2]Section F'!D22&gt;0),'[2]Section F'!D22,"Not Required")</f>
        <v>Not Required</v>
      </c>
      <c r="E22" s="3" t="str">
        <f t="shared" si="2"/>
        <v>N/A</v>
      </c>
      <c r="F22" s="2" t="str">
        <f t="shared" si="1"/>
        <v>-</v>
      </c>
    </row>
    <row r="23" spans="1:6" s="16" customFormat="1" ht="28.8" x14ac:dyDescent="0.25">
      <c r="A23" s="4" t="s">
        <v>608</v>
      </c>
      <c r="B23" s="4" t="s">
        <v>609</v>
      </c>
      <c r="C23" s="3" t="s">
        <v>168</v>
      </c>
      <c r="D23" s="18" t="str">
        <f>IF(AND(ISNUMBER('[2]Section F'!D23),'[2]Section F'!D23&gt;0),'[2]Section F'!D23,"Not Required")</f>
        <v>Not Required</v>
      </c>
      <c r="E23" s="3" t="str">
        <f t="shared" si="2"/>
        <v>N/A</v>
      </c>
      <c r="F23" s="2" t="str">
        <f t="shared" si="1"/>
        <v>-</v>
      </c>
    </row>
    <row r="24" spans="1:6" s="16" customFormat="1" ht="28.8" x14ac:dyDescent="0.25">
      <c r="A24" s="4" t="s">
        <v>610</v>
      </c>
      <c r="B24" s="4" t="s">
        <v>611</v>
      </c>
      <c r="C24" s="3" t="s">
        <v>168</v>
      </c>
      <c r="D24" s="18" t="str">
        <f>IF(AND(ISNUMBER('[2]Section F'!D24),'[2]Section F'!D24&gt;0),'[2]Section F'!D24,"Not Required")</f>
        <v>Not Required</v>
      </c>
      <c r="E24" s="3" t="str">
        <f t="shared" si="2"/>
        <v>N/A</v>
      </c>
      <c r="F24" s="2" t="str">
        <f t="shared" si="1"/>
        <v>-</v>
      </c>
    </row>
    <row r="25" spans="1:6" s="16" customFormat="1" ht="26.4" x14ac:dyDescent="0.25">
      <c r="A25" s="4" t="s">
        <v>612</v>
      </c>
      <c r="B25" s="4" t="s">
        <v>613</v>
      </c>
      <c r="C25" s="3" t="s">
        <v>168</v>
      </c>
      <c r="D25" s="3" t="s">
        <v>31</v>
      </c>
      <c r="E25" s="3" t="str">
        <f t="shared" si="2"/>
        <v>N/A</v>
      </c>
      <c r="F25" s="2" t="str">
        <f t="shared" si="1"/>
        <v>-</v>
      </c>
    </row>
    <row r="26" spans="1:6" s="16" customFormat="1" ht="26.4" x14ac:dyDescent="0.25">
      <c r="A26" s="4" t="s">
        <v>614</v>
      </c>
      <c r="B26" s="4" t="s">
        <v>615</v>
      </c>
      <c r="C26" s="3" t="s">
        <v>168</v>
      </c>
      <c r="D26" s="3" t="s">
        <v>31</v>
      </c>
      <c r="E26" s="3" t="str">
        <f t="shared" si="2"/>
        <v>N/A</v>
      </c>
      <c r="F26" s="2" t="str">
        <f t="shared" si="1"/>
        <v>-</v>
      </c>
    </row>
    <row r="27" spans="1:6" s="16" customFormat="1" ht="26.4" x14ac:dyDescent="0.25">
      <c r="A27" s="4" t="s">
        <v>616</v>
      </c>
      <c r="B27" s="4" t="s">
        <v>617</v>
      </c>
      <c r="C27" s="3" t="s">
        <v>74</v>
      </c>
      <c r="D27" s="3" t="s">
        <v>31</v>
      </c>
      <c r="E27" s="3" t="str">
        <f t="shared" si="2"/>
        <v>N/A</v>
      </c>
      <c r="F27" s="2" t="str">
        <f t="shared" si="1"/>
        <v>-</v>
      </c>
    </row>
    <row r="28" spans="1:6" s="16" customFormat="1" ht="26.4" x14ac:dyDescent="0.25">
      <c r="A28" s="4" t="s">
        <v>618</v>
      </c>
      <c r="B28" s="4" t="s">
        <v>619</v>
      </c>
      <c r="C28" s="3" t="s">
        <v>178</v>
      </c>
      <c r="D28" s="3" t="s">
        <v>31</v>
      </c>
      <c r="E28" s="3" t="str">
        <f t="shared" si="2"/>
        <v>N/A</v>
      </c>
      <c r="F28" s="2" t="str">
        <f t="shared" si="1"/>
        <v>-</v>
      </c>
    </row>
    <row r="29" spans="1:6" s="16" customFormat="1" ht="28.8" x14ac:dyDescent="0.25">
      <c r="A29" s="4" t="s">
        <v>620</v>
      </c>
      <c r="B29" s="4" t="s">
        <v>621</v>
      </c>
      <c r="C29" s="3" t="s">
        <v>178</v>
      </c>
      <c r="D29" s="138" t="str">
        <f>IF(AND(ISNUMBER('[2]Section F'!$D$29),'[2]Section F'!$D$29&gt;0),'[2]Section F'!$D$29,"Not Required")</f>
        <v>Not Required</v>
      </c>
      <c r="E29" s="3" t="str">
        <f>IF(ISNUMBER(D29),"","N/A")</f>
        <v>N/A</v>
      </c>
      <c r="F29" s="2" t="str">
        <f t="shared" si="1"/>
        <v>-</v>
      </c>
    </row>
    <row r="30" spans="1:6" s="16" customFormat="1" ht="26.4" x14ac:dyDescent="0.25">
      <c r="A30" s="4" t="s">
        <v>622</v>
      </c>
      <c r="B30" s="4" t="s">
        <v>623</v>
      </c>
      <c r="C30" s="3" t="s">
        <v>168</v>
      </c>
      <c r="D30" s="3" t="s">
        <v>31</v>
      </c>
      <c r="E30" s="3" t="str">
        <f>IF(ISNUMBER(D30),"","N/A")</f>
        <v>N/A</v>
      </c>
      <c r="F30" s="2" t="str">
        <f t="shared" si="1"/>
        <v>-</v>
      </c>
    </row>
    <row r="31" spans="1:6" s="16" customFormat="1" ht="26.4" x14ac:dyDescent="0.25">
      <c r="A31" s="4" t="s">
        <v>624</v>
      </c>
      <c r="B31" s="4" t="s">
        <v>625</v>
      </c>
      <c r="C31" s="3" t="s">
        <v>74</v>
      </c>
      <c r="D31" s="3" t="s">
        <v>31</v>
      </c>
      <c r="E31" s="3" t="str">
        <f>IF(ISNUMBER(D31),"","N/A")</f>
        <v>N/A</v>
      </c>
      <c r="F31" s="2" t="str">
        <f t="shared" si="1"/>
        <v>-</v>
      </c>
    </row>
    <row r="32" spans="1:6" s="16" customFormat="1" ht="26.4" x14ac:dyDescent="0.25">
      <c r="A32" s="4" t="s">
        <v>626</v>
      </c>
      <c r="B32" s="4" t="s">
        <v>627</v>
      </c>
      <c r="C32" s="3" t="s">
        <v>74</v>
      </c>
      <c r="D32" s="3" t="s">
        <v>31</v>
      </c>
      <c r="E32" s="3" t="str">
        <f>IF(ISNUMBER(D32),"","N/A")</f>
        <v>N/A</v>
      </c>
      <c r="F32" s="2" t="str">
        <f t="shared" si="1"/>
        <v>-</v>
      </c>
    </row>
    <row r="33" spans="1:6" s="16" customFormat="1" ht="26.4" x14ac:dyDescent="0.25">
      <c r="A33" s="4" t="s">
        <v>628</v>
      </c>
      <c r="B33" s="4" t="s">
        <v>629</v>
      </c>
      <c r="C33" s="3" t="s">
        <v>178</v>
      </c>
      <c r="D33" s="3" t="s">
        <v>31</v>
      </c>
      <c r="E33" s="3" t="str">
        <f>IF(ISNUMBER(D33),"","N/A")</f>
        <v>N/A</v>
      </c>
      <c r="F33" s="2" t="str">
        <f t="shared" si="1"/>
        <v>-</v>
      </c>
    </row>
    <row r="34" spans="1:6" ht="12.75" customHeight="1" x14ac:dyDescent="0.25">
      <c r="A34" s="45"/>
      <c r="B34" s="46" t="s">
        <v>630</v>
      </c>
      <c r="C34" s="46"/>
      <c r="D34" s="46"/>
      <c r="E34" s="47"/>
      <c r="F34" s="12" t="e">
        <f>SUM(F11:F33)</f>
        <v>#VALUE!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2C1C-28B4-432E-A86A-19AE5BD26DCF}">
  <dimension ref="A7:F27"/>
  <sheetViews>
    <sheetView topLeftCell="B1" workbookViewId="0">
      <selection activeCell="F27" sqref="F27"/>
    </sheetView>
  </sheetViews>
  <sheetFormatPr defaultColWidth="9.21875" defaultRowHeight="13.2" x14ac:dyDescent="0.25"/>
  <cols>
    <col min="1" max="1" width="9.21875" style="8"/>
    <col min="2" max="2" width="35.77734375" style="8" customWidth="1"/>
    <col min="3" max="3" width="7" style="23" customWidth="1"/>
    <col min="4" max="4" width="13" style="23" customWidth="1"/>
    <col min="5" max="5" width="11.44140625" style="24" customWidth="1"/>
    <col min="6" max="6" width="11.44140625" style="25" customWidth="1"/>
    <col min="7" max="16384" width="9.21875" style="8"/>
  </cols>
  <sheetData>
    <row r="7" spans="1:6" x14ac:dyDescent="0.25">
      <c r="A7" s="6" t="s">
        <v>15</v>
      </c>
      <c r="B7" s="6" t="s">
        <v>16</v>
      </c>
      <c r="C7" s="6" t="s">
        <v>17</v>
      </c>
      <c r="D7" s="6" t="s">
        <v>0</v>
      </c>
      <c r="E7" s="7" t="s">
        <v>1</v>
      </c>
      <c r="F7" s="1" t="s">
        <v>18</v>
      </c>
    </row>
    <row r="8" spans="1:6" x14ac:dyDescent="0.25">
      <c r="A8" s="35"/>
      <c r="B8" s="35"/>
      <c r="C8" s="36"/>
      <c r="D8" s="36"/>
      <c r="E8" s="67" t="s">
        <v>19</v>
      </c>
      <c r="F8" s="37" t="s">
        <v>19</v>
      </c>
    </row>
    <row r="9" spans="1:6" s="16" customFormat="1" x14ac:dyDescent="0.25">
      <c r="A9" s="13" t="s">
        <v>631</v>
      </c>
      <c r="B9" s="13" t="s">
        <v>632</v>
      </c>
      <c r="C9" s="13"/>
      <c r="D9" s="4"/>
      <c r="E9" s="82"/>
      <c r="F9" s="84"/>
    </row>
    <row r="10" spans="1:6" s="16" customFormat="1" x14ac:dyDescent="0.25">
      <c r="A10" s="4"/>
      <c r="B10" s="54" t="s">
        <v>633</v>
      </c>
      <c r="C10" s="4"/>
      <c r="D10" s="4"/>
      <c r="E10" s="82"/>
      <c r="F10" s="84"/>
    </row>
    <row r="11" spans="1:6" s="16" customFormat="1" ht="39.6" x14ac:dyDescent="0.25">
      <c r="A11" s="4" t="s">
        <v>634</v>
      </c>
      <c r="B11" s="4" t="s">
        <v>635</v>
      </c>
      <c r="C11" s="4" t="s">
        <v>207</v>
      </c>
      <c r="D11" s="139" t="s">
        <v>31</v>
      </c>
      <c r="E11" s="3" t="str">
        <f>IF(ISNUMBER(D11),"","N/A")</f>
        <v>N/A</v>
      </c>
      <c r="F11" s="2" t="str">
        <f>IF(AND(ISNUMBER(D11),D11&gt;0),D11*E11,"-")</f>
        <v>-</v>
      </c>
    </row>
    <row r="12" spans="1:6" s="16" customFormat="1" ht="26.4" x14ac:dyDescent="0.25">
      <c r="A12" s="4" t="s">
        <v>636</v>
      </c>
      <c r="B12" s="4" t="s">
        <v>637</v>
      </c>
      <c r="C12" s="4" t="s">
        <v>443</v>
      </c>
      <c r="D12" s="139" t="s">
        <v>31</v>
      </c>
      <c r="E12" s="3" t="str">
        <f t="shared" ref="E12:E19" si="0">IF(ISNUMBER(D12),"","N/A")</f>
        <v>N/A</v>
      </c>
      <c r="F12" s="2" t="str">
        <f t="shared" ref="F12:F24" si="1">IF(AND(ISNUMBER(D12),D12&gt;0),D12*E12,"-")</f>
        <v>-</v>
      </c>
    </row>
    <row r="13" spans="1:6" s="16" customFormat="1" ht="26.4" x14ac:dyDescent="0.25">
      <c r="A13" s="4" t="s">
        <v>638</v>
      </c>
      <c r="B13" s="4" t="s">
        <v>639</v>
      </c>
      <c r="C13" s="4" t="s">
        <v>443</v>
      </c>
      <c r="D13" s="139" t="s">
        <v>31</v>
      </c>
      <c r="E13" s="3" t="str">
        <f t="shared" si="0"/>
        <v>N/A</v>
      </c>
      <c r="F13" s="2" t="str">
        <f t="shared" si="1"/>
        <v>-</v>
      </c>
    </row>
    <row r="14" spans="1:6" s="16" customFormat="1" ht="26.4" x14ac:dyDescent="0.25">
      <c r="A14" s="4" t="s">
        <v>640</v>
      </c>
      <c r="B14" s="4" t="s">
        <v>641</v>
      </c>
      <c r="C14" s="4" t="s">
        <v>443</v>
      </c>
      <c r="D14" s="139" t="s">
        <v>31</v>
      </c>
      <c r="E14" s="3" t="str">
        <f t="shared" si="0"/>
        <v>N/A</v>
      </c>
      <c r="F14" s="2" t="str">
        <f t="shared" si="1"/>
        <v>-</v>
      </c>
    </row>
    <row r="15" spans="1:6" s="16" customFormat="1" ht="26.4" x14ac:dyDescent="0.25">
      <c r="A15" s="4" t="s">
        <v>642</v>
      </c>
      <c r="B15" s="4" t="s">
        <v>643</v>
      </c>
      <c r="C15" s="4" t="s">
        <v>443</v>
      </c>
      <c r="D15" s="139" t="s">
        <v>31</v>
      </c>
      <c r="E15" s="3" t="str">
        <f t="shared" si="0"/>
        <v>N/A</v>
      </c>
      <c r="F15" s="2" t="str">
        <f t="shared" si="1"/>
        <v>-</v>
      </c>
    </row>
    <row r="16" spans="1:6" s="16" customFormat="1" x14ac:dyDescent="0.25">
      <c r="A16" s="4"/>
      <c r="B16" s="54" t="s">
        <v>644</v>
      </c>
      <c r="C16" s="4"/>
      <c r="D16" s="4" t="s">
        <v>31</v>
      </c>
      <c r="E16" s="3" t="str">
        <f t="shared" si="0"/>
        <v>N/A</v>
      </c>
      <c r="F16" s="2" t="str">
        <f t="shared" si="1"/>
        <v>-</v>
      </c>
    </row>
    <row r="17" spans="1:6" s="16" customFormat="1" ht="52.8" x14ac:dyDescent="0.25">
      <c r="A17" s="4" t="s">
        <v>645</v>
      </c>
      <c r="B17" s="4" t="s">
        <v>646</v>
      </c>
      <c r="C17" s="4" t="s">
        <v>23</v>
      </c>
      <c r="D17" s="4" t="s">
        <v>31</v>
      </c>
      <c r="E17" s="3" t="str">
        <f t="shared" si="0"/>
        <v>N/A</v>
      </c>
      <c r="F17" s="2" t="str">
        <f t="shared" si="1"/>
        <v>-</v>
      </c>
    </row>
    <row r="18" spans="1:6" s="16" customFormat="1" ht="52.8" x14ac:dyDescent="0.25">
      <c r="A18" s="4" t="s">
        <v>647</v>
      </c>
      <c r="B18" s="4" t="s">
        <v>648</v>
      </c>
      <c r="C18" s="4" t="s">
        <v>168</v>
      </c>
      <c r="D18" s="4" t="s">
        <v>31</v>
      </c>
      <c r="E18" s="3" t="str">
        <f t="shared" si="0"/>
        <v>N/A</v>
      </c>
      <c r="F18" s="2" t="str">
        <f t="shared" si="1"/>
        <v>-</v>
      </c>
    </row>
    <row r="19" spans="1:6" s="16" customFormat="1" ht="26.4" x14ac:dyDescent="0.25">
      <c r="A19" s="4" t="s">
        <v>649</v>
      </c>
      <c r="B19" s="4" t="s">
        <v>650</v>
      </c>
      <c r="C19" s="4" t="s">
        <v>74</v>
      </c>
      <c r="D19" s="4" t="s">
        <v>31</v>
      </c>
      <c r="E19" s="3" t="str">
        <f t="shared" si="0"/>
        <v>N/A</v>
      </c>
      <c r="F19" s="2" t="str">
        <f t="shared" si="1"/>
        <v>-</v>
      </c>
    </row>
    <row r="20" spans="1:6" s="16" customFormat="1" x14ac:dyDescent="0.25">
      <c r="A20" s="4"/>
      <c r="B20" s="54" t="s">
        <v>651</v>
      </c>
      <c r="C20" s="4"/>
      <c r="D20" s="4"/>
      <c r="E20" s="17"/>
      <c r="F20" s="2"/>
    </row>
    <row r="21" spans="1:6" s="16" customFormat="1" ht="39.6" x14ac:dyDescent="0.25">
      <c r="A21" s="4" t="s">
        <v>652</v>
      </c>
      <c r="B21" s="4" t="s">
        <v>653</v>
      </c>
      <c r="C21" s="4" t="s">
        <v>23</v>
      </c>
      <c r="D21" s="4" t="s">
        <v>31</v>
      </c>
      <c r="E21" s="3" t="str">
        <f t="shared" ref="E21:E24" si="2">IF(ISNUMBER(D21),"","N/A")</f>
        <v>N/A</v>
      </c>
      <c r="F21" s="2" t="str">
        <f t="shared" si="1"/>
        <v>-</v>
      </c>
    </row>
    <row r="22" spans="1:6" s="16" customFormat="1" ht="39.6" x14ac:dyDescent="0.25">
      <c r="A22" s="4" t="s">
        <v>654</v>
      </c>
      <c r="B22" s="4" t="s">
        <v>655</v>
      </c>
      <c r="C22" s="4" t="s">
        <v>231</v>
      </c>
      <c r="D22" s="4" t="s">
        <v>31</v>
      </c>
      <c r="E22" s="3" t="str">
        <f t="shared" si="2"/>
        <v>N/A</v>
      </c>
      <c r="F22" s="2" t="str">
        <f t="shared" si="1"/>
        <v>-</v>
      </c>
    </row>
    <row r="23" spans="1:6" s="16" customFormat="1" x14ac:dyDescent="0.25">
      <c r="A23" s="85" t="s">
        <v>656</v>
      </c>
      <c r="B23" s="85"/>
      <c r="C23" s="13"/>
      <c r="D23" s="13"/>
      <c r="E23" s="17"/>
      <c r="F23" s="2"/>
    </row>
    <row r="24" spans="1:6" s="16" customFormat="1" x14ac:dyDescent="0.25">
      <c r="A24" s="85"/>
      <c r="B24" s="85"/>
      <c r="C24" s="4" t="s">
        <v>231</v>
      </c>
      <c r="D24" s="4" t="s">
        <v>31</v>
      </c>
      <c r="E24" s="3" t="str">
        <f t="shared" si="2"/>
        <v>N/A</v>
      </c>
      <c r="F24" s="2" t="str">
        <f t="shared" si="1"/>
        <v>-</v>
      </c>
    </row>
    <row r="25" spans="1:6" ht="12.75" customHeight="1" x14ac:dyDescent="0.25">
      <c r="B25" s="20" t="s">
        <v>657</v>
      </c>
      <c r="C25" s="21"/>
      <c r="D25" s="21"/>
      <c r="E25" s="22"/>
      <c r="F25" s="12">
        <f>SUM(F11:F24)</f>
        <v>0</v>
      </c>
    </row>
    <row r="27" spans="1:6" x14ac:dyDescent="0.25">
      <c r="F27" s="8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B1BCA-FA07-4ECA-AB42-D978C8C97277}">
  <dimension ref="A7:G69"/>
  <sheetViews>
    <sheetView topLeftCell="A55" workbookViewId="0">
      <selection activeCell="E65" sqref="E65"/>
    </sheetView>
  </sheetViews>
  <sheetFormatPr defaultColWidth="9.21875" defaultRowHeight="13.2" x14ac:dyDescent="0.25"/>
  <cols>
    <col min="1" max="1" width="9.21875" style="8"/>
    <col min="2" max="2" width="35.77734375" style="8" customWidth="1"/>
    <col min="3" max="3" width="7.77734375" style="23" customWidth="1"/>
    <col min="4" max="4" width="11.44140625" style="23" customWidth="1"/>
    <col min="5" max="5" width="11.44140625" style="24" customWidth="1"/>
    <col min="6" max="6" width="11.44140625" style="25" customWidth="1"/>
    <col min="7" max="7" width="3.21875" style="23" customWidth="1"/>
    <col min="8" max="16384" width="9.21875" style="8"/>
  </cols>
  <sheetData>
    <row r="7" spans="1:7" x14ac:dyDescent="0.25">
      <c r="A7" s="6" t="s">
        <v>15</v>
      </c>
      <c r="B7" s="6" t="s">
        <v>16</v>
      </c>
      <c r="C7" s="6" t="s">
        <v>17</v>
      </c>
      <c r="D7" s="6" t="s">
        <v>0</v>
      </c>
      <c r="E7" s="7" t="s">
        <v>1</v>
      </c>
      <c r="F7" s="1" t="s">
        <v>18</v>
      </c>
      <c r="G7" s="26"/>
    </row>
    <row r="8" spans="1:7" x14ac:dyDescent="0.25">
      <c r="A8" s="35"/>
      <c r="B8" s="35"/>
      <c r="C8" s="36"/>
      <c r="D8" s="36"/>
      <c r="E8" s="67" t="s">
        <v>19</v>
      </c>
      <c r="F8" s="37" t="s">
        <v>19</v>
      </c>
    </row>
    <row r="9" spans="1:7" s="16" customFormat="1" x14ac:dyDescent="0.25">
      <c r="A9" s="90" t="s">
        <v>658</v>
      </c>
      <c r="B9" s="90" t="s">
        <v>659</v>
      </c>
      <c r="C9" s="91"/>
      <c r="D9" s="72"/>
      <c r="E9" s="73"/>
      <c r="F9" s="2"/>
      <c r="G9" s="28"/>
    </row>
    <row r="10" spans="1:7" s="16" customFormat="1" ht="28.8" x14ac:dyDescent="0.25">
      <c r="A10" s="4" t="s">
        <v>660</v>
      </c>
      <c r="B10" s="4" t="s">
        <v>661</v>
      </c>
      <c r="C10" s="4" t="s">
        <v>74</v>
      </c>
      <c r="D10" s="44" t="str">
        <f>IF(AND(ISNUMBER('[2]Section H'!D10),'[2]Section H'!D10&gt;0),'[2]Section H'!D10,"Not Required")</f>
        <v>Not Required</v>
      </c>
      <c r="E10" s="3" t="str">
        <f>IF(ISNUMBER(D10),"","N/A")</f>
        <v>N/A</v>
      </c>
      <c r="F10" s="2" t="str">
        <f>IF(ISNUMBER(D10),D10*E10,"-")</f>
        <v>-</v>
      </c>
      <c r="G10" s="28"/>
    </row>
    <row r="11" spans="1:7" s="16" customFormat="1" ht="28.8" x14ac:dyDescent="0.25">
      <c r="A11" s="4" t="s">
        <v>662</v>
      </c>
      <c r="B11" s="4" t="s">
        <v>663</v>
      </c>
      <c r="C11" s="4" t="s">
        <v>74</v>
      </c>
      <c r="D11" s="44" t="str">
        <f>IF(AND(ISNUMBER('[2]Section H'!D11),'[2]Section H'!D11&gt;0),'[2]Section H'!D11,"Not Required")</f>
        <v>Not Required</v>
      </c>
      <c r="E11" s="3" t="str">
        <f t="shared" ref="E11:E29" si="0">IF(ISNUMBER(D11),"","N/A")</f>
        <v>N/A</v>
      </c>
      <c r="F11" s="2" t="str">
        <f t="shared" ref="F11:F67" si="1">IF(ISNUMBER(D11),D11*E11,"-")</f>
        <v>-</v>
      </c>
      <c r="G11" s="28"/>
    </row>
    <row r="12" spans="1:7" s="16" customFormat="1" ht="28.8" x14ac:dyDescent="0.25">
      <c r="A12" s="4" t="s">
        <v>664</v>
      </c>
      <c r="B12" s="4" t="s">
        <v>665</v>
      </c>
      <c r="C12" s="4" t="s">
        <v>74</v>
      </c>
      <c r="D12" s="44" t="str">
        <f>IF(AND(ISNUMBER('[2]Section H'!D12),'[2]Section H'!D12&gt;0),'[2]Section H'!D12,"Not Required")</f>
        <v>Not Required</v>
      </c>
      <c r="E12" s="3" t="str">
        <f t="shared" si="0"/>
        <v>N/A</v>
      </c>
      <c r="F12" s="2" t="str">
        <f t="shared" si="1"/>
        <v>-</v>
      </c>
      <c r="G12" s="28"/>
    </row>
    <row r="13" spans="1:7" s="16" customFormat="1" ht="28.8" x14ac:dyDescent="0.25">
      <c r="A13" s="4" t="s">
        <v>666</v>
      </c>
      <c r="B13" s="4" t="s">
        <v>667</v>
      </c>
      <c r="C13" s="4" t="s">
        <v>74</v>
      </c>
      <c r="D13" s="44" t="str">
        <f>IF(AND(ISNUMBER('[2]Section H'!D13),'[2]Section H'!D13&gt;0),'[2]Section H'!D13,"Not Required")</f>
        <v>Not Required</v>
      </c>
      <c r="E13" s="3" t="str">
        <f t="shared" si="0"/>
        <v>N/A</v>
      </c>
      <c r="F13" s="2" t="str">
        <f t="shared" si="1"/>
        <v>-</v>
      </c>
      <c r="G13" s="28"/>
    </row>
    <row r="14" spans="1:7" s="16" customFormat="1" ht="39.6" x14ac:dyDescent="0.25">
      <c r="A14" s="4" t="s">
        <v>668</v>
      </c>
      <c r="B14" s="4" t="s">
        <v>669</v>
      </c>
      <c r="C14" s="4" t="s">
        <v>74</v>
      </c>
      <c r="D14" s="44" t="str">
        <f>IF(AND(ISNUMBER('[2]Section H'!D14),'[2]Section H'!D14&gt;0),'[2]Section H'!D14,"Not Required")</f>
        <v>Not Required</v>
      </c>
      <c r="E14" s="3" t="str">
        <f t="shared" si="0"/>
        <v>N/A</v>
      </c>
      <c r="F14" s="2" t="str">
        <f t="shared" si="1"/>
        <v>-</v>
      </c>
      <c r="G14" s="28"/>
    </row>
    <row r="15" spans="1:7" s="16" customFormat="1" ht="28.8" x14ac:dyDescent="0.25">
      <c r="A15" s="4" t="s">
        <v>670</v>
      </c>
      <c r="B15" s="4" t="s">
        <v>671</v>
      </c>
      <c r="C15" s="4" t="s">
        <v>74</v>
      </c>
      <c r="D15" s="44" t="str">
        <f>IF(AND(ISNUMBER('[2]Section H'!D15),'[2]Section H'!D15&gt;0),'[2]Section H'!D15,"Not Required")</f>
        <v>Not Required</v>
      </c>
      <c r="E15" s="3" t="str">
        <f t="shared" si="0"/>
        <v>N/A</v>
      </c>
      <c r="F15" s="2" t="str">
        <f t="shared" si="1"/>
        <v>-</v>
      </c>
      <c r="G15" s="28"/>
    </row>
    <row r="16" spans="1:7" s="16" customFormat="1" ht="28.8" x14ac:dyDescent="0.25">
      <c r="A16" s="4" t="s">
        <v>672</v>
      </c>
      <c r="B16" s="4" t="s">
        <v>673</v>
      </c>
      <c r="C16" s="4" t="s">
        <v>74</v>
      </c>
      <c r="D16" s="44" t="str">
        <f>IF(AND(ISNUMBER('[2]Section H'!D16),'[2]Section H'!D16&gt;0),'[2]Section H'!D16,"Not Required")</f>
        <v>Not Required</v>
      </c>
      <c r="E16" s="3" t="str">
        <f t="shared" si="0"/>
        <v>N/A</v>
      </c>
      <c r="F16" s="2" t="str">
        <f t="shared" si="1"/>
        <v>-</v>
      </c>
      <c r="G16" s="28"/>
    </row>
    <row r="17" spans="1:7" s="16" customFormat="1" ht="28.8" x14ac:dyDescent="0.25">
      <c r="A17" s="4" t="s">
        <v>674</v>
      </c>
      <c r="B17" s="4" t="s">
        <v>675</v>
      </c>
      <c r="C17" s="4" t="s">
        <v>74</v>
      </c>
      <c r="D17" s="44" t="str">
        <f>IF(AND(ISNUMBER('[2]Section H'!D17),'[2]Section H'!D17&gt;0),'[2]Section H'!D17,"Not Required")</f>
        <v>Not Required</v>
      </c>
      <c r="E17" s="3" t="str">
        <f t="shared" si="0"/>
        <v>N/A</v>
      </c>
      <c r="F17" s="2" t="str">
        <f t="shared" si="1"/>
        <v>-</v>
      </c>
      <c r="G17" s="28"/>
    </row>
    <row r="18" spans="1:7" s="16" customFormat="1" ht="28.8" x14ac:dyDescent="0.25">
      <c r="A18" s="4" t="s">
        <v>677</v>
      </c>
      <c r="B18" s="4" t="s">
        <v>1224</v>
      </c>
      <c r="C18" s="4" t="s">
        <v>74</v>
      </c>
      <c r="D18" s="44" t="str">
        <f>IF(AND(ISNUMBER('[2]Section H'!D18),'[2]Section H'!D18&gt;0),'[2]Section H'!D18,"Not Required")</f>
        <v>Not Required</v>
      </c>
      <c r="E18" s="3" t="str">
        <f t="shared" si="0"/>
        <v>N/A</v>
      </c>
      <c r="F18" s="2" t="str">
        <f>IF(ISNUMBER(D18),D18*E18,"-")</f>
        <v>-</v>
      </c>
      <c r="G18" s="28"/>
    </row>
    <row r="19" spans="1:7" s="16" customFormat="1" ht="26.4" x14ac:dyDescent="0.25">
      <c r="A19" s="4" t="s">
        <v>683</v>
      </c>
      <c r="B19" s="54" t="s">
        <v>676</v>
      </c>
      <c r="C19" s="4" t="s">
        <v>74</v>
      </c>
      <c r="D19" s="3" t="s">
        <v>31</v>
      </c>
      <c r="E19" s="3" t="str">
        <f t="shared" si="0"/>
        <v>N/A</v>
      </c>
      <c r="F19" s="2" t="str">
        <f t="shared" si="1"/>
        <v>-</v>
      </c>
      <c r="G19" s="28"/>
    </row>
    <row r="20" spans="1:7" s="16" customFormat="1" ht="26.4" x14ac:dyDescent="0.25">
      <c r="A20" s="4" t="s">
        <v>685</v>
      </c>
      <c r="B20" s="4" t="s">
        <v>678</v>
      </c>
      <c r="C20" s="4" t="s">
        <v>74</v>
      </c>
      <c r="D20" s="3" t="s">
        <v>31</v>
      </c>
      <c r="E20" s="3" t="str">
        <f t="shared" si="0"/>
        <v>N/A</v>
      </c>
      <c r="F20" s="2" t="str">
        <f t="shared" si="1"/>
        <v>-</v>
      </c>
      <c r="G20" s="28"/>
    </row>
    <row r="21" spans="1:7" s="16" customFormat="1" ht="26.4" x14ac:dyDescent="0.25">
      <c r="A21" s="4" t="s">
        <v>1225</v>
      </c>
      <c r="B21" s="4" t="s">
        <v>679</v>
      </c>
      <c r="C21" s="4" t="s">
        <v>74</v>
      </c>
      <c r="D21" s="3" t="s">
        <v>31</v>
      </c>
      <c r="E21" s="3" t="str">
        <f t="shared" si="0"/>
        <v>N/A</v>
      </c>
      <c r="F21" s="2" t="str">
        <f t="shared" si="1"/>
        <v>-</v>
      </c>
      <c r="G21" s="28"/>
    </row>
    <row r="22" spans="1:7" s="16" customFormat="1" ht="26.4" x14ac:dyDescent="0.25">
      <c r="A22" s="4" t="s">
        <v>1226</v>
      </c>
      <c r="B22" s="4" t="s">
        <v>680</v>
      </c>
      <c r="C22" s="4" t="s">
        <v>74</v>
      </c>
      <c r="D22" s="3" t="s">
        <v>31</v>
      </c>
      <c r="E22" s="3" t="str">
        <f t="shared" si="0"/>
        <v>N/A</v>
      </c>
      <c r="F22" s="2" t="str">
        <f t="shared" si="1"/>
        <v>-</v>
      </c>
      <c r="G22" s="28"/>
    </row>
    <row r="23" spans="1:7" s="16" customFormat="1" ht="26.4" x14ac:dyDescent="0.25">
      <c r="A23" s="4" t="s">
        <v>1227</v>
      </c>
      <c r="B23" s="4" t="s">
        <v>681</v>
      </c>
      <c r="C23" s="4" t="s">
        <v>74</v>
      </c>
      <c r="D23" s="3" t="s">
        <v>31</v>
      </c>
      <c r="E23" s="3" t="str">
        <f t="shared" si="0"/>
        <v>N/A</v>
      </c>
      <c r="F23" s="2" t="str">
        <f t="shared" si="1"/>
        <v>-</v>
      </c>
      <c r="G23" s="28"/>
    </row>
    <row r="24" spans="1:7" s="16" customFormat="1" ht="26.4" x14ac:dyDescent="0.25">
      <c r="A24" s="4" t="s">
        <v>1228</v>
      </c>
      <c r="B24" s="4" t="s">
        <v>682</v>
      </c>
      <c r="C24" s="4" t="s">
        <v>231</v>
      </c>
      <c r="D24" s="3" t="s">
        <v>31</v>
      </c>
      <c r="E24" s="3" t="str">
        <f t="shared" si="0"/>
        <v>N/A</v>
      </c>
      <c r="F24" s="2" t="str">
        <f t="shared" si="1"/>
        <v>-</v>
      </c>
      <c r="G24" s="28"/>
    </row>
    <row r="25" spans="1:7" s="16" customFormat="1" ht="26.4" x14ac:dyDescent="0.25">
      <c r="A25" s="4" t="s">
        <v>687</v>
      </c>
      <c r="B25" s="4" t="s">
        <v>684</v>
      </c>
      <c r="C25" s="4" t="s">
        <v>74</v>
      </c>
      <c r="D25" s="3" t="s">
        <v>31</v>
      </c>
      <c r="E25" s="3" t="str">
        <f t="shared" si="0"/>
        <v>N/A</v>
      </c>
      <c r="F25" s="2" t="str">
        <f t="shared" si="1"/>
        <v>-</v>
      </c>
      <c r="G25" s="28"/>
    </row>
    <row r="26" spans="1:7" s="16" customFormat="1" ht="28.8" x14ac:dyDescent="0.25">
      <c r="A26" s="4" t="s">
        <v>1229</v>
      </c>
      <c r="B26" s="4" t="s">
        <v>686</v>
      </c>
      <c r="C26" s="4" t="s">
        <v>74</v>
      </c>
      <c r="D26" s="18" t="e">
        <f>IF(AND(ISNUMBER('[2]Section H'!$D$26),'[2]Section H'!$D$26&gt;0),'[2]Section H'!$D$26,"Not Required")</f>
        <v>#VALUE!</v>
      </c>
      <c r="E26" s="3" t="str">
        <f t="shared" si="0"/>
        <v>N/A</v>
      </c>
      <c r="F26" s="2" t="str">
        <f t="shared" si="1"/>
        <v>-</v>
      </c>
      <c r="G26" s="28"/>
    </row>
    <row r="27" spans="1:7" s="16" customFormat="1" ht="26.4" x14ac:dyDescent="0.25">
      <c r="A27" s="4" t="s">
        <v>689</v>
      </c>
      <c r="B27" s="4" t="s">
        <v>688</v>
      </c>
      <c r="C27" s="4" t="s">
        <v>74</v>
      </c>
      <c r="D27" s="3" t="s">
        <v>31</v>
      </c>
      <c r="E27" s="3" t="str">
        <f t="shared" si="0"/>
        <v>N/A</v>
      </c>
      <c r="F27" s="2" t="str">
        <f t="shared" si="1"/>
        <v>-</v>
      </c>
      <c r="G27" s="28"/>
    </row>
    <row r="28" spans="1:7" s="16" customFormat="1" ht="26.4" x14ac:dyDescent="0.25">
      <c r="A28" s="4" t="s">
        <v>691</v>
      </c>
      <c r="B28" s="4" t="s">
        <v>690</v>
      </c>
      <c r="C28" s="4" t="s">
        <v>74</v>
      </c>
      <c r="D28" s="145" t="s">
        <v>1213</v>
      </c>
      <c r="E28" s="3" t="str">
        <f t="shared" si="0"/>
        <v>N/A</v>
      </c>
      <c r="F28" s="2" t="str">
        <f t="shared" si="1"/>
        <v>-</v>
      </c>
      <c r="G28" s="28"/>
    </row>
    <row r="29" spans="1:7" s="16" customFormat="1" ht="33.75" customHeight="1" x14ac:dyDescent="0.25">
      <c r="A29" s="4" t="s">
        <v>694</v>
      </c>
      <c r="B29" s="70" t="s">
        <v>692</v>
      </c>
      <c r="C29" s="70" t="s">
        <v>74</v>
      </c>
      <c r="D29" s="18" t="e">
        <f>IF(AND(ISNUMBER('[2]Section H'!$D$29),'[2]Section H'!$D$29&gt;0),'[2]Section H'!$D$29,"Not Required")</f>
        <v>#VALUE!</v>
      </c>
      <c r="E29" s="3" t="str">
        <f t="shared" si="0"/>
        <v>N/A</v>
      </c>
      <c r="F29" s="2" t="str">
        <f t="shared" si="1"/>
        <v>-</v>
      </c>
      <c r="G29" s="28"/>
    </row>
    <row r="30" spans="1:7" s="16" customFormat="1" x14ac:dyDescent="0.25">
      <c r="A30" s="4"/>
      <c r="B30" s="30" t="s">
        <v>693</v>
      </c>
      <c r="C30" s="4"/>
      <c r="D30" s="87"/>
      <c r="E30" s="73"/>
      <c r="F30" s="2"/>
      <c r="G30" s="28"/>
    </row>
    <row r="31" spans="1:7" s="16" customFormat="1" ht="33" customHeight="1" x14ac:dyDescent="0.25">
      <c r="A31" s="4" t="s">
        <v>697</v>
      </c>
      <c r="B31" s="4" t="s">
        <v>695</v>
      </c>
      <c r="C31" s="4" t="s">
        <v>74</v>
      </c>
      <c r="D31" s="3" t="s">
        <v>31</v>
      </c>
      <c r="E31" s="72" t="str">
        <f t="shared" ref="E31:E40" si="2">IF(ISNUMBER(D31),"","N/A")</f>
        <v>N/A</v>
      </c>
      <c r="F31" s="2" t="str">
        <f t="shared" si="1"/>
        <v>-</v>
      </c>
      <c r="G31" s="28"/>
    </row>
    <row r="32" spans="1:7" s="16" customFormat="1" x14ac:dyDescent="0.25">
      <c r="A32" s="4"/>
      <c r="B32" s="54" t="s">
        <v>696</v>
      </c>
      <c r="C32" s="4"/>
      <c r="D32" s="3"/>
      <c r="E32" s="73"/>
      <c r="F32" s="2"/>
      <c r="G32" s="28"/>
    </row>
    <row r="33" spans="1:7" s="16" customFormat="1" ht="39.6" x14ac:dyDescent="0.25">
      <c r="A33" s="4" t="s">
        <v>699</v>
      </c>
      <c r="B33" s="4" t="s">
        <v>698</v>
      </c>
      <c r="C33" s="4" t="s">
        <v>201</v>
      </c>
      <c r="D33" s="3" t="s">
        <v>31</v>
      </c>
      <c r="E33" s="72" t="str">
        <f t="shared" si="2"/>
        <v>N/A</v>
      </c>
      <c r="F33" s="2" t="str">
        <f t="shared" si="1"/>
        <v>-</v>
      </c>
      <c r="G33" s="28"/>
    </row>
    <row r="34" spans="1:7" s="16" customFormat="1" ht="39.6" x14ac:dyDescent="0.25">
      <c r="A34" s="4" t="s">
        <v>701</v>
      </c>
      <c r="B34" s="4" t="s">
        <v>700</v>
      </c>
      <c r="C34" s="4" t="s">
        <v>201</v>
      </c>
      <c r="D34" s="3" t="s">
        <v>31</v>
      </c>
      <c r="E34" s="72" t="str">
        <f t="shared" si="2"/>
        <v>N/A</v>
      </c>
      <c r="F34" s="2" t="str">
        <f t="shared" si="1"/>
        <v>-</v>
      </c>
      <c r="G34" s="28"/>
    </row>
    <row r="35" spans="1:7" s="16" customFormat="1" ht="26.4" x14ac:dyDescent="0.25">
      <c r="A35" s="4" t="s">
        <v>703</v>
      </c>
      <c r="B35" s="4" t="s">
        <v>702</v>
      </c>
      <c r="C35" s="4" t="s">
        <v>201</v>
      </c>
      <c r="D35" s="3" t="s">
        <v>31</v>
      </c>
      <c r="E35" s="72" t="str">
        <f t="shared" si="2"/>
        <v>N/A</v>
      </c>
      <c r="F35" s="2" t="str">
        <f t="shared" si="1"/>
        <v>-</v>
      </c>
      <c r="G35" s="28"/>
    </row>
    <row r="36" spans="1:7" s="16" customFormat="1" ht="26.4" x14ac:dyDescent="0.25">
      <c r="A36" s="4" t="s">
        <v>705</v>
      </c>
      <c r="B36" s="4" t="s">
        <v>704</v>
      </c>
      <c r="C36" s="4" t="s">
        <v>201</v>
      </c>
      <c r="D36" s="3" t="s">
        <v>31</v>
      </c>
      <c r="E36" s="72" t="str">
        <f t="shared" si="2"/>
        <v>N/A</v>
      </c>
      <c r="F36" s="2" t="str">
        <f t="shared" si="1"/>
        <v>-</v>
      </c>
      <c r="G36" s="28"/>
    </row>
    <row r="37" spans="1:7" s="16" customFormat="1" ht="52.8" x14ac:dyDescent="0.25">
      <c r="A37" s="4" t="s">
        <v>707</v>
      </c>
      <c r="B37" s="4" t="s">
        <v>706</v>
      </c>
      <c r="C37" s="4" t="s">
        <v>201</v>
      </c>
      <c r="D37" s="3" t="s">
        <v>31</v>
      </c>
      <c r="E37" s="72" t="str">
        <f t="shared" si="2"/>
        <v>N/A</v>
      </c>
      <c r="F37" s="2" t="str">
        <f t="shared" si="1"/>
        <v>-</v>
      </c>
      <c r="G37" s="28"/>
    </row>
    <row r="38" spans="1:7" s="16" customFormat="1" ht="39.6" x14ac:dyDescent="0.25">
      <c r="A38" s="4" t="s">
        <v>709</v>
      </c>
      <c r="B38" s="4" t="s">
        <v>708</v>
      </c>
      <c r="C38" s="4" t="s">
        <v>201</v>
      </c>
      <c r="D38" s="3" t="s">
        <v>31</v>
      </c>
      <c r="E38" s="72" t="str">
        <f t="shared" si="2"/>
        <v>N/A</v>
      </c>
      <c r="F38" s="2" t="str">
        <f t="shared" si="1"/>
        <v>-</v>
      </c>
      <c r="G38" s="28"/>
    </row>
    <row r="39" spans="1:7" s="16" customFormat="1" ht="26.4" x14ac:dyDescent="0.25">
      <c r="A39" s="4" t="s">
        <v>711</v>
      </c>
      <c r="B39" s="4" t="s">
        <v>710</v>
      </c>
      <c r="C39" s="4" t="s">
        <v>201</v>
      </c>
      <c r="D39" s="3" t="s">
        <v>31</v>
      </c>
      <c r="E39" s="72" t="str">
        <f t="shared" si="2"/>
        <v>N/A</v>
      </c>
      <c r="F39" s="2" t="str">
        <f t="shared" si="1"/>
        <v>-</v>
      </c>
      <c r="G39" s="28"/>
    </row>
    <row r="40" spans="1:7" s="16" customFormat="1" ht="26.4" x14ac:dyDescent="0.25">
      <c r="A40" s="4" t="s">
        <v>715</v>
      </c>
      <c r="B40" s="4" t="s">
        <v>712</v>
      </c>
      <c r="C40" s="4" t="s">
        <v>201</v>
      </c>
      <c r="D40" s="3" t="s">
        <v>31</v>
      </c>
      <c r="E40" s="72" t="str">
        <f t="shared" si="2"/>
        <v>N/A</v>
      </c>
      <c r="F40" s="2" t="str">
        <f t="shared" si="1"/>
        <v>-</v>
      </c>
      <c r="G40" s="28"/>
    </row>
    <row r="41" spans="1:7" s="16" customFormat="1" ht="39.6" x14ac:dyDescent="0.25">
      <c r="A41" s="4"/>
      <c r="B41" s="4" t="s">
        <v>713</v>
      </c>
      <c r="C41" s="4"/>
      <c r="D41" s="3"/>
      <c r="E41" s="17"/>
      <c r="F41" s="2"/>
      <c r="G41" s="28"/>
    </row>
    <row r="42" spans="1:7" s="16" customFormat="1" x14ac:dyDescent="0.25">
      <c r="A42" s="4"/>
      <c r="B42" s="54" t="s">
        <v>714</v>
      </c>
      <c r="C42" s="4"/>
      <c r="D42" s="3"/>
      <c r="E42" s="17"/>
      <c r="F42" s="2"/>
      <c r="G42" s="28"/>
    </row>
    <row r="43" spans="1:7" s="16" customFormat="1" ht="28.8" x14ac:dyDescent="0.25">
      <c r="A43" s="4" t="s">
        <v>717</v>
      </c>
      <c r="B43" s="4" t="s">
        <v>716</v>
      </c>
      <c r="C43" s="4" t="s">
        <v>74</v>
      </c>
      <c r="D43" s="18" t="e">
        <f>IF(AND(ISNUMBER('[2]Section H'!$D$43),'[2]Section H'!$D$43&gt;0),'[2]Section H'!$D$43,"Not Required")</f>
        <v>#VALUE!</v>
      </c>
      <c r="E43" s="3" t="str">
        <f>IF(ISNUMBER(D43),"","N/A")</f>
        <v>N/A</v>
      </c>
      <c r="F43" s="2" t="str">
        <f t="shared" si="1"/>
        <v>-</v>
      </c>
      <c r="G43" s="28"/>
    </row>
    <row r="44" spans="1:7" s="16" customFormat="1" ht="39.6" x14ac:dyDescent="0.25">
      <c r="A44" s="4" t="s">
        <v>719</v>
      </c>
      <c r="B44" s="4" t="s">
        <v>718</v>
      </c>
      <c r="C44" s="4" t="s">
        <v>183</v>
      </c>
      <c r="D44" s="3" t="s">
        <v>31</v>
      </c>
      <c r="E44" s="3" t="str">
        <f t="shared" ref="E44:E50" si="3">IF(ISNUMBER(D44),"","N/A")</f>
        <v>N/A</v>
      </c>
      <c r="F44" s="2" t="str">
        <f t="shared" si="1"/>
        <v>-</v>
      </c>
      <c r="G44" s="28"/>
    </row>
    <row r="45" spans="1:7" s="16" customFormat="1" ht="26.4" x14ac:dyDescent="0.25">
      <c r="A45" s="4" t="s">
        <v>721</v>
      </c>
      <c r="B45" s="4" t="s">
        <v>720</v>
      </c>
      <c r="C45" s="4" t="s">
        <v>74</v>
      </c>
      <c r="D45" s="3" t="s">
        <v>31</v>
      </c>
      <c r="E45" s="3" t="str">
        <f t="shared" si="3"/>
        <v>N/A</v>
      </c>
      <c r="F45" s="2" t="str">
        <f t="shared" si="1"/>
        <v>-</v>
      </c>
      <c r="G45" s="28"/>
    </row>
    <row r="46" spans="1:7" s="16" customFormat="1" ht="26.4" x14ac:dyDescent="0.25">
      <c r="A46" s="4" t="s">
        <v>723</v>
      </c>
      <c r="B46" s="4" t="s">
        <v>722</v>
      </c>
      <c r="C46" s="4" t="s">
        <v>74</v>
      </c>
      <c r="D46" s="3" t="s">
        <v>31</v>
      </c>
      <c r="E46" s="3" t="str">
        <f t="shared" si="3"/>
        <v>N/A</v>
      </c>
      <c r="F46" s="2" t="str">
        <f t="shared" si="1"/>
        <v>-</v>
      </c>
      <c r="G46" s="28"/>
    </row>
    <row r="47" spans="1:7" s="16" customFormat="1" ht="28.8" x14ac:dyDescent="0.25">
      <c r="A47" s="4" t="s">
        <v>725</v>
      </c>
      <c r="B47" s="4" t="s">
        <v>724</v>
      </c>
      <c r="C47" s="4" t="s">
        <v>74</v>
      </c>
      <c r="D47" s="18" t="e">
        <f>IF(AND(ISNUMBER('[2]Section H'!$D$47),'[2]Section H'!$D$47&gt;0),'[2]Section H'!$D$47,"Not Required")</f>
        <v>#VALUE!</v>
      </c>
      <c r="E47" s="3" t="str">
        <f t="shared" si="3"/>
        <v>N/A</v>
      </c>
      <c r="F47" s="2" t="str">
        <f t="shared" si="1"/>
        <v>-</v>
      </c>
      <c r="G47" s="28"/>
    </row>
    <row r="48" spans="1:7" s="16" customFormat="1" ht="26.4" x14ac:dyDescent="0.25">
      <c r="A48" s="4" t="s">
        <v>727</v>
      </c>
      <c r="B48" s="4" t="s">
        <v>726</v>
      </c>
      <c r="C48" s="4" t="s">
        <v>23</v>
      </c>
      <c r="D48" s="3" t="s">
        <v>31</v>
      </c>
      <c r="E48" s="3" t="str">
        <f t="shared" si="3"/>
        <v>N/A</v>
      </c>
      <c r="F48" s="2" t="str">
        <f t="shared" si="1"/>
        <v>-</v>
      </c>
      <c r="G48" s="28"/>
    </row>
    <row r="49" spans="1:7" s="16" customFormat="1" ht="39.6" x14ac:dyDescent="0.25">
      <c r="A49" s="4" t="s">
        <v>729</v>
      </c>
      <c r="B49" s="4" t="s">
        <v>728</v>
      </c>
      <c r="C49" s="4" t="s">
        <v>74</v>
      </c>
      <c r="D49" s="18" t="e">
        <f>IF(AND(ISNUMBER('[2]Section H'!$D$49),'[2]Section H'!$D$49&gt;0),'[2]Section H'!$D$49,"Not Required")</f>
        <v>#VALUE!</v>
      </c>
      <c r="E49" s="3" t="str">
        <f t="shared" si="3"/>
        <v>N/A</v>
      </c>
      <c r="F49" s="2" t="str">
        <f t="shared" si="1"/>
        <v>-</v>
      </c>
      <c r="G49" s="28"/>
    </row>
    <row r="50" spans="1:7" s="16" customFormat="1" ht="28.8" x14ac:dyDescent="0.25">
      <c r="A50" s="4" t="s">
        <v>732</v>
      </c>
      <c r="B50" s="4" t="s">
        <v>730</v>
      </c>
      <c r="C50" s="4" t="s">
        <v>74</v>
      </c>
      <c r="D50" s="18" t="e">
        <f>IF(AND(ISNUMBER('[2]Section H'!$D$50),'[2]Section H'!$D$50&gt;0),'[2]Section H'!$D$50,"Not Required")</f>
        <v>#VALUE!</v>
      </c>
      <c r="E50" s="3" t="str">
        <f t="shared" si="3"/>
        <v>N/A</v>
      </c>
      <c r="F50" s="2" t="str">
        <f t="shared" si="1"/>
        <v>-</v>
      </c>
      <c r="G50" s="28"/>
    </row>
    <row r="51" spans="1:7" s="16" customFormat="1" ht="26.4" x14ac:dyDescent="0.25">
      <c r="A51" s="4"/>
      <c r="B51" s="30" t="s">
        <v>731</v>
      </c>
      <c r="C51" s="4"/>
      <c r="D51" s="72"/>
      <c r="E51" s="17"/>
      <c r="F51" s="2"/>
      <c r="G51" s="28"/>
    </row>
    <row r="52" spans="1:7" s="16" customFormat="1" ht="26.4" x14ac:dyDescent="0.25">
      <c r="A52" s="4" t="s">
        <v>733</v>
      </c>
      <c r="B52" s="4" t="s">
        <v>716</v>
      </c>
      <c r="C52" s="4" t="s">
        <v>74</v>
      </c>
      <c r="D52" s="3" t="s">
        <v>31</v>
      </c>
      <c r="E52" s="3" t="str">
        <f t="shared" ref="E52:E54" si="4">IF(ISNUMBER(D52),"","N/A")</f>
        <v>N/A</v>
      </c>
      <c r="F52" s="2" t="str">
        <f t="shared" si="1"/>
        <v>-</v>
      </c>
      <c r="G52" s="28"/>
    </row>
    <row r="53" spans="1:7" s="16" customFormat="1" ht="52.8" x14ac:dyDescent="0.25">
      <c r="A53" s="4" t="s">
        <v>735</v>
      </c>
      <c r="B53" s="4" t="s">
        <v>734</v>
      </c>
      <c r="C53" s="4" t="s">
        <v>74</v>
      </c>
      <c r="D53" s="3" t="s">
        <v>31</v>
      </c>
      <c r="E53" s="3" t="str">
        <f t="shared" si="4"/>
        <v>N/A</v>
      </c>
      <c r="F53" s="2" t="str">
        <f t="shared" si="1"/>
        <v>-</v>
      </c>
      <c r="G53" s="28"/>
    </row>
    <row r="54" spans="1:7" s="16" customFormat="1" ht="39.6" x14ac:dyDescent="0.25">
      <c r="A54" s="4" t="s">
        <v>738</v>
      </c>
      <c r="B54" s="4" t="s">
        <v>736</v>
      </c>
      <c r="C54" s="4" t="s">
        <v>23</v>
      </c>
      <c r="D54" s="3" t="s">
        <v>31</v>
      </c>
      <c r="E54" s="3" t="str">
        <f t="shared" si="4"/>
        <v>N/A</v>
      </c>
      <c r="F54" s="2" t="str">
        <f t="shared" si="1"/>
        <v>-</v>
      </c>
      <c r="G54" s="28"/>
    </row>
    <row r="55" spans="1:7" s="16" customFormat="1" x14ac:dyDescent="0.25">
      <c r="A55" s="4"/>
      <c r="B55" s="54" t="s">
        <v>737</v>
      </c>
      <c r="C55" s="4"/>
      <c r="D55" s="3"/>
      <c r="E55" s="17"/>
      <c r="F55" s="2"/>
      <c r="G55" s="28"/>
    </row>
    <row r="56" spans="1:7" s="16" customFormat="1" ht="66" x14ac:dyDescent="0.25">
      <c r="A56" s="4" t="s">
        <v>740</v>
      </c>
      <c r="B56" s="4" t="s">
        <v>739</v>
      </c>
      <c r="C56" s="4" t="s">
        <v>74</v>
      </c>
      <c r="D56" s="18" t="e">
        <f>IF(AND(ISNUMBER('[2]Section H'!$D$56),'[2]Section H'!$D$56&gt;0),'[2]Section H'!$D$56,"Not Required")</f>
        <v>#VALUE!</v>
      </c>
      <c r="E56" s="3" t="str">
        <f>IF(ISNUMBER(D56),"","N/A")</f>
        <v>N/A</v>
      </c>
      <c r="F56" s="2" t="str">
        <f t="shared" si="1"/>
        <v>-</v>
      </c>
      <c r="G56" s="28"/>
    </row>
    <row r="57" spans="1:7" s="16" customFormat="1" ht="66" x14ac:dyDescent="0.25">
      <c r="A57" s="4" t="s">
        <v>742</v>
      </c>
      <c r="B57" s="4" t="s">
        <v>741</v>
      </c>
      <c r="C57" s="4" t="s">
        <v>74</v>
      </c>
      <c r="D57" s="3" t="s">
        <v>31</v>
      </c>
      <c r="E57" s="3" t="str">
        <f t="shared" ref="E57:E60" si="5">IF(ISNUMBER(D57),"","N/A")</f>
        <v>N/A</v>
      </c>
      <c r="F57" s="2" t="str">
        <f t="shared" si="1"/>
        <v>-</v>
      </c>
      <c r="G57" s="28"/>
    </row>
    <row r="58" spans="1:7" s="16" customFormat="1" ht="66" x14ac:dyDescent="0.25">
      <c r="A58" s="4" t="s">
        <v>744</v>
      </c>
      <c r="B58" s="4" t="s">
        <v>743</v>
      </c>
      <c r="C58" s="4" t="s">
        <v>74</v>
      </c>
      <c r="D58" s="3" t="s">
        <v>31</v>
      </c>
      <c r="E58" s="3" t="str">
        <f t="shared" si="5"/>
        <v>N/A</v>
      </c>
      <c r="F58" s="2" t="str">
        <f t="shared" si="1"/>
        <v>-</v>
      </c>
      <c r="G58" s="28"/>
    </row>
    <row r="59" spans="1:7" s="16" customFormat="1" ht="39.6" x14ac:dyDescent="0.25">
      <c r="A59" s="4" t="s">
        <v>746</v>
      </c>
      <c r="B59" s="4" t="s">
        <v>745</v>
      </c>
      <c r="C59" s="4" t="s">
        <v>201</v>
      </c>
      <c r="D59" s="3" t="s">
        <v>31</v>
      </c>
      <c r="E59" s="3" t="str">
        <f t="shared" si="5"/>
        <v>N/A</v>
      </c>
      <c r="F59" s="2" t="str">
        <f t="shared" si="1"/>
        <v>-</v>
      </c>
      <c r="G59" s="28"/>
    </row>
    <row r="60" spans="1:7" s="16" customFormat="1" ht="39.6" x14ac:dyDescent="0.25">
      <c r="A60" s="4" t="s">
        <v>749</v>
      </c>
      <c r="B60" s="4" t="s">
        <v>747</v>
      </c>
      <c r="C60" s="4" t="s">
        <v>74</v>
      </c>
      <c r="D60" s="138" t="e">
        <f>IF(AND(ISNUMBER('[2]Section H'!$D$60),'[2]Section H'!$D$60&gt;0),'[2]Section H'!$D$60,"Not Required")</f>
        <v>#VALUE!</v>
      </c>
      <c r="E60" s="3" t="str">
        <f t="shared" si="5"/>
        <v>N/A</v>
      </c>
      <c r="F60" s="2" t="str">
        <f t="shared" si="1"/>
        <v>-</v>
      </c>
      <c r="G60" s="28"/>
    </row>
    <row r="61" spans="1:7" s="16" customFormat="1" x14ac:dyDescent="0.25">
      <c r="A61" s="4"/>
      <c r="B61" s="30" t="s">
        <v>748</v>
      </c>
      <c r="C61" s="4"/>
      <c r="D61" s="3"/>
      <c r="E61" s="17"/>
      <c r="F61" s="2"/>
      <c r="G61" s="28"/>
    </row>
    <row r="62" spans="1:7" s="16" customFormat="1" ht="26.4" x14ac:dyDescent="0.25">
      <c r="A62" s="4" t="s">
        <v>751</v>
      </c>
      <c r="B62" s="4" t="s">
        <v>750</v>
      </c>
      <c r="C62" s="4" t="s">
        <v>74</v>
      </c>
      <c r="D62" s="3" t="s">
        <v>31</v>
      </c>
      <c r="E62" s="17" t="s">
        <v>32</v>
      </c>
      <c r="F62" s="2" t="str">
        <f t="shared" si="1"/>
        <v>-</v>
      </c>
      <c r="G62" s="28"/>
    </row>
    <row r="63" spans="1:7" s="16" customFormat="1" ht="26.4" x14ac:dyDescent="0.25">
      <c r="A63" s="4" t="s">
        <v>753</v>
      </c>
      <c r="B63" s="4" t="s">
        <v>752</v>
      </c>
      <c r="C63" s="4" t="s">
        <v>74</v>
      </c>
      <c r="D63" s="3" t="s">
        <v>31</v>
      </c>
      <c r="E63" s="17" t="s">
        <v>32</v>
      </c>
      <c r="F63" s="2" t="str">
        <f t="shared" si="1"/>
        <v>-</v>
      </c>
      <c r="G63" s="28"/>
    </row>
    <row r="64" spans="1:7" s="16" customFormat="1" ht="26.4" x14ac:dyDescent="0.25">
      <c r="A64" s="4" t="s">
        <v>755</v>
      </c>
      <c r="B64" s="4" t="s">
        <v>754</v>
      </c>
      <c r="C64" s="4" t="s">
        <v>74</v>
      </c>
      <c r="D64" s="3" t="s">
        <v>31</v>
      </c>
      <c r="E64" s="17" t="s">
        <v>32</v>
      </c>
      <c r="F64" s="2" t="str">
        <f t="shared" si="1"/>
        <v>-</v>
      </c>
      <c r="G64" s="28"/>
    </row>
    <row r="65" spans="1:7" s="16" customFormat="1" ht="26.4" x14ac:dyDescent="0.25">
      <c r="A65" s="4" t="s">
        <v>757</v>
      </c>
      <c r="B65" s="4" t="s">
        <v>756</v>
      </c>
      <c r="C65" s="4" t="s">
        <v>231</v>
      </c>
      <c r="D65" s="3" t="s">
        <v>31</v>
      </c>
      <c r="E65" s="17" t="s">
        <v>32</v>
      </c>
      <c r="F65" s="2" t="str">
        <f t="shared" si="1"/>
        <v>-</v>
      </c>
      <c r="G65" s="28"/>
    </row>
    <row r="66" spans="1:7" s="16" customFormat="1" ht="26.4" x14ac:dyDescent="0.25">
      <c r="A66" s="4" t="s">
        <v>759</v>
      </c>
      <c r="B66" s="4" t="s">
        <v>758</v>
      </c>
      <c r="C66" s="4" t="s">
        <v>231</v>
      </c>
      <c r="D66" s="3" t="s">
        <v>31</v>
      </c>
      <c r="E66" s="17" t="s">
        <v>32</v>
      </c>
      <c r="F66" s="2" t="str">
        <f t="shared" si="1"/>
        <v>-</v>
      </c>
      <c r="G66" s="28"/>
    </row>
    <row r="67" spans="1:7" s="16" customFormat="1" ht="26.4" x14ac:dyDescent="0.25">
      <c r="A67" s="4" t="s">
        <v>1230</v>
      </c>
      <c r="B67" s="4" t="s">
        <v>760</v>
      </c>
      <c r="C67" s="4" t="s">
        <v>231</v>
      </c>
      <c r="D67" s="3" t="s">
        <v>31</v>
      </c>
      <c r="E67" s="17" t="s">
        <v>32</v>
      </c>
      <c r="F67" s="2" t="str">
        <f t="shared" si="1"/>
        <v>-</v>
      </c>
      <c r="G67" s="28"/>
    </row>
    <row r="68" spans="1:7" s="16" customFormat="1" ht="12.75" customHeight="1" thickBot="1" x14ac:dyDescent="0.3">
      <c r="A68" s="70"/>
      <c r="B68" s="70"/>
      <c r="C68" s="70"/>
      <c r="D68" s="72"/>
      <c r="E68" s="73"/>
      <c r="F68" s="2"/>
      <c r="G68" s="28"/>
    </row>
    <row r="69" spans="1:7" ht="13.8" thickBot="1" x14ac:dyDescent="0.3">
      <c r="B69" s="58" t="s">
        <v>761</v>
      </c>
      <c r="C69" s="59"/>
      <c r="D69" s="59"/>
      <c r="E69" s="92"/>
      <c r="F69" s="88">
        <f>SUM(F10:F67)</f>
        <v>0</v>
      </c>
      <c r="G69" s="8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9DE3-6FFC-4875-A581-4CB099DD1063}">
  <dimension ref="A7:G49"/>
  <sheetViews>
    <sheetView topLeftCell="A19" workbookViewId="0">
      <selection activeCell="E26" sqref="E26"/>
    </sheetView>
  </sheetViews>
  <sheetFormatPr defaultColWidth="9.21875" defaultRowHeight="13.2" x14ac:dyDescent="0.25"/>
  <cols>
    <col min="1" max="1" width="9.21875" style="8"/>
    <col min="2" max="2" width="35.77734375" style="8" customWidth="1"/>
    <col min="3" max="3" width="8.21875" style="23" customWidth="1"/>
    <col min="4" max="5" width="11.44140625" style="23" customWidth="1"/>
    <col min="6" max="6" width="11.44140625" style="99" customWidth="1"/>
    <col min="7" max="7" width="3.21875" style="25" customWidth="1"/>
    <col min="8" max="16384" width="9.21875" style="8"/>
  </cols>
  <sheetData>
    <row r="7" spans="1:7" x14ac:dyDescent="0.25">
      <c r="A7" s="6" t="s">
        <v>15</v>
      </c>
      <c r="B7" s="6" t="s">
        <v>16</v>
      </c>
      <c r="C7" s="6" t="s">
        <v>17</v>
      </c>
      <c r="D7" s="6" t="s">
        <v>0</v>
      </c>
      <c r="E7" s="6" t="s">
        <v>1</v>
      </c>
      <c r="F7" s="93" t="s">
        <v>18</v>
      </c>
      <c r="G7" s="100"/>
    </row>
    <row r="8" spans="1:7" x14ac:dyDescent="0.25">
      <c r="A8" s="35"/>
      <c r="B8" s="35"/>
      <c r="C8" s="36"/>
      <c r="D8" s="36"/>
      <c r="E8" s="36" t="s">
        <v>19</v>
      </c>
      <c r="F8" s="94" t="s">
        <v>19</v>
      </c>
    </row>
    <row r="9" spans="1:7" x14ac:dyDescent="0.25">
      <c r="A9" s="48" t="s">
        <v>762</v>
      </c>
      <c r="B9" s="48" t="s">
        <v>763</v>
      </c>
      <c r="C9" s="101"/>
      <c r="D9" s="101"/>
      <c r="E9" s="101"/>
      <c r="F9" s="95"/>
      <c r="G9" s="96"/>
    </row>
    <row r="10" spans="1:7" x14ac:dyDescent="0.25">
      <c r="A10" s="102"/>
      <c r="B10" s="30" t="s">
        <v>764</v>
      </c>
      <c r="C10" s="103"/>
      <c r="D10" s="103"/>
      <c r="E10" s="104"/>
      <c r="F10" s="31"/>
      <c r="G10" s="97"/>
    </row>
    <row r="11" spans="1:7" ht="39.6" x14ac:dyDescent="0.25">
      <c r="A11" s="105" t="s">
        <v>765</v>
      </c>
      <c r="B11" s="105" t="s">
        <v>766</v>
      </c>
      <c r="C11" s="106" t="s">
        <v>168</v>
      </c>
      <c r="D11" s="138" t="str">
        <f>IF(AND(ISNUMBER('[2]Section I'!D11),'[2]Section I'!D11&gt;0),'[2]Section I'!D11,"Not Required")</f>
        <v>Not Required</v>
      </c>
      <c r="E11" s="104" t="str">
        <f>IF(ISNUMBER(D11),"","N/A")</f>
        <v>N/A</v>
      </c>
      <c r="F11" s="2" t="str">
        <f>IF(ISNUMBER(D11),D11*E11,"-")</f>
        <v>-</v>
      </c>
      <c r="G11" s="97"/>
    </row>
    <row r="12" spans="1:7" ht="28.8" x14ac:dyDescent="0.25">
      <c r="A12" s="105" t="s">
        <v>767</v>
      </c>
      <c r="B12" s="105" t="s">
        <v>768</v>
      </c>
      <c r="C12" s="106" t="s">
        <v>74</v>
      </c>
      <c r="D12" s="138" t="e">
        <f>IF(AND(ISNUMBER('[2]Section I'!D12),'[2]Section I'!D12&gt;0),'[2]Section I'!D12,"Not Required")</f>
        <v>#VALUE!</v>
      </c>
      <c r="E12" s="104" t="str">
        <f t="shared" ref="E12:E48" si="0">IF(ISNUMBER(D12),"","N/A")</f>
        <v>N/A</v>
      </c>
      <c r="F12" s="2" t="str">
        <f t="shared" ref="F12:F48" si="1">IF(ISNUMBER(D12),D12*E12,"-")</f>
        <v>-</v>
      </c>
      <c r="G12" s="97"/>
    </row>
    <row r="13" spans="1:7" ht="28.8" x14ac:dyDescent="0.25">
      <c r="A13" s="105" t="s">
        <v>769</v>
      </c>
      <c r="B13" s="105" t="s">
        <v>770</v>
      </c>
      <c r="C13" s="106" t="s">
        <v>168</v>
      </c>
      <c r="D13" s="138" t="e">
        <f>IF(AND(ISNUMBER('[2]Section I'!D13),'[2]Section I'!D13&gt;0),'[2]Section I'!D13,"Not Required")</f>
        <v>#VALUE!</v>
      </c>
      <c r="E13" s="104" t="str">
        <f t="shared" si="0"/>
        <v>N/A</v>
      </c>
      <c r="F13" s="2" t="str">
        <f t="shared" si="1"/>
        <v>-</v>
      </c>
      <c r="G13" s="97"/>
    </row>
    <row r="14" spans="1:7" ht="28.8" x14ac:dyDescent="0.25">
      <c r="A14" s="105" t="s">
        <v>771</v>
      </c>
      <c r="B14" s="105" t="s">
        <v>772</v>
      </c>
      <c r="C14" s="106" t="s">
        <v>168</v>
      </c>
      <c r="D14" s="138" t="str">
        <f>IF(AND(ISNUMBER('[2]Section I'!D14),'[2]Section I'!D14&gt;0),'[2]Section I'!D14,"Not Required")</f>
        <v>Not Required</v>
      </c>
      <c r="E14" s="104" t="str">
        <f t="shared" si="0"/>
        <v>N/A</v>
      </c>
      <c r="F14" s="2" t="str">
        <f t="shared" si="1"/>
        <v>-</v>
      </c>
      <c r="G14" s="97"/>
    </row>
    <row r="15" spans="1:7" ht="28.8" x14ac:dyDescent="0.25">
      <c r="A15" s="105" t="s">
        <v>773</v>
      </c>
      <c r="B15" s="105" t="s">
        <v>774</v>
      </c>
      <c r="C15" s="106" t="s">
        <v>168</v>
      </c>
      <c r="D15" s="138" t="e">
        <f>IF(AND(ISNUMBER('[2]Section I'!D15),'[2]Section I'!D15&gt;0),'[2]Section I'!D15,"Not Required")</f>
        <v>#VALUE!</v>
      </c>
      <c r="E15" s="104" t="str">
        <f t="shared" si="0"/>
        <v>N/A</v>
      </c>
      <c r="F15" s="2" t="str">
        <f t="shared" si="1"/>
        <v>-</v>
      </c>
      <c r="G15" s="97"/>
    </row>
    <row r="16" spans="1:7" ht="28.8" x14ac:dyDescent="0.25">
      <c r="A16" s="105" t="s">
        <v>775</v>
      </c>
      <c r="B16" s="105" t="s">
        <v>776</v>
      </c>
      <c r="C16" s="106" t="s">
        <v>168</v>
      </c>
      <c r="D16" s="138" t="str">
        <f>IF(AND(ISNUMBER('[2]Section I'!D16),'[2]Section I'!D16&gt;0),'[2]Section I'!D16,"Not Required")</f>
        <v>Not Required</v>
      </c>
      <c r="E16" s="104" t="str">
        <f t="shared" si="0"/>
        <v>N/A</v>
      </c>
      <c r="F16" s="2" t="str">
        <f t="shared" si="1"/>
        <v>-</v>
      </c>
      <c r="G16" s="97"/>
    </row>
    <row r="17" spans="1:7" ht="28.8" x14ac:dyDescent="0.25">
      <c r="A17" s="105" t="s">
        <v>777</v>
      </c>
      <c r="B17" s="105" t="s">
        <v>778</v>
      </c>
      <c r="C17" s="106" t="s">
        <v>168</v>
      </c>
      <c r="D17" s="138" t="str">
        <f>IF(AND(ISNUMBER('[2]Section I'!D17),'[2]Section I'!D17&gt;0),'[2]Section I'!D17,"Not Required")</f>
        <v>Not Required</v>
      </c>
      <c r="E17" s="104" t="str">
        <f t="shared" si="0"/>
        <v>N/A</v>
      </c>
      <c r="F17" s="2" t="str">
        <f t="shared" si="1"/>
        <v>-</v>
      </c>
      <c r="G17" s="97"/>
    </row>
    <row r="18" spans="1:7" ht="28.8" x14ac:dyDescent="0.25">
      <c r="A18" s="105" t="s">
        <v>779</v>
      </c>
      <c r="B18" s="105" t="s">
        <v>780</v>
      </c>
      <c r="C18" s="106" t="s">
        <v>168</v>
      </c>
      <c r="D18" s="138" t="str">
        <f>IF(AND(ISNUMBER('[2]Section I'!D18),'[2]Section I'!D18&gt;0),'[2]Section I'!D18,"Not Required")</f>
        <v>Not Required</v>
      </c>
      <c r="E18" s="104" t="str">
        <f t="shared" si="0"/>
        <v>N/A</v>
      </c>
      <c r="F18" s="2" t="str">
        <f t="shared" si="1"/>
        <v>-</v>
      </c>
      <c r="G18" s="97"/>
    </row>
    <row r="19" spans="1:7" ht="28.8" x14ac:dyDescent="0.25">
      <c r="A19" s="105" t="s">
        <v>781</v>
      </c>
      <c r="B19" s="105" t="s">
        <v>782</v>
      </c>
      <c r="C19" s="106" t="s">
        <v>168</v>
      </c>
      <c r="D19" s="138" t="e">
        <f>IF(AND(ISNUMBER('[2]Section I'!D19),'[2]Section I'!D19&gt;0),'[2]Section I'!D19,"Not Required")</f>
        <v>#VALUE!</v>
      </c>
      <c r="E19" s="104" t="str">
        <f t="shared" si="0"/>
        <v>N/A</v>
      </c>
      <c r="F19" s="2" t="str">
        <f t="shared" si="1"/>
        <v>-</v>
      </c>
      <c r="G19" s="97"/>
    </row>
    <row r="20" spans="1:7" ht="32.1" customHeight="1" x14ac:dyDescent="0.25">
      <c r="A20" s="105" t="s">
        <v>783</v>
      </c>
      <c r="B20" s="105" t="s">
        <v>784</v>
      </c>
      <c r="C20" s="106" t="s">
        <v>168</v>
      </c>
      <c r="D20" s="106" t="s">
        <v>31</v>
      </c>
      <c r="E20" s="104" t="str">
        <f t="shared" si="0"/>
        <v>N/A</v>
      </c>
      <c r="F20" s="2" t="str">
        <f t="shared" si="1"/>
        <v>-</v>
      </c>
      <c r="G20" s="109"/>
    </row>
    <row r="21" spans="1:7" ht="26.4" x14ac:dyDescent="0.25">
      <c r="A21" s="105" t="s">
        <v>785</v>
      </c>
      <c r="B21" s="105" t="s">
        <v>786</v>
      </c>
      <c r="C21" s="106" t="s">
        <v>168</v>
      </c>
      <c r="D21" s="106" t="s">
        <v>31</v>
      </c>
      <c r="E21" s="104" t="str">
        <f t="shared" si="0"/>
        <v>N/A</v>
      </c>
      <c r="F21" s="2" t="str">
        <f t="shared" si="1"/>
        <v>-</v>
      </c>
      <c r="G21" s="109"/>
    </row>
    <row r="22" spans="1:7" ht="26.4" x14ac:dyDescent="0.25">
      <c r="A22" s="105" t="s">
        <v>787</v>
      </c>
      <c r="B22" s="105" t="s">
        <v>788</v>
      </c>
      <c r="C22" s="106" t="s">
        <v>168</v>
      </c>
      <c r="D22" s="106" t="s">
        <v>31</v>
      </c>
      <c r="E22" s="104" t="str">
        <f t="shared" si="0"/>
        <v>N/A</v>
      </c>
      <c r="F22" s="2" t="str">
        <f t="shared" si="1"/>
        <v>-</v>
      </c>
      <c r="G22" s="109"/>
    </row>
    <row r="23" spans="1:7" ht="26.4" x14ac:dyDescent="0.25">
      <c r="A23" s="105" t="s">
        <v>789</v>
      </c>
      <c r="B23" s="105" t="s">
        <v>790</v>
      </c>
      <c r="C23" s="106" t="s">
        <v>168</v>
      </c>
      <c r="D23" s="106" t="s">
        <v>31</v>
      </c>
      <c r="E23" s="104" t="str">
        <f t="shared" si="0"/>
        <v>N/A</v>
      </c>
      <c r="F23" s="2" t="str">
        <f t="shared" si="1"/>
        <v>-</v>
      </c>
      <c r="G23" s="109"/>
    </row>
    <row r="24" spans="1:7" ht="28.8" x14ac:dyDescent="0.25">
      <c r="A24" s="105" t="s">
        <v>791</v>
      </c>
      <c r="B24" s="105" t="s">
        <v>792</v>
      </c>
      <c r="C24" s="106" t="s">
        <v>74</v>
      </c>
      <c r="D24" s="138" t="e">
        <f>IF(AND(ISNUMBER('[2]Section I'!D24),'[2]Section I'!D24&gt;0),'[2]Section I'!D24,"Not Required")</f>
        <v>#VALUE!</v>
      </c>
      <c r="E24" s="104" t="str">
        <f t="shared" si="0"/>
        <v>N/A</v>
      </c>
      <c r="F24" s="2" t="str">
        <f t="shared" si="1"/>
        <v>-</v>
      </c>
      <c r="G24" s="109"/>
    </row>
    <row r="25" spans="1:7" ht="26.4" x14ac:dyDescent="0.25">
      <c r="A25" s="105" t="s">
        <v>793</v>
      </c>
      <c r="B25" s="105" t="s">
        <v>794</v>
      </c>
      <c r="C25" s="106" t="s">
        <v>74</v>
      </c>
      <c r="D25" s="106" t="s">
        <v>31</v>
      </c>
      <c r="E25" s="104" t="str">
        <f t="shared" si="0"/>
        <v>N/A</v>
      </c>
      <c r="F25" s="2" t="str">
        <f t="shared" si="1"/>
        <v>-</v>
      </c>
      <c r="G25" s="109"/>
    </row>
    <row r="26" spans="1:7" ht="25.5" customHeight="1" x14ac:dyDescent="0.25">
      <c r="A26" s="105" t="s">
        <v>795</v>
      </c>
      <c r="B26" s="105" t="s">
        <v>796</v>
      </c>
      <c r="C26" s="106" t="s">
        <v>74</v>
      </c>
      <c r="D26" s="138" t="e">
        <f>IF(AND(ISNUMBER('[2]Section I'!D26),'[2]Section I'!D26&gt;0),'[2]Section I'!D26,"Not Required")</f>
        <v>#VALUE!</v>
      </c>
      <c r="E26" s="104" t="str">
        <f t="shared" si="0"/>
        <v>N/A</v>
      </c>
      <c r="F26" s="2" t="str">
        <f t="shared" si="1"/>
        <v>-</v>
      </c>
      <c r="G26" s="109"/>
    </row>
    <row r="27" spans="1:7" ht="26.25" customHeight="1" x14ac:dyDescent="0.25">
      <c r="A27" s="105" t="s">
        <v>797</v>
      </c>
      <c r="B27" s="105" t="s">
        <v>798</v>
      </c>
      <c r="C27" s="106" t="s">
        <v>74</v>
      </c>
      <c r="D27" s="138" t="e">
        <f>IF(AND(ISNUMBER('[2]Section I'!D27),'[2]Section I'!D27&gt;0),'[2]Section I'!D27,"Not Required")</f>
        <v>#VALUE!</v>
      </c>
      <c r="E27" s="104" t="str">
        <f t="shared" si="0"/>
        <v>N/A</v>
      </c>
      <c r="F27" s="2" t="str">
        <f t="shared" si="1"/>
        <v>-</v>
      </c>
      <c r="G27" s="109"/>
    </row>
    <row r="28" spans="1:7" ht="26.4" x14ac:dyDescent="0.25">
      <c r="A28" s="105" t="s">
        <v>799</v>
      </c>
      <c r="B28" s="105" t="s">
        <v>800</v>
      </c>
      <c r="C28" s="106" t="s">
        <v>74</v>
      </c>
      <c r="D28" s="106" t="s">
        <v>31</v>
      </c>
      <c r="E28" s="104" t="str">
        <f t="shared" si="0"/>
        <v>N/A</v>
      </c>
      <c r="F28" s="2" t="str">
        <f t="shared" si="1"/>
        <v>-</v>
      </c>
      <c r="G28" s="109"/>
    </row>
    <row r="29" spans="1:7" ht="39.6" x14ac:dyDescent="0.25">
      <c r="A29" s="105" t="s">
        <v>801</v>
      </c>
      <c r="B29" s="105" t="s">
        <v>802</v>
      </c>
      <c r="C29" s="106" t="s">
        <v>74</v>
      </c>
      <c r="D29" s="138" t="e">
        <f>IF(AND(ISNUMBER('[2]Section I'!D29),'[2]Section I'!D29&gt;0),'[2]Section I'!D29,"Not Required")</f>
        <v>#VALUE!</v>
      </c>
      <c r="E29" s="104" t="str">
        <f t="shared" si="0"/>
        <v>N/A</v>
      </c>
      <c r="F29" s="2" t="str">
        <f t="shared" si="1"/>
        <v>-</v>
      </c>
      <c r="G29" s="109"/>
    </row>
    <row r="30" spans="1:7" ht="28.8" x14ac:dyDescent="0.25">
      <c r="A30" s="105" t="s">
        <v>803</v>
      </c>
      <c r="B30" s="105" t="s">
        <v>804</v>
      </c>
      <c r="C30" s="106" t="s">
        <v>74</v>
      </c>
      <c r="D30" s="138" t="e">
        <f>IF(AND(ISNUMBER('[2]Section I'!D30),'[2]Section I'!D30&gt;0),'[2]Section I'!D30,"Not Required")</f>
        <v>#VALUE!</v>
      </c>
      <c r="E30" s="104" t="str">
        <f t="shared" si="0"/>
        <v>N/A</v>
      </c>
      <c r="F30" s="2" t="str">
        <f t="shared" si="1"/>
        <v>-</v>
      </c>
      <c r="G30" s="109"/>
    </row>
    <row r="31" spans="1:7" ht="26.4" x14ac:dyDescent="0.25">
      <c r="A31" s="105"/>
      <c r="B31" s="49" t="s">
        <v>805</v>
      </c>
      <c r="C31" s="106"/>
      <c r="D31" s="106"/>
      <c r="E31" s="104"/>
      <c r="F31" s="2"/>
      <c r="G31" s="109"/>
    </row>
    <row r="32" spans="1:7" ht="26.4" x14ac:dyDescent="0.25">
      <c r="A32" s="105" t="s">
        <v>806</v>
      </c>
      <c r="B32" s="105" t="s">
        <v>807</v>
      </c>
      <c r="C32" s="106" t="s">
        <v>23</v>
      </c>
      <c r="D32" s="106" t="s">
        <v>31</v>
      </c>
      <c r="E32" s="104" t="str">
        <f t="shared" si="0"/>
        <v>N/A</v>
      </c>
      <c r="F32" s="2" t="str">
        <f t="shared" si="1"/>
        <v>-</v>
      </c>
      <c r="G32" s="109"/>
    </row>
    <row r="33" spans="1:7" ht="26.4" x14ac:dyDescent="0.25">
      <c r="A33" s="105" t="s">
        <v>808</v>
      </c>
      <c r="B33" s="105" t="s">
        <v>809</v>
      </c>
      <c r="C33" s="106" t="s">
        <v>178</v>
      </c>
      <c r="D33" s="106" t="s">
        <v>31</v>
      </c>
      <c r="E33" s="104" t="str">
        <f t="shared" si="0"/>
        <v>N/A</v>
      </c>
      <c r="F33" s="2" t="str">
        <f t="shared" si="1"/>
        <v>-</v>
      </c>
      <c r="G33" s="109"/>
    </row>
    <row r="34" spans="1:7" ht="26.4" x14ac:dyDescent="0.25">
      <c r="A34" s="105" t="s">
        <v>810</v>
      </c>
      <c r="B34" s="105" t="s">
        <v>811</v>
      </c>
      <c r="C34" s="106" t="s">
        <v>74</v>
      </c>
      <c r="D34" s="106" t="s">
        <v>31</v>
      </c>
      <c r="E34" s="104" t="str">
        <f t="shared" si="0"/>
        <v>N/A</v>
      </c>
      <c r="F34" s="2" t="str">
        <f t="shared" si="1"/>
        <v>-</v>
      </c>
      <c r="G34" s="109"/>
    </row>
    <row r="35" spans="1:7" ht="26.4" x14ac:dyDescent="0.25">
      <c r="A35" s="105" t="s">
        <v>812</v>
      </c>
      <c r="B35" s="105" t="s">
        <v>813</v>
      </c>
      <c r="C35" s="106" t="s">
        <v>74</v>
      </c>
      <c r="D35" s="106" t="s">
        <v>31</v>
      </c>
      <c r="E35" s="104" t="str">
        <f t="shared" si="0"/>
        <v>N/A</v>
      </c>
      <c r="F35" s="2" t="str">
        <f t="shared" si="1"/>
        <v>-</v>
      </c>
      <c r="G35" s="109"/>
    </row>
    <row r="36" spans="1:7" ht="26.4" x14ac:dyDescent="0.25">
      <c r="A36" s="105" t="s">
        <v>814</v>
      </c>
      <c r="B36" s="105" t="s">
        <v>815</v>
      </c>
      <c r="C36" s="106" t="s">
        <v>74</v>
      </c>
      <c r="D36" s="106" t="s">
        <v>31</v>
      </c>
      <c r="E36" s="104" t="str">
        <f t="shared" si="0"/>
        <v>N/A</v>
      </c>
      <c r="F36" s="2" t="str">
        <f t="shared" si="1"/>
        <v>-</v>
      </c>
      <c r="G36" s="109"/>
    </row>
    <row r="37" spans="1:7" ht="26.4" x14ac:dyDescent="0.25">
      <c r="A37" s="105" t="s">
        <v>816</v>
      </c>
      <c r="B37" s="105" t="s">
        <v>817</v>
      </c>
      <c r="C37" s="106" t="s">
        <v>818</v>
      </c>
      <c r="D37" s="106" t="s">
        <v>31</v>
      </c>
      <c r="E37" s="104" t="str">
        <f t="shared" si="0"/>
        <v>N/A</v>
      </c>
      <c r="F37" s="2" t="str">
        <f t="shared" si="1"/>
        <v>-</v>
      </c>
      <c r="G37" s="109"/>
    </row>
    <row r="38" spans="1:7" x14ac:dyDescent="0.25">
      <c r="A38" s="105"/>
      <c r="B38" s="49" t="s">
        <v>819</v>
      </c>
      <c r="C38" s="106"/>
      <c r="D38" s="106"/>
      <c r="E38" s="104"/>
      <c r="F38" s="2"/>
      <c r="G38" s="109"/>
    </row>
    <row r="39" spans="1:7" ht="39.6" x14ac:dyDescent="0.25">
      <c r="A39" s="105" t="s">
        <v>820</v>
      </c>
      <c r="B39" s="105" t="s">
        <v>821</v>
      </c>
      <c r="C39" s="106" t="s">
        <v>168</v>
      </c>
      <c r="D39" s="106" t="s">
        <v>31</v>
      </c>
      <c r="E39" s="104" t="str">
        <f t="shared" si="0"/>
        <v>N/A</v>
      </c>
      <c r="F39" s="2" t="str">
        <f t="shared" si="1"/>
        <v>-</v>
      </c>
      <c r="G39" s="109"/>
    </row>
    <row r="40" spans="1:7" ht="26.4" x14ac:dyDescent="0.25">
      <c r="A40" s="105" t="s">
        <v>822</v>
      </c>
      <c r="B40" s="105" t="s">
        <v>823</v>
      </c>
      <c r="C40" s="106" t="s">
        <v>183</v>
      </c>
      <c r="D40" s="106" t="s">
        <v>31</v>
      </c>
      <c r="E40" s="104" t="str">
        <f t="shared" si="0"/>
        <v>N/A</v>
      </c>
      <c r="F40" s="2" t="str">
        <f t="shared" si="1"/>
        <v>-</v>
      </c>
      <c r="G40" s="109"/>
    </row>
    <row r="41" spans="1:7" ht="26.4" x14ac:dyDescent="0.25">
      <c r="A41" s="105" t="s">
        <v>824</v>
      </c>
      <c r="B41" s="105" t="s">
        <v>825</v>
      </c>
      <c r="C41" s="106" t="s">
        <v>77</v>
      </c>
      <c r="D41" s="106" t="s">
        <v>31</v>
      </c>
      <c r="E41" s="104" t="str">
        <f t="shared" si="0"/>
        <v>N/A</v>
      </c>
      <c r="F41" s="2" t="str">
        <f t="shared" si="1"/>
        <v>-</v>
      </c>
      <c r="G41" s="109"/>
    </row>
    <row r="42" spans="1:7" ht="26.4" x14ac:dyDescent="0.25">
      <c r="A42" s="105" t="s">
        <v>826</v>
      </c>
      <c r="B42" s="105" t="s">
        <v>827</v>
      </c>
      <c r="C42" s="106" t="s">
        <v>201</v>
      </c>
      <c r="D42" s="106" t="s">
        <v>31</v>
      </c>
      <c r="E42" s="104" t="str">
        <f t="shared" si="0"/>
        <v>N/A</v>
      </c>
      <c r="F42" s="2" t="str">
        <f t="shared" si="1"/>
        <v>-</v>
      </c>
      <c r="G42" s="109"/>
    </row>
    <row r="43" spans="1:7" ht="26.4" x14ac:dyDescent="0.25">
      <c r="A43" s="105" t="s">
        <v>828</v>
      </c>
      <c r="B43" s="105" t="s">
        <v>796</v>
      </c>
      <c r="C43" s="106" t="s">
        <v>74</v>
      </c>
      <c r="D43" s="106" t="s">
        <v>31</v>
      </c>
      <c r="E43" s="104" t="str">
        <f t="shared" si="0"/>
        <v>N/A</v>
      </c>
      <c r="F43" s="2" t="str">
        <f t="shared" si="1"/>
        <v>-</v>
      </c>
      <c r="G43" s="109"/>
    </row>
    <row r="44" spans="1:7" x14ac:dyDescent="0.25">
      <c r="A44" s="105"/>
      <c r="B44" s="49" t="s">
        <v>829</v>
      </c>
      <c r="C44" s="106"/>
      <c r="D44" s="106"/>
      <c r="E44" s="104"/>
      <c r="F44" s="2"/>
      <c r="G44" s="109"/>
    </row>
    <row r="45" spans="1:7" ht="26.4" x14ac:dyDescent="0.25">
      <c r="A45" s="105" t="s">
        <v>830</v>
      </c>
      <c r="B45" s="105" t="s">
        <v>831</v>
      </c>
      <c r="C45" s="106" t="s">
        <v>74</v>
      </c>
      <c r="D45" s="106" t="s">
        <v>31</v>
      </c>
      <c r="E45" s="104" t="str">
        <f t="shared" si="0"/>
        <v>N/A</v>
      </c>
      <c r="F45" s="2" t="str">
        <f t="shared" si="1"/>
        <v>-</v>
      </c>
      <c r="G45" s="109"/>
    </row>
    <row r="46" spans="1:7" ht="52.8" x14ac:dyDescent="0.25">
      <c r="A46" s="105" t="s">
        <v>832</v>
      </c>
      <c r="B46" s="105" t="s">
        <v>833</v>
      </c>
      <c r="C46" s="106" t="s">
        <v>168</v>
      </c>
      <c r="D46" s="106" t="s">
        <v>31</v>
      </c>
      <c r="E46" s="104" t="str">
        <f t="shared" si="0"/>
        <v>N/A</v>
      </c>
      <c r="F46" s="2" t="str">
        <f t="shared" si="1"/>
        <v>-</v>
      </c>
      <c r="G46" s="109"/>
    </row>
    <row r="47" spans="1:7" ht="26.4" x14ac:dyDescent="0.25">
      <c r="A47" s="105" t="s">
        <v>834</v>
      </c>
      <c r="B47" s="105" t="s">
        <v>796</v>
      </c>
      <c r="C47" s="106" t="s">
        <v>74</v>
      </c>
      <c r="D47" s="106" t="s">
        <v>31</v>
      </c>
      <c r="E47" s="104" t="str">
        <f t="shared" si="0"/>
        <v>N/A</v>
      </c>
      <c r="F47" s="2" t="str">
        <f t="shared" si="1"/>
        <v>-</v>
      </c>
      <c r="G47" s="109"/>
    </row>
    <row r="48" spans="1:7" ht="26.4" x14ac:dyDescent="0.25">
      <c r="A48" s="105" t="s">
        <v>835</v>
      </c>
      <c r="B48" s="105" t="s">
        <v>836</v>
      </c>
      <c r="C48" s="106" t="s">
        <v>74</v>
      </c>
      <c r="D48" s="106" t="s">
        <v>31</v>
      </c>
      <c r="E48" s="104" t="str">
        <f t="shared" si="0"/>
        <v>N/A</v>
      </c>
      <c r="F48" s="2" t="str">
        <f t="shared" si="1"/>
        <v>-</v>
      </c>
      <c r="G48" s="109"/>
    </row>
    <row r="49" spans="1:7" ht="12.75" customHeight="1" x14ac:dyDescent="0.25">
      <c r="A49" s="45"/>
      <c r="B49" s="46" t="s">
        <v>837</v>
      </c>
      <c r="C49" s="46"/>
      <c r="D49" s="46"/>
      <c r="E49" s="47"/>
      <c r="F49" s="98">
        <f>SUM(F11:F48)</f>
        <v>0</v>
      </c>
      <c r="G49" s="9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57F2-3790-466C-B774-6E90AB5693F6}">
  <dimension ref="A7:F37"/>
  <sheetViews>
    <sheetView workbookViewId="0">
      <selection activeCell="D12" sqref="D12"/>
    </sheetView>
  </sheetViews>
  <sheetFormatPr defaultColWidth="9.21875" defaultRowHeight="13.2" x14ac:dyDescent="0.25"/>
  <cols>
    <col min="1" max="1" width="9.21875" style="8"/>
    <col min="2" max="2" width="35.77734375" style="8" customWidth="1"/>
    <col min="3" max="3" width="9.77734375" style="23" customWidth="1"/>
    <col min="4" max="4" width="12.77734375" style="23" customWidth="1"/>
    <col min="5" max="5" width="11.44140625" style="23" customWidth="1"/>
    <col min="6" max="6" width="11.44140625" style="25" customWidth="1"/>
    <col min="7" max="16384" width="9.21875" style="8"/>
  </cols>
  <sheetData>
    <row r="7" spans="1:6" x14ac:dyDescent="0.25">
      <c r="A7" s="6" t="s">
        <v>15</v>
      </c>
      <c r="B7" s="6" t="s">
        <v>16</v>
      </c>
      <c r="C7" s="6" t="s">
        <v>17</v>
      </c>
      <c r="D7" s="6" t="s">
        <v>0</v>
      </c>
      <c r="E7" s="6" t="s">
        <v>1</v>
      </c>
      <c r="F7" s="1" t="s">
        <v>18</v>
      </c>
    </row>
    <row r="8" spans="1:6" x14ac:dyDescent="0.25">
      <c r="A8" s="35"/>
      <c r="B8" s="35"/>
      <c r="C8" s="36"/>
      <c r="D8" s="36"/>
      <c r="E8" s="36" t="s">
        <v>19</v>
      </c>
      <c r="F8" s="37" t="s">
        <v>19</v>
      </c>
    </row>
    <row r="9" spans="1:6" ht="26.4" x14ac:dyDescent="0.25">
      <c r="A9" s="48" t="s">
        <v>838</v>
      </c>
      <c r="B9" s="48" t="s">
        <v>839</v>
      </c>
      <c r="C9" s="101"/>
      <c r="D9" s="101"/>
      <c r="E9" s="101"/>
      <c r="F9" s="111"/>
    </row>
    <row r="10" spans="1:6" ht="39.6" x14ac:dyDescent="0.25">
      <c r="A10" s="105" t="s">
        <v>840</v>
      </c>
      <c r="B10" s="105" t="s">
        <v>841</v>
      </c>
      <c r="C10" s="106" t="s">
        <v>74</v>
      </c>
      <c r="D10" s="146" t="s">
        <v>1234</v>
      </c>
      <c r="E10" s="104" t="str">
        <f>IF(ISNUMBER(D10),"","N/A")</f>
        <v>N/A</v>
      </c>
      <c r="F10" s="110" t="str">
        <f>IF(ISNUMBER(D10),D10*E10,"-")</f>
        <v>-</v>
      </c>
    </row>
    <row r="11" spans="1:6" ht="39.6" x14ac:dyDescent="0.25">
      <c r="A11" s="4" t="s">
        <v>842</v>
      </c>
      <c r="B11" s="4" t="s">
        <v>843</v>
      </c>
      <c r="C11" s="3" t="s">
        <v>74</v>
      </c>
      <c r="D11" s="146" t="s">
        <v>1234</v>
      </c>
      <c r="E11" s="104" t="str">
        <f t="shared" ref="E11:E36" si="0">IF(ISNUMBER(D11),"","N/A")</f>
        <v>N/A</v>
      </c>
      <c r="F11" s="110" t="str">
        <f t="shared" ref="F11:F36" si="1">IF(ISNUMBER(D11),D11*E11,"-")</f>
        <v>-</v>
      </c>
    </row>
    <row r="12" spans="1:6" ht="39.6" x14ac:dyDescent="0.25">
      <c r="A12" s="4" t="s">
        <v>844</v>
      </c>
      <c r="B12" s="4" t="s">
        <v>845</v>
      </c>
      <c r="C12" s="3" t="s">
        <v>74</v>
      </c>
      <c r="D12" s="106" t="s">
        <v>31</v>
      </c>
      <c r="E12" s="104" t="str">
        <f t="shared" si="0"/>
        <v>N/A</v>
      </c>
      <c r="F12" s="110" t="str">
        <f t="shared" si="1"/>
        <v>-</v>
      </c>
    </row>
    <row r="13" spans="1:6" ht="39.6" x14ac:dyDescent="0.25">
      <c r="A13" s="4" t="s">
        <v>846</v>
      </c>
      <c r="B13" s="4" t="s">
        <v>847</v>
      </c>
      <c r="C13" s="3" t="s">
        <v>74</v>
      </c>
      <c r="D13" s="106" t="s">
        <v>31</v>
      </c>
      <c r="E13" s="104" t="str">
        <f t="shared" si="0"/>
        <v>N/A</v>
      </c>
      <c r="F13" s="110" t="str">
        <f t="shared" si="1"/>
        <v>-</v>
      </c>
    </row>
    <row r="14" spans="1:6" ht="52.8" x14ac:dyDescent="0.25">
      <c r="A14" s="4" t="s">
        <v>848</v>
      </c>
      <c r="B14" s="4" t="s">
        <v>849</v>
      </c>
      <c r="C14" s="3" t="s">
        <v>74</v>
      </c>
      <c r="D14" s="106" t="s">
        <v>31</v>
      </c>
      <c r="E14" s="104" t="str">
        <f t="shared" si="0"/>
        <v>N/A</v>
      </c>
      <c r="F14" s="110" t="str">
        <f t="shared" si="1"/>
        <v>-</v>
      </c>
    </row>
    <row r="15" spans="1:6" ht="26.4" x14ac:dyDescent="0.25">
      <c r="A15" s="4" t="s">
        <v>850</v>
      </c>
      <c r="B15" s="4" t="s">
        <v>851</v>
      </c>
      <c r="C15" s="3" t="s">
        <v>178</v>
      </c>
      <c r="D15" s="106" t="s">
        <v>31</v>
      </c>
      <c r="E15" s="104" t="str">
        <f t="shared" si="0"/>
        <v>N/A</v>
      </c>
      <c r="F15" s="110" t="str">
        <f t="shared" si="1"/>
        <v>-</v>
      </c>
    </row>
    <row r="16" spans="1:6" ht="39.6" x14ac:dyDescent="0.25">
      <c r="A16" s="4" t="s">
        <v>852</v>
      </c>
      <c r="B16" s="4" t="s">
        <v>853</v>
      </c>
      <c r="C16" s="3" t="s">
        <v>74</v>
      </c>
      <c r="D16" s="106" t="s">
        <v>31</v>
      </c>
      <c r="E16" s="104" t="str">
        <f t="shared" si="0"/>
        <v>N/A</v>
      </c>
      <c r="F16" s="110" t="str">
        <f t="shared" si="1"/>
        <v>-</v>
      </c>
    </row>
    <row r="17" spans="1:6" ht="39.6" x14ac:dyDescent="0.25">
      <c r="A17" s="4" t="s">
        <v>854</v>
      </c>
      <c r="B17" s="4" t="s">
        <v>855</v>
      </c>
      <c r="C17" s="3" t="s">
        <v>74</v>
      </c>
      <c r="D17" s="106" t="s">
        <v>31</v>
      </c>
      <c r="E17" s="104" t="str">
        <f t="shared" si="0"/>
        <v>N/A</v>
      </c>
      <c r="F17" s="110" t="str">
        <f t="shared" si="1"/>
        <v>-</v>
      </c>
    </row>
    <row r="18" spans="1:6" ht="26.4" x14ac:dyDescent="0.25">
      <c r="A18" s="4"/>
      <c r="B18" s="30" t="s">
        <v>856</v>
      </c>
      <c r="C18" s="3"/>
      <c r="D18" s="4"/>
      <c r="E18" s="104"/>
      <c r="F18" s="110"/>
    </row>
    <row r="19" spans="1:6" ht="28.8" x14ac:dyDescent="0.25">
      <c r="A19" s="4" t="s">
        <v>857</v>
      </c>
      <c r="B19" s="4" t="s">
        <v>858</v>
      </c>
      <c r="C19" s="3" t="s">
        <v>74</v>
      </c>
      <c r="D19" s="146" t="s">
        <v>1234</v>
      </c>
      <c r="E19" s="104" t="str">
        <f t="shared" si="0"/>
        <v>N/A</v>
      </c>
      <c r="F19" s="110" t="str">
        <f t="shared" si="1"/>
        <v>-</v>
      </c>
    </row>
    <row r="20" spans="1:6" ht="39.6" x14ac:dyDescent="0.25">
      <c r="A20" s="4" t="s">
        <v>859</v>
      </c>
      <c r="B20" s="4" t="s">
        <v>860</v>
      </c>
      <c r="C20" s="3" t="s">
        <v>74</v>
      </c>
      <c r="D20" s="146" t="s">
        <v>1234</v>
      </c>
      <c r="E20" s="104" t="str">
        <f t="shared" si="0"/>
        <v>N/A</v>
      </c>
      <c r="F20" s="110" t="str">
        <f t="shared" si="1"/>
        <v>-</v>
      </c>
    </row>
    <row r="21" spans="1:6" ht="39.6" x14ac:dyDescent="0.25">
      <c r="A21" s="4" t="s">
        <v>861</v>
      </c>
      <c r="B21" s="4" t="s">
        <v>862</v>
      </c>
      <c r="C21" s="3" t="s">
        <v>74</v>
      </c>
      <c r="D21" s="146" t="s">
        <v>1234</v>
      </c>
      <c r="E21" s="104" t="str">
        <f t="shared" si="0"/>
        <v>N/A</v>
      </c>
      <c r="F21" s="110" t="str">
        <f t="shared" si="1"/>
        <v>-</v>
      </c>
    </row>
    <row r="22" spans="1:6" ht="39.6" x14ac:dyDescent="0.25">
      <c r="A22" s="4" t="s">
        <v>863</v>
      </c>
      <c r="B22" s="4" t="s">
        <v>864</v>
      </c>
      <c r="C22" s="3" t="s">
        <v>74</v>
      </c>
      <c r="D22" s="4" t="s">
        <v>31</v>
      </c>
      <c r="E22" s="104" t="str">
        <f t="shared" si="0"/>
        <v>N/A</v>
      </c>
      <c r="F22" s="110" t="str">
        <f t="shared" si="1"/>
        <v>-</v>
      </c>
    </row>
    <row r="23" spans="1:6" ht="24.75" customHeight="1" x14ac:dyDescent="0.25">
      <c r="A23" s="4" t="s">
        <v>865</v>
      </c>
      <c r="B23" s="4" t="s">
        <v>866</v>
      </c>
      <c r="C23" s="3" t="s">
        <v>74</v>
      </c>
      <c r="D23" s="4" t="s">
        <v>31</v>
      </c>
      <c r="E23" s="104" t="str">
        <f t="shared" si="0"/>
        <v>N/A</v>
      </c>
      <c r="F23" s="110" t="str">
        <f t="shared" si="1"/>
        <v>-</v>
      </c>
    </row>
    <row r="24" spans="1:6" ht="52.8" x14ac:dyDescent="0.25">
      <c r="A24" s="4" t="s">
        <v>867</v>
      </c>
      <c r="B24" s="4" t="s">
        <v>868</v>
      </c>
      <c r="C24" s="3" t="s">
        <v>74</v>
      </c>
      <c r="D24" s="4" t="s">
        <v>31</v>
      </c>
      <c r="E24" s="104" t="str">
        <f t="shared" si="0"/>
        <v>N/A</v>
      </c>
      <c r="F24" s="110" t="str">
        <f t="shared" si="1"/>
        <v>-</v>
      </c>
    </row>
    <row r="25" spans="1:6" ht="26.4" x14ac:dyDescent="0.25">
      <c r="A25" s="4" t="s">
        <v>869</v>
      </c>
      <c r="B25" s="4" t="s">
        <v>870</v>
      </c>
      <c r="C25" s="3" t="s">
        <v>178</v>
      </c>
      <c r="D25" s="4" t="s">
        <v>1210</v>
      </c>
      <c r="E25" s="104" t="str">
        <f t="shared" si="0"/>
        <v>N/A</v>
      </c>
      <c r="F25" s="110" t="str">
        <f t="shared" si="1"/>
        <v>-</v>
      </c>
    </row>
    <row r="26" spans="1:6" ht="39.6" x14ac:dyDescent="0.25">
      <c r="A26" s="4" t="s">
        <v>871</v>
      </c>
      <c r="B26" s="4" t="s">
        <v>872</v>
      </c>
      <c r="C26" s="3" t="s">
        <v>74</v>
      </c>
      <c r="D26" s="4" t="s">
        <v>31</v>
      </c>
      <c r="E26" s="104" t="str">
        <f t="shared" si="0"/>
        <v>N/A</v>
      </c>
      <c r="F26" s="110" t="str">
        <f t="shared" si="1"/>
        <v>-</v>
      </c>
    </row>
    <row r="27" spans="1:6" ht="39.6" x14ac:dyDescent="0.25">
      <c r="A27" s="4" t="s">
        <v>873</v>
      </c>
      <c r="B27" s="4" t="s">
        <v>874</v>
      </c>
      <c r="C27" s="3" t="s">
        <v>74</v>
      </c>
      <c r="D27" s="4" t="s">
        <v>31</v>
      </c>
      <c r="E27" s="104" t="str">
        <f t="shared" si="0"/>
        <v>N/A</v>
      </c>
      <c r="F27" s="110" t="str">
        <f t="shared" si="1"/>
        <v>-</v>
      </c>
    </row>
    <row r="28" spans="1:6" ht="26.4" x14ac:dyDescent="0.25">
      <c r="A28" s="4" t="s">
        <v>875</v>
      </c>
      <c r="B28" s="4" t="s">
        <v>876</v>
      </c>
      <c r="C28" s="3" t="s">
        <v>23</v>
      </c>
      <c r="D28" s="4" t="s">
        <v>31</v>
      </c>
      <c r="E28" s="104" t="str">
        <f t="shared" si="0"/>
        <v>N/A</v>
      </c>
      <c r="F28" s="110" t="str">
        <f t="shared" si="1"/>
        <v>-</v>
      </c>
    </row>
    <row r="29" spans="1:6" ht="26.4" x14ac:dyDescent="0.25">
      <c r="A29" s="4" t="s">
        <v>877</v>
      </c>
      <c r="B29" s="4" t="s">
        <v>878</v>
      </c>
      <c r="C29" s="3" t="s">
        <v>74</v>
      </c>
      <c r="D29" s="4" t="s">
        <v>31</v>
      </c>
      <c r="E29" s="104" t="str">
        <f t="shared" si="0"/>
        <v>N/A</v>
      </c>
      <c r="F29" s="110" t="str">
        <f t="shared" si="1"/>
        <v>-</v>
      </c>
    </row>
    <row r="30" spans="1:6" ht="26.4" x14ac:dyDescent="0.25">
      <c r="A30" s="4" t="s">
        <v>879</v>
      </c>
      <c r="B30" s="4" t="s">
        <v>880</v>
      </c>
      <c r="C30" s="3" t="s">
        <v>74</v>
      </c>
      <c r="D30" s="4" t="s">
        <v>31</v>
      </c>
      <c r="E30" s="104" t="str">
        <f t="shared" si="0"/>
        <v>N/A</v>
      </c>
      <c r="F30" s="110" t="str">
        <f t="shared" si="1"/>
        <v>-</v>
      </c>
    </row>
    <row r="31" spans="1:6" ht="39.6" x14ac:dyDescent="0.25">
      <c r="A31" s="4" t="s">
        <v>881</v>
      </c>
      <c r="B31" s="4" t="s">
        <v>882</v>
      </c>
      <c r="C31" s="3" t="s">
        <v>231</v>
      </c>
      <c r="D31" s="4" t="s">
        <v>31</v>
      </c>
      <c r="E31" s="104" t="str">
        <f t="shared" si="0"/>
        <v>N/A</v>
      </c>
      <c r="F31" s="110" t="str">
        <f t="shared" si="1"/>
        <v>-</v>
      </c>
    </row>
    <row r="32" spans="1:6" ht="26.4" x14ac:dyDescent="0.25">
      <c r="A32" s="4"/>
      <c r="B32" s="30" t="s">
        <v>883</v>
      </c>
      <c r="C32" s="3"/>
      <c r="D32" s="83"/>
      <c r="E32" s="104"/>
      <c r="F32" s="110"/>
    </row>
    <row r="33" spans="1:6" ht="26.4" x14ac:dyDescent="0.25">
      <c r="A33" s="4" t="s">
        <v>884</v>
      </c>
      <c r="B33" s="4" t="s">
        <v>885</v>
      </c>
      <c r="C33" s="3" t="s">
        <v>74</v>
      </c>
      <c r="D33" s="4" t="s">
        <v>31</v>
      </c>
      <c r="E33" s="104" t="str">
        <f t="shared" si="0"/>
        <v>N/A</v>
      </c>
      <c r="F33" s="110" t="str">
        <f t="shared" si="1"/>
        <v>-</v>
      </c>
    </row>
    <row r="34" spans="1:6" ht="26.4" x14ac:dyDescent="0.25">
      <c r="A34" s="4" t="s">
        <v>886</v>
      </c>
      <c r="B34" s="4" t="s">
        <v>887</v>
      </c>
      <c r="C34" s="3" t="s">
        <v>74</v>
      </c>
      <c r="D34" s="4" t="s">
        <v>31</v>
      </c>
      <c r="E34" s="104" t="str">
        <f t="shared" si="0"/>
        <v>N/A</v>
      </c>
      <c r="F34" s="110" t="str">
        <f t="shared" si="1"/>
        <v>-</v>
      </c>
    </row>
    <row r="35" spans="1:6" ht="52.8" x14ac:dyDescent="0.25">
      <c r="A35" s="4" t="s">
        <v>888</v>
      </c>
      <c r="B35" s="4" t="s">
        <v>889</v>
      </c>
      <c r="C35" s="3" t="s">
        <v>74</v>
      </c>
      <c r="D35" s="4" t="s">
        <v>31</v>
      </c>
      <c r="E35" s="104" t="str">
        <f t="shared" si="0"/>
        <v>N/A</v>
      </c>
      <c r="F35" s="110" t="str">
        <f t="shared" si="1"/>
        <v>-</v>
      </c>
    </row>
    <row r="36" spans="1:6" ht="52.8" x14ac:dyDescent="0.25">
      <c r="A36" s="4" t="s">
        <v>890</v>
      </c>
      <c r="B36" s="4" t="s">
        <v>891</v>
      </c>
      <c r="C36" s="3" t="s">
        <v>74</v>
      </c>
      <c r="D36" s="4" t="s">
        <v>31</v>
      </c>
      <c r="E36" s="104" t="str">
        <f t="shared" si="0"/>
        <v>N/A</v>
      </c>
      <c r="F36" s="110" t="str">
        <f t="shared" si="1"/>
        <v>-</v>
      </c>
    </row>
    <row r="37" spans="1:6" ht="12.75" customHeight="1" x14ac:dyDescent="0.25">
      <c r="A37" s="45"/>
      <c r="B37" s="45" t="s">
        <v>892</v>
      </c>
      <c r="C37" s="46"/>
      <c r="D37" s="46"/>
      <c r="E37" s="47"/>
      <c r="F37" s="12">
        <f>SUM(F10:F36)</f>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F271-BA19-455F-B125-7736E1EF196C}">
  <dimension ref="A7:F133"/>
  <sheetViews>
    <sheetView topLeftCell="A116" zoomScaleNormal="100" workbookViewId="0">
      <selection activeCell="H126" sqref="H126"/>
    </sheetView>
  </sheetViews>
  <sheetFormatPr defaultColWidth="9.21875" defaultRowHeight="13.2" x14ac:dyDescent="0.25"/>
  <cols>
    <col min="1" max="1" width="9.21875" style="8"/>
    <col min="2" max="2" width="35.77734375" style="8" customWidth="1"/>
    <col min="3" max="3" width="9.5546875" style="23" customWidth="1"/>
    <col min="4" max="4" width="11.44140625" style="23" customWidth="1"/>
    <col min="5" max="5" width="11.44140625" style="119" customWidth="1"/>
    <col min="6" max="6" width="11.44140625" style="25" customWidth="1"/>
    <col min="7" max="16384" width="9.21875" style="8"/>
  </cols>
  <sheetData>
    <row r="7" spans="1:6" x14ac:dyDescent="0.25">
      <c r="A7" s="6" t="s">
        <v>15</v>
      </c>
      <c r="B7" s="6" t="s">
        <v>16</v>
      </c>
      <c r="C7" s="6" t="s">
        <v>17</v>
      </c>
      <c r="D7" s="6" t="s">
        <v>0</v>
      </c>
      <c r="E7" s="113" t="s">
        <v>1</v>
      </c>
      <c r="F7" s="1" t="s">
        <v>18</v>
      </c>
    </row>
    <row r="8" spans="1:6" x14ac:dyDescent="0.25">
      <c r="A8" s="35"/>
      <c r="B8" s="35"/>
      <c r="C8" s="36"/>
      <c r="D8" s="36"/>
      <c r="E8" s="114" t="s">
        <v>19</v>
      </c>
      <c r="F8" s="37" t="s">
        <v>19</v>
      </c>
    </row>
    <row r="9" spans="1:6" x14ac:dyDescent="0.25">
      <c r="A9" s="48" t="s">
        <v>893</v>
      </c>
      <c r="B9" s="48" t="s">
        <v>894</v>
      </c>
      <c r="C9" s="101"/>
      <c r="D9" s="101"/>
      <c r="E9" s="115"/>
      <c r="F9" s="111"/>
    </row>
    <row r="10" spans="1:6" x14ac:dyDescent="0.25">
      <c r="A10" s="50" t="s">
        <v>895</v>
      </c>
      <c r="B10" s="117" t="s">
        <v>896</v>
      </c>
      <c r="C10" s="104"/>
      <c r="D10" s="104"/>
      <c r="E10" s="116"/>
      <c r="F10" s="110"/>
    </row>
    <row r="11" spans="1:6" ht="28.8" x14ac:dyDescent="0.25">
      <c r="A11" s="105" t="s">
        <v>897</v>
      </c>
      <c r="B11" s="105" t="s">
        <v>898</v>
      </c>
      <c r="C11" s="106" t="s">
        <v>74</v>
      </c>
      <c r="D11" s="44" t="str">
        <f>IF(AND(ISNUMBER('[2]Section K'!D11),'[2]Section K'!D11&gt;0),'[2]Section K'!D11,"Not Required")</f>
        <v>Not Required</v>
      </c>
      <c r="E11" s="106" t="str">
        <f>IF(ISNUMBER(D11),"","N/A")</f>
        <v>N/A</v>
      </c>
      <c r="F11" s="108" t="str">
        <f>IF(ISNUMBER(D11),D11*E11,"-")</f>
        <v>-</v>
      </c>
    </row>
    <row r="12" spans="1:6" ht="28.8" x14ac:dyDescent="0.25">
      <c r="A12" s="105" t="s">
        <v>899</v>
      </c>
      <c r="B12" s="105" t="s">
        <v>900</v>
      </c>
      <c r="C12" s="106" t="s">
        <v>74</v>
      </c>
      <c r="D12" s="44" t="str">
        <f>IF(AND(ISNUMBER('[2]Section K'!D12),'[2]Section K'!D12&gt;0),'[2]Section K'!D12,"Not Required")</f>
        <v>Not Required</v>
      </c>
      <c r="E12" s="106" t="str">
        <f t="shared" ref="E12:E22" si="0">IF(ISNUMBER(D12),"","N/A")</f>
        <v>N/A</v>
      </c>
      <c r="F12" s="108" t="str">
        <f t="shared" ref="F12:F75" si="1">IF(ISNUMBER(D12),D12*E12,"-")</f>
        <v>-</v>
      </c>
    </row>
    <row r="13" spans="1:6" ht="26.4" x14ac:dyDescent="0.25">
      <c r="A13" s="105" t="s">
        <v>901</v>
      </c>
      <c r="B13" s="105" t="s">
        <v>902</v>
      </c>
      <c r="C13" s="106" t="s">
        <v>74</v>
      </c>
      <c r="D13" s="106" t="s">
        <v>31</v>
      </c>
      <c r="E13" s="106" t="str">
        <f t="shared" si="0"/>
        <v>N/A</v>
      </c>
      <c r="F13" s="108" t="str">
        <f t="shared" si="1"/>
        <v>-</v>
      </c>
    </row>
    <row r="14" spans="1:6" ht="26.4" x14ac:dyDescent="0.25">
      <c r="A14" s="105" t="s">
        <v>903</v>
      </c>
      <c r="B14" s="105" t="s">
        <v>904</v>
      </c>
      <c r="C14" s="106" t="s">
        <v>74</v>
      </c>
      <c r="D14" s="106" t="s">
        <v>31</v>
      </c>
      <c r="E14" s="106" t="str">
        <f t="shared" si="0"/>
        <v>N/A</v>
      </c>
      <c r="F14" s="108" t="str">
        <f t="shared" si="1"/>
        <v>-</v>
      </c>
    </row>
    <row r="15" spans="1:6" ht="26.4" x14ac:dyDescent="0.25">
      <c r="A15" s="105" t="s">
        <v>905</v>
      </c>
      <c r="B15" s="105" t="s">
        <v>906</v>
      </c>
      <c r="C15" s="106" t="s">
        <v>74</v>
      </c>
      <c r="D15" s="106" t="s">
        <v>31</v>
      </c>
      <c r="E15" s="106" t="str">
        <f t="shared" si="0"/>
        <v>N/A</v>
      </c>
      <c r="F15" s="108" t="str">
        <f t="shared" si="1"/>
        <v>-</v>
      </c>
    </row>
    <row r="16" spans="1:6" ht="26.4" x14ac:dyDescent="0.25">
      <c r="A16" s="105" t="s">
        <v>907</v>
      </c>
      <c r="B16" s="105" t="s">
        <v>908</v>
      </c>
      <c r="C16" s="106" t="s">
        <v>74</v>
      </c>
      <c r="D16" s="106" t="s">
        <v>31</v>
      </c>
      <c r="E16" s="106" t="str">
        <f t="shared" si="0"/>
        <v>N/A</v>
      </c>
      <c r="F16" s="108" t="str">
        <f t="shared" si="1"/>
        <v>-</v>
      </c>
    </row>
    <row r="17" spans="1:6" ht="26.4" x14ac:dyDescent="0.25">
      <c r="A17" s="105" t="s">
        <v>909</v>
      </c>
      <c r="B17" s="105" t="s">
        <v>910</v>
      </c>
      <c r="C17" s="106" t="s">
        <v>74</v>
      </c>
      <c r="D17" s="106" t="s">
        <v>31</v>
      </c>
      <c r="E17" s="106" t="str">
        <f t="shared" si="0"/>
        <v>N/A</v>
      </c>
      <c r="F17" s="108" t="str">
        <f t="shared" si="1"/>
        <v>-</v>
      </c>
    </row>
    <row r="18" spans="1:6" ht="26.4" x14ac:dyDescent="0.25">
      <c r="A18" s="105" t="s">
        <v>911</v>
      </c>
      <c r="B18" s="105" t="s">
        <v>912</v>
      </c>
      <c r="C18" s="106" t="s">
        <v>74</v>
      </c>
      <c r="D18" s="106" t="s">
        <v>31</v>
      </c>
      <c r="E18" s="106" t="str">
        <f t="shared" si="0"/>
        <v>N/A</v>
      </c>
      <c r="F18" s="108" t="str">
        <f t="shared" si="1"/>
        <v>-</v>
      </c>
    </row>
    <row r="19" spans="1:6" ht="28.8" x14ac:dyDescent="0.25">
      <c r="A19" s="105" t="s">
        <v>913</v>
      </c>
      <c r="B19" s="105" t="s">
        <v>914</v>
      </c>
      <c r="C19" s="106" t="s">
        <v>74</v>
      </c>
      <c r="D19" s="44" t="str">
        <f>IF(AND(ISNUMBER('[2]Section K'!$D$19),'[2]Section K'!$D$19&gt;0),'[2]Section K'!$D$19,"Not Required")</f>
        <v>Not Required</v>
      </c>
      <c r="E19" s="106" t="str">
        <f t="shared" si="0"/>
        <v>N/A</v>
      </c>
      <c r="F19" s="108" t="str">
        <f t="shared" si="1"/>
        <v>-</v>
      </c>
    </row>
    <row r="20" spans="1:6" ht="28.8" x14ac:dyDescent="0.25">
      <c r="A20" s="105" t="s">
        <v>915</v>
      </c>
      <c r="B20" s="105" t="s">
        <v>916</v>
      </c>
      <c r="C20" s="106" t="s">
        <v>74</v>
      </c>
      <c r="D20" s="146" t="s">
        <v>1235</v>
      </c>
      <c r="E20" s="106" t="str">
        <f t="shared" si="0"/>
        <v>N/A</v>
      </c>
      <c r="F20" s="108" t="str">
        <f t="shared" si="1"/>
        <v>-</v>
      </c>
    </row>
    <row r="21" spans="1:6" ht="26.4" x14ac:dyDescent="0.25">
      <c r="A21" s="105" t="s">
        <v>917</v>
      </c>
      <c r="B21" s="105" t="s">
        <v>918</v>
      </c>
      <c r="C21" s="106" t="s">
        <v>74</v>
      </c>
      <c r="D21" s="106" t="s">
        <v>31</v>
      </c>
      <c r="E21" s="106" t="str">
        <f t="shared" si="0"/>
        <v>N/A</v>
      </c>
      <c r="F21" s="108" t="str">
        <f t="shared" si="1"/>
        <v>-</v>
      </c>
    </row>
    <row r="22" spans="1:6" ht="28.8" x14ac:dyDescent="0.25">
      <c r="A22" s="105" t="s">
        <v>919</v>
      </c>
      <c r="B22" s="105" t="s">
        <v>920</v>
      </c>
      <c r="C22" s="106" t="s">
        <v>74</v>
      </c>
      <c r="D22" s="44" t="str">
        <f>IF(AND(ISNUMBER('[2]Section K'!$D$22),'[2]Section K'!$D$22&gt;0),'[2]Section K'!$D$22,"Not Required")</f>
        <v>Not Required</v>
      </c>
      <c r="E22" s="106" t="str">
        <f t="shared" si="0"/>
        <v>N/A</v>
      </c>
      <c r="F22" s="108" t="str">
        <f t="shared" si="1"/>
        <v>-</v>
      </c>
    </row>
    <row r="23" spans="1:6" x14ac:dyDescent="0.25">
      <c r="A23" s="105" t="s">
        <v>921</v>
      </c>
      <c r="B23" s="117" t="s">
        <v>922</v>
      </c>
      <c r="C23" s="106"/>
      <c r="D23" s="106"/>
      <c r="E23" s="118"/>
      <c r="F23" s="108"/>
    </row>
    <row r="24" spans="1:6" ht="28.8" x14ac:dyDescent="0.25">
      <c r="A24" s="105" t="s">
        <v>923</v>
      </c>
      <c r="B24" s="105" t="s">
        <v>924</v>
      </c>
      <c r="C24" s="106" t="s">
        <v>74</v>
      </c>
      <c r="D24" s="146" t="s">
        <v>1235</v>
      </c>
      <c r="E24" s="106" t="str">
        <f t="shared" ref="E24:E75" si="2">IF(ISNUMBER(D24),"","N/A")</f>
        <v>N/A</v>
      </c>
      <c r="F24" s="108" t="str">
        <f t="shared" si="1"/>
        <v>-</v>
      </c>
    </row>
    <row r="25" spans="1:6" ht="26.4" x14ac:dyDescent="0.25">
      <c r="A25" s="105" t="s">
        <v>925</v>
      </c>
      <c r="B25" s="105" t="s">
        <v>926</v>
      </c>
      <c r="C25" s="106" t="s">
        <v>74</v>
      </c>
      <c r="D25" s="106" t="s">
        <v>31</v>
      </c>
      <c r="E25" s="106" t="str">
        <f t="shared" si="2"/>
        <v>N/A</v>
      </c>
      <c r="F25" s="108" t="str">
        <f t="shared" si="1"/>
        <v>-</v>
      </c>
    </row>
    <row r="26" spans="1:6" ht="26.4" x14ac:dyDescent="0.25">
      <c r="A26" s="105" t="s">
        <v>927</v>
      </c>
      <c r="B26" s="105" t="s">
        <v>928</v>
      </c>
      <c r="C26" s="106" t="s">
        <v>74</v>
      </c>
      <c r="D26" s="106" t="s">
        <v>31</v>
      </c>
      <c r="E26" s="106" t="str">
        <f t="shared" si="2"/>
        <v>N/A</v>
      </c>
      <c r="F26" s="108" t="str">
        <f t="shared" si="1"/>
        <v>-</v>
      </c>
    </row>
    <row r="27" spans="1:6" ht="28.8" x14ac:dyDescent="0.25">
      <c r="A27" s="105" t="s">
        <v>929</v>
      </c>
      <c r="B27" s="105" t="s">
        <v>930</v>
      </c>
      <c r="C27" s="106" t="s">
        <v>74</v>
      </c>
      <c r="D27" s="146" t="s">
        <v>1235</v>
      </c>
      <c r="E27" s="106" t="str">
        <f t="shared" si="2"/>
        <v>N/A</v>
      </c>
      <c r="F27" s="108" t="str">
        <f t="shared" si="1"/>
        <v>-</v>
      </c>
    </row>
    <row r="28" spans="1:6" ht="26.4" x14ac:dyDescent="0.25">
      <c r="A28" s="105" t="s">
        <v>931</v>
      </c>
      <c r="B28" s="105" t="s">
        <v>932</v>
      </c>
      <c r="C28" s="106" t="s">
        <v>74</v>
      </c>
      <c r="D28" s="106" t="s">
        <v>31</v>
      </c>
      <c r="E28" s="106" t="str">
        <f t="shared" si="2"/>
        <v>N/A</v>
      </c>
      <c r="F28" s="108" t="str">
        <f t="shared" si="1"/>
        <v>-</v>
      </c>
    </row>
    <row r="29" spans="1:6" ht="26.4" x14ac:dyDescent="0.25">
      <c r="A29" s="105" t="s">
        <v>933</v>
      </c>
      <c r="B29" s="105" t="s">
        <v>934</v>
      </c>
      <c r="C29" s="106" t="s">
        <v>74</v>
      </c>
      <c r="D29" s="106" t="s">
        <v>31</v>
      </c>
      <c r="E29" s="106" t="str">
        <f t="shared" si="2"/>
        <v>N/A</v>
      </c>
      <c r="F29" s="108" t="str">
        <f t="shared" si="1"/>
        <v>-</v>
      </c>
    </row>
    <row r="30" spans="1:6" ht="26.4" x14ac:dyDescent="0.25">
      <c r="A30" s="105" t="s">
        <v>935</v>
      </c>
      <c r="B30" s="105" t="s">
        <v>936</v>
      </c>
      <c r="C30" s="106" t="s">
        <v>74</v>
      </c>
      <c r="D30" s="106" t="s">
        <v>31</v>
      </c>
      <c r="E30" s="106" t="str">
        <f t="shared" si="2"/>
        <v>N/A</v>
      </c>
      <c r="F30" s="108" t="str">
        <f t="shared" si="1"/>
        <v>-</v>
      </c>
    </row>
    <row r="31" spans="1:6" ht="28.8" x14ac:dyDescent="0.25">
      <c r="A31" s="105" t="s">
        <v>937</v>
      </c>
      <c r="B31" s="105" t="s">
        <v>938</v>
      </c>
      <c r="C31" s="106" t="s">
        <v>74</v>
      </c>
      <c r="D31" s="146" t="s">
        <v>1235</v>
      </c>
      <c r="E31" s="106" t="str">
        <f t="shared" si="2"/>
        <v>N/A</v>
      </c>
      <c r="F31" s="108" t="str">
        <f t="shared" si="1"/>
        <v>-</v>
      </c>
    </row>
    <row r="32" spans="1:6" ht="13.05" customHeight="1" x14ac:dyDescent="0.25">
      <c r="A32" s="105" t="s">
        <v>939</v>
      </c>
      <c r="B32" s="105" t="s">
        <v>940</v>
      </c>
      <c r="C32" s="106" t="s">
        <v>74</v>
      </c>
      <c r="D32" s="106" t="s">
        <v>31</v>
      </c>
      <c r="E32" s="106" t="str">
        <f t="shared" si="2"/>
        <v>N/A</v>
      </c>
      <c r="F32" s="108" t="str">
        <f t="shared" si="1"/>
        <v>-</v>
      </c>
    </row>
    <row r="33" spans="1:6" ht="26.4" x14ac:dyDescent="0.25">
      <c r="A33" s="105" t="s">
        <v>941</v>
      </c>
      <c r="B33" s="105" t="s">
        <v>942</v>
      </c>
      <c r="C33" s="106" t="s">
        <v>74</v>
      </c>
      <c r="D33" s="106" t="s">
        <v>31</v>
      </c>
      <c r="E33" s="106" t="str">
        <f t="shared" si="2"/>
        <v>N/A</v>
      </c>
      <c r="F33" s="108" t="str">
        <f t="shared" si="1"/>
        <v>-</v>
      </c>
    </row>
    <row r="34" spans="1:6" ht="26.4" x14ac:dyDescent="0.25">
      <c r="A34" s="105" t="s">
        <v>943</v>
      </c>
      <c r="B34" s="105" t="s">
        <v>944</v>
      </c>
      <c r="C34" s="106" t="s">
        <v>74</v>
      </c>
      <c r="D34" s="106" t="s">
        <v>31</v>
      </c>
      <c r="E34" s="106" t="str">
        <f t="shared" si="2"/>
        <v>N/A</v>
      </c>
      <c r="F34" s="108" t="str">
        <f t="shared" si="1"/>
        <v>-</v>
      </c>
    </row>
    <row r="35" spans="1:6" ht="28.8" x14ac:dyDescent="0.25">
      <c r="A35" s="105" t="s">
        <v>945</v>
      </c>
      <c r="B35" s="105" t="s">
        <v>946</v>
      </c>
      <c r="C35" s="106" t="s">
        <v>74</v>
      </c>
      <c r="D35" s="146" t="s">
        <v>1235</v>
      </c>
      <c r="E35" s="106" t="str">
        <f t="shared" si="2"/>
        <v>N/A</v>
      </c>
      <c r="F35" s="108" t="str">
        <f t="shared" si="1"/>
        <v>-</v>
      </c>
    </row>
    <row r="36" spans="1:6" ht="26.4" x14ac:dyDescent="0.25">
      <c r="A36" s="105" t="s">
        <v>947</v>
      </c>
      <c r="B36" s="105" t="s">
        <v>948</v>
      </c>
      <c r="C36" s="106" t="s">
        <v>74</v>
      </c>
      <c r="D36" s="106" t="s">
        <v>31</v>
      </c>
      <c r="E36" s="106" t="str">
        <f t="shared" si="2"/>
        <v>N/A</v>
      </c>
      <c r="F36" s="108" t="str">
        <f t="shared" si="1"/>
        <v>-</v>
      </c>
    </row>
    <row r="37" spans="1:6" ht="26.4" x14ac:dyDescent="0.25">
      <c r="A37" s="105" t="s">
        <v>949</v>
      </c>
      <c r="B37" s="105" t="s">
        <v>950</v>
      </c>
      <c r="C37" s="106" t="s">
        <v>74</v>
      </c>
      <c r="D37" s="106" t="s">
        <v>31</v>
      </c>
      <c r="E37" s="106" t="str">
        <f t="shared" si="2"/>
        <v>N/A</v>
      </c>
      <c r="F37" s="108" t="str">
        <f t="shared" si="1"/>
        <v>-</v>
      </c>
    </row>
    <row r="38" spans="1:6" x14ac:dyDescent="0.25">
      <c r="A38" s="105" t="s">
        <v>951</v>
      </c>
      <c r="B38" s="117" t="s">
        <v>952</v>
      </c>
      <c r="C38" s="106"/>
      <c r="D38" s="106"/>
      <c r="E38" s="118"/>
      <c r="F38" s="108"/>
    </row>
    <row r="39" spans="1:6" ht="28.8" x14ac:dyDescent="0.25">
      <c r="A39" s="105" t="s">
        <v>953</v>
      </c>
      <c r="B39" s="105" t="s">
        <v>954</v>
      </c>
      <c r="C39" s="106" t="s">
        <v>74</v>
      </c>
      <c r="D39" s="146" t="s">
        <v>1235</v>
      </c>
      <c r="E39" s="106" t="str">
        <f t="shared" si="2"/>
        <v>N/A</v>
      </c>
      <c r="F39" s="108" t="str">
        <f t="shared" si="1"/>
        <v>-</v>
      </c>
    </row>
    <row r="40" spans="1:6" ht="26.4" x14ac:dyDescent="0.25">
      <c r="A40" s="105" t="s">
        <v>955</v>
      </c>
      <c r="B40" s="105" t="s">
        <v>956</v>
      </c>
      <c r="C40" s="106" t="s">
        <v>74</v>
      </c>
      <c r="D40" s="106" t="s">
        <v>31</v>
      </c>
      <c r="E40" s="106" t="str">
        <f t="shared" si="2"/>
        <v>N/A</v>
      </c>
      <c r="F40" s="108" t="str">
        <f t="shared" si="1"/>
        <v>-</v>
      </c>
    </row>
    <row r="41" spans="1:6" ht="28.8" x14ac:dyDescent="0.25">
      <c r="A41" s="105" t="s">
        <v>957</v>
      </c>
      <c r="B41" s="105" t="s">
        <v>958</v>
      </c>
      <c r="C41" s="106" t="s">
        <v>74</v>
      </c>
      <c r="D41" s="146" t="s">
        <v>1235</v>
      </c>
      <c r="E41" s="106" t="str">
        <f t="shared" si="2"/>
        <v>N/A</v>
      </c>
      <c r="F41" s="108" t="str">
        <f t="shared" si="1"/>
        <v>-</v>
      </c>
    </row>
    <row r="42" spans="1:6" ht="26.4" x14ac:dyDescent="0.25">
      <c r="A42" s="105" t="s">
        <v>959</v>
      </c>
      <c r="B42" s="105" t="s">
        <v>960</v>
      </c>
      <c r="C42" s="106" t="s">
        <v>74</v>
      </c>
      <c r="D42" s="106" t="s">
        <v>31</v>
      </c>
      <c r="E42" s="106" t="str">
        <f t="shared" si="2"/>
        <v>N/A</v>
      </c>
      <c r="F42" s="108" t="str">
        <f t="shared" si="1"/>
        <v>-</v>
      </c>
    </row>
    <row r="43" spans="1:6" ht="28.8" x14ac:dyDescent="0.25">
      <c r="A43" s="105" t="s">
        <v>961</v>
      </c>
      <c r="B43" s="105" t="s">
        <v>962</v>
      </c>
      <c r="C43" s="106" t="s">
        <v>74</v>
      </c>
      <c r="D43" s="146" t="s">
        <v>1235</v>
      </c>
      <c r="E43" s="106" t="str">
        <f t="shared" si="2"/>
        <v>N/A</v>
      </c>
      <c r="F43" s="108" t="str">
        <f t="shared" si="1"/>
        <v>-</v>
      </c>
    </row>
    <row r="44" spans="1:6" ht="28.8" x14ac:dyDescent="0.25">
      <c r="A44" s="105" t="s">
        <v>963</v>
      </c>
      <c r="B44" s="105" t="s">
        <v>964</v>
      </c>
      <c r="C44" s="106" t="s">
        <v>74</v>
      </c>
      <c r="D44" s="146" t="s">
        <v>1235</v>
      </c>
      <c r="E44" s="106" t="str">
        <f t="shared" si="2"/>
        <v>N/A</v>
      </c>
      <c r="F44" s="108" t="str">
        <f t="shared" si="1"/>
        <v>-</v>
      </c>
    </row>
    <row r="45" spans="1:6" ht="26.4" x14ac:dyDescent="0.25">
      <c r="A45" s="105" t="s">
        <v>965</v>
      </c>
      <c r="B45" s="105" t="s">
        <v>966</v>
      </c>
      <c r="C45" s="106" t="s">
        <v>74</v>
      </c>
      <c r="D45" s="106" t="s">
        <v>31</v>
      </c>
      <c r="E45" s="106" t="str">
        <f t="shared" si="2"/>
        <v>N/A</v>
      </c>
      <c r="F45" s="108" t="str">
        <f t="shared" si="1"/>
        <v>-</v>
      </c>
    </row>
    <row r="46" spans="1:6" ht="26.4" x14ac:dyDescent="0.25">
      <c r="A46" s="105" t="s">
        <v>967</v>
      </c>
      <c r="B46" s="105" t="s">
        <v>968</v>
      </c>
      <c r="C46" s="106" t="s">
        <v>74</v>
      </c>
      <c r="D46" s="106" t="s">
        <v>31</v>
      </c>
      <c r="E46" s="106" t="str">
        <f t="shared" si="2"/>
        <v>N/A</v>
      </c>
      <c r="F46" s="108" t="str">
        <f t="shared" si="1"/>
        <v>-</v>
      </c>
    </row>
    <row r="47" spans="1:6" ht="26.4" x14ac:dyDescent="0.25">
      <c r="A47" s="105" t="s">
        <v>969</v>
      </c>
      <c r="B47" s="105" t="s">
        <v>970</v>
      </c>
      <c r="C47" s="106" t="s">
        <v>74</v>
      </c>
      <c r="D47" s="106" t="s">
        <v>31</v>
      </c>
      <c r="E47" s="106" t="str">
        <f t="shared" si="2"/>
        <v>N/A</v>
      </c>
      <c r="F47" s="108" t="str">
        <f t="shared" si="1"/>
        <v>-</v>
      </c>
    </row>
    <row r="48" spans="1:6" ht="26.4" x14ac:dyDescent="0.25">
      <c r="A48" s="105" t="s">
        <v>971</v>
      </c>
      <c r="B48" s="105" t="s">
        <v>972</v>
      </c>
      <c r="C48" s="106" t="s">
        <v>231</v>
      </c>
      <c r="D48" s="106" t="s">
        <v>31</v>
      </c>
      <c r="E48" s="106" t="str">
        <f t="shared" si="2"/>
        <v>N/A</v>
      </c>
      <c r="F48" s="108" t="str">
        <f t="shared" si="1"/>
        <v>-</v>
      </c>
    </row>
    <row r="49" spans="1:6" ht="26.4" x14ac:dyDescent="0.25">
      <c r="A49" s="105" t="s">
        <v>973</v>
      </c>
      <c r="B49" s="117" t="s">
        <v>974</v>
      </c>
      <c r="C49" s="106"/>
      <c r="D49" s="106"/>
      <c r="E49" s="118"/>
      <c r="F49" s="108"/>
    </row>
    <row r="50" spans="1:6" ht="28.8" x14ac:dyDescent="0.25">
      <c r="A50" s="105" t="s">
        <v>975</v>
      </c>
      <c r="B50" s="105" t="s">
        <v>976</v>
      </c>
      <c r="C50" s="106" t="s">
        <v>74</v>
      </c>
      <c r="D50" s="146" t="s">
        <v>1235</v>
      </c>
      <c r="E50" s="106" t="str">
        <f t="shared" si="2"/>
        <v>N/A</v>
      </c>
      <c r="F50" s="108" t="str">
        <f t="shared" si="1"/>
        <v>-</v>
      </c>
    </row>
    <row r="51" spans="1:6" ht="26.4" x14ac:dyDescent="0.25">
      <c r="A51" s="105" t="s">
        <v>977</v>
      </c>
      <c r="B51" s="105" t="s">
        <v>978</v>
      </c>
      <c r="C51" s="106" t="s">
        <v>231</v>
      </c>
      <c r="D51" s="106" t="s">
        <v>31</v>
      </c>
      <c r="E51" s="106" t="str">
        <f t="shared" si="2"/>
        <v>N/A</v>
      </c>
      <c r="F51" s="108" t="str">
        <f t="shared" si="1"/>
        <v>-</v>
      </c>
    </row>
    <row r="52" spans="1:6" ht="26.4" x14ac:dyDescent="0.25">
      <c r="A52" s="105" t="s">
        <v>979</v>
      </c>
      <c r="B52" s="105" t="s">
        <v>980</v>
      </c>
      <c r="C52" s="106" t="s">
        <v>74</v>
      </c>
      <c r="D52" s="106" t="s">
        <v>31</v>
      </c>
      <c r="E52" s="106" t="str">
        <f t="shared" si="2"/>
        <v>N/A</v>
      </c>
      <c r="F52" s="108" t="str">
        <f t="shared" si="1"/>
        <v>-</v>
      </c>
    </row>
    <row r="53" spans="1:6" ht="26.4" x14ac:dyDescent="0.25">
      <c r="A53" s="105" t="s">
        <v>981</v>
      </c>
      <c r="B53" s="105" t="s">
        <v>982</v>
      </c>
      <c r="C53" s="106" t="s">
        <v>74</v>
      </c>
      <c r="D53" s="106" t="s">
        <v>31</v>
      </c>
      <c r="E53" s="106" t="str">
        <f t="shared" si="2"/>
        <v>N/A</v>
      </c>
      <c r="F53" s="108" t="str">
        <f t="shared" si="1"/>
        <v>-</v>
      </c>
    </row>
    <row r="54" spans="1:6" ht="26.4" x14ac:dyDescent="0.25">
      <c r="A54" s="105" t="s">
        <v>983</v>
      </c>
      <c r="B54" s="105" t="s">
        <v>984</v>
      </c>
      <c r="C54" s="106" t="s">
        <v>74</v>
      </c>
      <c r="D54" s="106" t="s">
        <v>31</v>
      </c>
      <c r="E54" s="106" t="str">
        <f t="shared" si="2"/>
        <v>N/A</v>
      </c>
      <c r="F54" s="108" t="str">
        <f t="shared" si="1"/>
        <v>-</v>
      </c>
    </row>
    <row r="55" spans="1:6" ht="26.4" x14ac:dyDescent="0.25">
      <c r="A55" s="105" t="s">
        <v>985</v>
      </c>
      <c r="B55" s="105" t="s">
        <v>986</v>
      </c>
      <c r="C55" s="106" t="s">
        <v>231</v>
      </c>
      <c r="D55" s="106" t="s">
        <v>31</v>
      </c>
      <c r="E55" s="106" t="str">
        <f t="shared" si="2"/>
        <v>N/A</v>
      </c>
      <c r="F55" s="108" t="str">
        <f t="shared" si="1"/>
        <v>-</v>
      </c>
    </row>
    <row r="56" spans="1:6" ht="26.4" x14ac:dyDescent="0.25">
      <c r="A56" s="105" t="s">
        <v>987</v>
      </c>
      <c r="B56" s="105" t="s">
        <v>988</v>
      </c>
      <c r="C56" s="106" t="s">
        <v>74</v>
      </c>
      <c r="D56" s="106" t="s">
        <v>31</v>
      </c>
      <c r="E56" s="106" t="str">
        <f t="shared" si="2"/>
        <v>N/A</v>
      </c>
      <c r="F56" s="108" t="str">
        <f t="shared" si="1"/>
        <v>-</v>
      </c>
    </row>
    <row r="57" spans="1:6" ht="26.4" x14ac:dyDescent="0.25">
      <c r="A57" s="105" t="s">
        <v>989</v>
      </c>
      <c r="B57" s="105" t="s">
        <v>990</v>
      </c>
      <c r="C57" s="106" t="s">
        <v>74</v>
      </c>
      <c r="D57" s="106" t="s">
        <v>31</v>
      </c>
      <c r="E57" s="106" t="str">
        <f t="shared" si="2"/>
        <v>N/A</v>
      </c>
      <c r="F57" s="108" t="str">
        <f t="shared" si="1"/>
        <v>-</v>
      </c>
    </row>
    <row r="58" spans="1:6" ht="26.4" x14ac:dyDescent="0.25">
      <c r="A58" s="105" t="s">
        <v>991</v>
      </c>
      <c r="B58" s="105" t="s">
        <v>992</v>
      </c>
      <c r="C58" s="106" t="s">
        <v>74</v>
      </c>
      <c r="D58" s="106" t="s">
        <v>31</v>
      </c>
      <c r="E58" s="106" t="str">
        <f t="shared" si="2"/>
        <v>N/A</v>
      </c>
      <c r="F58" s="108" t="str">
        <f t="shared" si="1"/>
        <v>-</v>
      </c>
    </row>
    <row r="59" spans="1:6" ht="26.4" x14ac:dyDescent="0.25">
      <c r="A59" s="105" t="s">
        <v>993</v>
      </c>
      <c r="B59" s="105" t="s">
        <v>994</v>
      </c>
      <c r="C59" s="106" t="s">
        <v>74</v>
      </c>
      <c r="D59" s="106" t="s">
        <v>31</v>
      </c>
      <c r="E59" s="106" t="str">
        <f t="shared" si="2"/>
        <v>N/A</v>
      </c>
      <c r="F59" s="108" t="str">
        <f t="shared" si="1"/>
        <v>-</v>
      </c>
    </row>
    <row r="60" spans="1:6" ht="26.4" x14ac:dyDescent="0.25">
      <c r="A60" s="105" t="s">
        <v>995</v>
      </c>
      <c r="B60" s="105" t="s">
        <v>996</v>
      </c>
      <c r="C60" s="106" t="s">
        <v>74</v>
      </c>
      <c r="D60" s="106" t="s">
        <v>31</v>
      </c>
      <c r="E60" s="106" t="str">
        <f t="shared" si="2"/>
        <v>N/A</v>
      </c>
      <c r="F60" s="108" t="str">
        <f t="shared" si="1"/>
        <v>-</v>
      </c>
    </row>
    <row r="61" spans="1:6" ht="26.4" x14ac:dyDescent="0.25">
      <c r="A61" s="105" t="s">
        <v>997</v>
      </c>
      <c r="B61" s="105" t="s">
        <v>998</v>
      </c>
      <c r="C61" s="106" t="s">
        <v>74</v>
      </c>
      <c r="D61" s="106" t="s">
        <v>31</v>
      </c>
      <c r="E61" s="106" t="str">
        <f t="shared" si="2"/>
        <v>N/A</v>
      </c>
      <c r="F61" s="108" t="str">
        <f t="shared" si="1"/>
        <v>-</v>
      </c>
    </row>
    <row r="62" spans="1:6" ht="39.6" x14ac:dyDescent="0.25">
      <c r="A62" s="105" t="s">
        <v>999</v>
      </c>
      <c r="B62" s="105" t="s">
        <v>1000</v>
      </c>
      <c r="C62" s="106" t="s">
        <v>74</v>
      </c>
      <c r="D62" s="106" t="s">
        <v>31</v>
      </c>
      <c r="E62" s="106" t="str">
        <f t="shared" si="2"/>
        <v>N/A</v>
      </c>
      <c r="F62" s="108" t="str">
        <f t="shared" si="1"/>
        <v>-</v>
      </c>
    </row>
    <row r="63" spans="1:6" ht="26.4" x14ac:dyDescent="0.25">
      <c r="A63" s="105" t="s">
        <v>1001</v>
      </c>
      <c r="B63" s="105" t="s">
        <v>1002</v>
      </c>
      <c r="C63" s="106" t="s">
        <v>74</v>
      </c>
      <c r="D63" s="106" t="s">
        <v>31</v>
      </c>
      <c r="E63" s="106" t="str">
        <f t="shared" si="2"/>
        <v>N/A</v>
      </c>
      <c r="F63" s="108" t="str">
        <f t="shared" si="1"/>
        <v>-</v>
      </c>
    </row>
    <row r="64" spans="1:6" ht="26.4" x14ac:dyDescent="0.25">
      <c r="A64" s="105" t="s">
        <v>1003</v>
      </c>
      <c r="B64" s="105" t="s">
        <v>1004</v>
      </c>
      <c r="C64" s="106" t="s">
        <v>74</v>
      </c>
      <c r="D64" s="106" t="s">
        <v>31</v>
      </c>
      <c r="E64" s="106" t="str">
        <f t="shared" si="2"/>
        <v>N/A</v>
      </c>
      <c r="F64" s="108" t="str">
        <f t="shared" si="1"/>
        <v>-</v>
      </c>
    </row>
    <row r="65" spans="1:6" ht="26.4" x14ac:dyDescent="0.25">
      <c r="A65" s="105" t="s">
        <v>1005</v>
      </c>
      <c r="B65" s="105" t="s">
        <v>1006</v>
      </c>
      <c r="C65" s="106" t="s">
        <v>74</v>
      </c>
      <c r="D65" s="106" t="s">
        <v>31</v>
      </c>
      <c r="E65" s="106" t="str">
        <f t="shared" si="2"/>
        <v>N/A</v>
      </c>
      <c r="F65" s="108" t="str">
        <f t="shared" si="1"/>
        <v>-</v>
      </c>
    </row>
    <row r="66" spans="1:6" ht="26.4" x14ac:dyDescent="0.25">
      <c r="A66" s="105" t="s">
        <v>1007</v>
      </c>
      <c r="B66" s="105" t="s">
        <v>1008</v>
      </c>
      <c r="C66" s="106" t="s">
        <v>231</v>
      </c>
      <c r="D66" s="106" t="s">
        <v>31</v>
      </c>
      <c r="E66" s="106" t="str">
        <f t="shared" si="2"/>
        <v>N/A</v>
      </c>
      <c r="F66" s="108" t="str">
        <f t="shared" si="1"/>
        <v>-</v>
      </c>
    </row>
    <row r="67" spans="1:6" ht="39.6" x14ac:dyDescent="0.25">
      <c r="A67" s="105" t="s">
        <v>1009</v>
      </c>
      <c r="B67" s="105" t="s">
        <v>1010</v>
      </c>
      <c r="C67" s="106" t="s">
        <v>74</v>
      </c>
      <c r="D67" s="106" t="s">
        <v>31</v>
      </c>
      <c r="E67" s="106" t="str">
        <f t="shared" si="2"/>
        <v>N/A</v>
      </c>
      <c r="F67" s="108" t="str">
        <f t="shared" si="1"/>
        <v>-</v>
      </c>
    </row>
    <row r="68" spans="1:6" ht="26.4" x14ac:dyDescent="0.25">
      <c r="A68" s="105" t="s">
        <v>1011</v>
      </c>
      <c r="B68" s="105" t="s">
        <v>1012</v>
      </c>
      <c r="C68" s="106" t="s">
        <v>74</v>
      </c>
      <c r="D68" s="106" t="s">
        <v>31</v>
      </c>
      <c r="E68" s="106" t="str">
        <f t="shared" si="2"/>
        <v>N/A</v>
      </c>
      <c r="F68" s="108" t="str">
        <f t="shared" si="1"/>
        <v>-</v>
      </c>
    </row>
    <row r="69" spans="1:6" ht="26.4" x14ac:dyDescent="0.25">
      <c r="A69" s="105" t="s">
        <v>1013</v>
      </c>
      <c r="B69" s="105" t="s">
        <v>1014</v>
      </c>
      <c r="C69" s="106" t="s">
        <v>74</v>
      </c>
      <c r="D69" s="106" t="s">
        <v>31</v>
      </c>
      <c r="E69" s="106" t="str">
        <f t="shared" si="2"/>
        <v>N/A</v>
      </c>
      <c r="F69" s="108" t="str">
        <f t="shared" si="1"/>
        <v>-</v>
      </c>
    </row>
    <row r="70" spans="1:6" ht="26.4" x14ac:dyDescent="0.25">
      <c r="A70" s="105" t="s">
        <v>1015</v>
      </c>
      <c r="B70" s="105" t="s">
        <v>1016</v>
      </c>
      <c r="C70" s="106" t="s">
        <v>74</v>
      </c>
      <c r="D70" s="106" t="s">
        <v>31</v>
      </c>
      <c r="E70" s="106" t="str">
        <f t="shared" si="2"/>
        <v>N/A</v>
      </c>
      <c r="F70" s="108" t="str">
        <f t="shared" si="1"/>
        <v>-</v>
      </c>
    </row>
    <row r="71" spans="1:6" ht="26.4" x14ac:dyDescent="0.25">
      <c r="A71" s="105" t="s">
        <v>1017</v>
      </c>
      <c r="B71" s="105" t="s">
        <v>1018</v>
      </c>
      <c r="C71" s="106" t="s">
        <v>231</v>
      </c>
      <c r="D71" s="106" t="s">
        <v>31</v>
      </c>
      <c r="E71" s="106" t="str">
        <f t="shared" si="2"/>
        <v>N/A</v>
      </c>
      <c r="F71" s="108" t="str">
        <f t="shared" si="1"/>
        <v>-</v>
      </c>
    </row>
    <row r="72" spans="1:6" ht="26.4" x14ac:dyDescent="0.25">
      <c r="A72" s="105" t="s">
        <v>1019</v>
      </c>
      <c r="B72" s="105" t="s">
        <v>1020</v>
      </c>
      <c r="C72" s="106" t="s">
        <v>74</v>
      </c>
      <c r="D72" s="106" t="s">
        <v>31</v>
      </c>
      <c r="E72" s="106" t="str">
        <f t="shared" si="2"/>
        <v>N/A</v>
      </c>
      <c r="F72" s="108" t="str">
        <f t="shared" si="1"/>
        <v>-</v>
      </c>
    </row>
    <row r="73" spans="1:6" ht="26.4" x14ac:dyDescent="0.25">
      <c r="A73" s="105" t="s">
        <v>1021</v>
      </c>
      <c r="B73" s="105" t="s">
        <v>1022</v>
      </c>
      <c r="C73" s="106" t="s">
        <v>231</v>
      </c>
      <c r="D73" s="106" t="s">
        <v>31</v>
      </c>
      <c r="E73" s="106" t="str">
        <f t="shared" si="2"/>
        <v>N/A</v>
      </c>
      <c r="F73" s="108" t="str">
        <f t="shared" si="1"/>
        <v>-</v>
      </c>
    </row>
    <row r="74" spans="1:6" ht="26.4" x14ac:dyDescent="0.25">
      <c r="A74" s="105" t="s">
        <v>1023</v>
      </c>
      <c r="B74" s="105" t="s">
        <v>1024</v>
      </c>
      <c r="C74" s="106" t="s">
        <v>74</v>
      </c>
      <c r="D74" s="106" t="s">
        <v>31</v>
      </c>
      <c r="E74" s="106" t="str">
        <f t="shared" si="2"/>
        <v>N/A</v>
      </c>
      <c r="F74" s="108" t="str">
        <f t="shared" si="1"/>
        <v>-</v>
      </c>
    </row>
    <row r="75" spans="1:6" ht="26.4" x14ac:dyDescent="0.25">
      <c r="A75" s="105" t="s">
        <v>1025</v>
      </c>
      <c r="B75" s="105" t="s">
        <v>1026</v>
      </c>
      <c r="C75" s="106" t="s">
        <v>231</v>
      </c>
      <c r="D75" s="106" t="s">
        <v>31</v>
      </c>
      <c r="E75" s="106" t="str">
        <f t="shared" si="2"/>
        <v>N/A</v>
      </c>
      <c r="F75" s="108" t="str">
        <f t="shared" si="1"/>
        <v>-</v>
      </c>
    </row>
    <row r="76" spans="1:6" x14ac:dyDescent="0.25">
      <c r="A76" s="105" t="s">
        <v>1027</v>
      </c>
      <c r="B76" s="117" t="s">
        <v>1028</v>
      </c>
      <c r="C76" s="106"/>
      <c r="D76" s="106"/>
      <c r="E76" s="106" t="str">
        <f t="shared" ref="E76:E93" si="3">IF(ISNUMBER(D76),"","N/A")</f>
        <v>N/A</v>
      </c>
      <c r="F76" s="108"/>
    </row>
    <row r="77" spans="1:6" ht="26.4" x14ac:dyDescent="0.25">
      <c r="A77" s="105" t="s">
        <v>1029</v>
      </c>
      <c r="B77" s="105" t="s">
        <v>1030</v>
      </c>
      <c r="C77" s="106" t="s">
        <v>74</v>
      </c>
      <c r="D77" s="106" t="s">
        <v>31</v>
      </c>
      <c r="E77" s="106" t="str">
        <f t="shared" si="3"/>
        <v>N/A</v>
      </c>
      <c r="F77" s="108" t="str">
        <f t="shared" ref="F77:F126" si="4">IF(ISNUMBER(D77),D77*E77,"-")</f>
        <v>-</v>
      </c>
    </row>
    <row r="78" spans="1:6" ht="23.55" customHeight="1" x14ac:dyDescent="0.25">
      <c r="A78" s="105" t="s">
        <v>1031</v>
      </c>
      <c r="B78" s="105" t="s">
        <v>1032</v>
      </c>
      <c r="C78" s="106" t="s">
        <v>74</v>
      </c>
      <c r="D78" s="106" t="s">
        <v>31</v>
      </c>
      <c r="E78" s="106" t="str">
        <f t="shared" si="3"/>
        <v>N/A</v>
      </c>
      <c r="F78" s="108" t="str">
        <f t="shared" si="4"/>
        <v>-</v>
      </c>
    </row>
    <row r="79" spans="1:6" ht="26.4" x14ac:dyDescent="0.25">
      <c r="A79" s="105" t="s">
        <v>1033</v>
      </c>
      <c r="B79" s="105" t="s">
        <v>1034</v>
      </c>
      <c r="C79" s="106" t="s">
        <v>74</v>
      </c>
      <c r="D79" s="106" t="s">
        <v>31</v>
      </c>
      <c r="E79" s="106" t="str">
        <f t="shared" si="3"/>
        <v>N/A</v>
      </c>
      <c r="F79" s="108" t="str">
        <f t="shared" si="4"/>
        <v>-</v>
      </c>
    </row>
    <row r="80" spans="1:6" ht="52.05" customHeight="1" x14ac:dyDescent="0.25">
      <c r="A80" s="105" t="s">
        <v>1035</v>
      </c>
      <c r="B80" s="105" t="s">
        <v>1216</v>
      </c>
      <c r="C80" s="106" t="s">
        <v>74</v>
      </c>
      <c r="D80" s="146" t="s">
        <v>1235</v>
      </c>
      <c r="E80" s="106" t="str">
        <f t="shared" si="3"/>
        <v>N/A</v>
      </c>
      <c r="F80" s="108" t="str">
        <f t="shared" si="4"/>
        <v>-</v>
      </c>
    </row>
    <row r="81" spans="1:6" ht="26.4" x14ac:dyDescent="0.25">
      <c r="A81" s="105" t="s">
        <v>1036</v>
      </c>
      <c r="B81" s="105" t="s">
        <v>1037</v>
      </c>
      <c r="C81" s="106" t="s">
        <v>1038</v>
      </c>
      <c r="D81" s="106" t="s">
        <v>31</v>
      </c>
      <c r="E81" s="106" t="str">
        <f t="shared" si="3"/>
        <v>N/A</v>
      </c>
      <c r="F81" s="108" t="str">
        <f t="shared" si="4"/>
        <v>-</v>
      </c>
    </row>
    <row r="82" spans="1:6" ht="39.6" x14ac:dyDescent="0.25">
      <c r="A82" s="105" t="s">
        <v>1039</v>
      </c>
      <c r="B82" s="105" t="s">
        <v>1040</v>
      </c>
      <c r="C82" s="106" t="s">
        <v>74</v>
      </c>
      <c r="D82" s="146" t="s">
        <v>1235</v>
      </c>
      <c r="E82" s="106" t="str">
        <f t="shared" si="3"/>
        <v>N/A</v>
      </c>
      <c r="F82" s="108" t="str">
        <f t="shared" si="4"/>
        <v>-</v>
      </c>
    </row>
    <row r="83" spans="1:6" ht="26.4" x14ac:dyDescent="0.25">
      <c r="A83" s="105" t="s">
        <v>1041</v>
      </c>
      <c r="B83" s="105" t="s">
        <v>1042</v>
      </c>
      <c r="C83" s="106" t="s">
        <v>231</v>
      </c>
      <c r="D83" s="106" t="s">
        <v>31</v>
      </c>
      <c r="E83" s="106" t="str">
        <f t="shared" si="3"/>
        <v>N/A</v>
      </c>
      <c r="F83" s="108" t="str">
        <f t="shared" si="4"/>
        <v>-</v>
      </c>
    </row>
    <row r="84" spans="1:6" ht="52.8" x14ac:dyDescent="0.25">
      <c r="A84" s="105" t="s">
        <v>1043</v>
      </c>
      <c r="B84" s="105" t="s">
        <v>1044</v>
      </c>
      <c r="C84" s="106" t="s">
        <v>74</v>
      </c>
      <c r="D84" s="106" t="s">
        <v>31</v>
      </c>
      <c r="E84" s="106" t="str">
        <f t="shared" si="3"/>
        <v>N/A</v>
      </c>
      <c r="F84" s="108" t="str">
        <f t="shared" si="4"/>
        <v>-</v>
      </c>
    </row>
    <row r="85" spans="1:6" ht="26.4" x14ac:dyDescent="0.25">
      <c r="A85" s="105" t="s">
        <v>1045</v>
      </c>
      <c r="B85" s="105" t="s">
        <v>1046</v>
      </c>
      <c r="C85" s="106" t="s">
        <v>1038</v>
      </c>
      <c r="D85" s="106" t="s">
        <v>31</v>
      </c>
      <c r="E85" s="106" t="str">
        <f t="shared" si="3"/>
        <v>N/A</v>
      </c>
      <c r="F85" s="108" t="str">
        <f t="shared" si="4"/>
        <v>-</v>
      </c>
    </row>
    <row r="86" spans="1:6" ht="39.6" x14ac:dyDescent="0.25">
      <c r="A86" s="105" t="s">
        <v>1047</v>
      </c>
      <c r="B86" s="105" t="s">
        <v>1048</v>
      </c>
      <c r="C86" s="106" t="s">
        <v>74</v>
      </c>
      <c r="D86" s="106" t="s">
        <v>31</v>
      </c>
      <c r="E86" s="106" t="str">
        <f t="shared" si="3"/>
        <v>N/A</v>
      </c>
      <c r="F86" s="108" t="str">
        <f t="shared" si="4"/>
        <v>-</v>
      </c>
    </row>
    <row r="87" spans="1:6" ht="26.4" x14ac:dyDescent="0.25">
      <c r="A87" s="105" t="s">
        <v>1049</v>
      </c>
      <c r="B87" s="105" t="s">
        <v>1050</v>
      </c>
      <c r="C87" s="106" t="s">
        <v>231</v>
      </c>
      <c r="D87" s="106" t="s">
        <v>31</v>
      </c>
      <c r="E87" s="106" t="str">
        <f t="shared" si="3"/>
        <v>N/A</v>
      </c>
      <c r="F87" s="108" t="str">
        <f t="shared" si="4"/>
        <v>-</v>
      </c>
    </row>
    <row r="88" spans="1:6" ht="52.8" x14ac:dyDescent="0.25">
      <c r="A88" s="105" t="s">
        <v>1051</v>
      </c>
      <c r="B88" s="105" t="s">
        <v>1052</v>
      </c>
      <c r="C88" s="106" t="s">
        <v>74</v>
      </c>
      <c r="D88" s="106" t="s">
        <v>31</v>
      </c>
      <c r="E88" s="106" t="str">
        <f t="shared" si="3"/>
        <v>N/A</v>
      </c>
      <c r="F88" s="108" t="str">
        <f t="shared" si="4"/>
        <v>-</v>
      </c>
    </row>
    <row r="89" spans="1:6" ht="26.4" x14ac:dyDescent="0.25">
      <c r="A89" s="105" t="s">
        <v>1053</v>
      </c>
      <c r="B89" s="105" t="s">
        <v>1054</v>
      </c>
      <c r="C89" s="106" t="s">
        <v>231</v>
      </c>
      <c r="D89" s="106" t="s">
        <v>31</v>
      </c>
      <c r="E89" s="106" t="str">
        <f t="shared" si="3"/>
        <v>N/A</v>
      </c>
      <c r="F89" s="108" t="str">
        <f t="shared" si="4"/>
        <v>-</v>
      </c>
    </row>
    <row r="90" spans="1:6" ht="26.4" x14ac:dyDescent="0.25">
      <c r="A90" s="105" t="s">
        <v>1055</v>
      </c>
      <c r="B90" s="105" t="s">
        <v>1056</v>
      </c>
      <c r="C90" s="106" t="s">
        <v>74</v>
      </c>
      <c r="D90" s="106" t="s">
        <v>31</v>
      </c>
      <c r="E90" s="106" t="str">
        <f t="shared" si="3"/>
        <v>N/A</v>
      </c>
      <c r="F90" s="108" t="str">
        <f t="shared" si="4"/>
        <v>-</v>
      </c>
    </row>
    <row r="91" spans="1:6" ht="52.8" x14ac:dyDescent="0.25">
      <c r="A91" s="105" t="s">
        <v>1057</v>
      </c>
      <c r="B91" s="105" t="s">
        <v>1058</v>
      </c>
      <c r="C91" s="106" t="s">
        <v>74</v>
      </c>
      <c r="D91" s="146" t="s">
        <v>1235</v>
      </c>
      <c r="E91" s="106" t="str">
        <f t="shared" si="3"/>
        <v>N/A</v>
      </c>
      <c r="F91" s="108" t="str">
        <f t="shared" si="4"/>
        <v>-</v>
      </c>
    </row>
    <row r="92" spans="1:6" ht="52.8" x14ac:dyDescent="0.25">
      <c r="A92" s="105" t="s">
        <v>1059</v>
      </c>
      <c r="B92" s="105" t="s">
        <v>1060</v>
      </c>
      <c r="C92" s="106" t="s">
        <v>74</v>
      </c>
      <c r="D92" s="106" t="s">
        <v>31</v>
      </c>
      <c r="E92" s="106" t="str">
        <f t="shared" si="3"/>
        <v>N/A</v>
      </c>
      <c r="F92" s="108" t="str">
        <f t="shared" si="4"/>
        <v>-</v>
      </c>
    </row>
    <row r="93" spans="1:6" ht="52.8" x14ac:dyDescent="0.25">
      <c r="A93" s="105" t="s">
        <v>1061</v>
      </c>
      <c r="B93" s="105" t="s">
        <v>1062</v>
      </c>
      <c r="C93" s="106" t="s">
        <v>74</v>
      </c>
      <c r="D93" s="146" t="s">
        <v>1235</v>
      </c>
      <c r="E93" s="106" t="str">
        <f t="shared" si="3"/>
        <v>N/A</v>
      </c>
      <c r="F93" s="108" t="str">
        <f t="shared" si="4"/>
        <v>-</v>
      </c>
    </row>
    <row r="94" spans="1:6" x14ac:dyDescent="0.25">
      <c r="A94" s="105" t="s">
        <v>1063</v>
      </c>
      <c r="B94" s="117" t="s">
        <v>1064</v>
      </c>
      <c r="C94" s="106"/>
      <c r="D94" s="106"/>
      <c r="E94" s="118"/>
      <c r="F94" s="108"/>
    </row>
    <row r="95" spans="1:6" ht="66" x14ac:dyDescent="0.25">
      <c r="A95" s="105" t="s">
        <v>1065</v>
      </c>
      <c r="B95" s="105" t="s">
        <v>1066</v>
      </c>
      <c r="C95" s="106" t="s">
        <v>74</v>
      </c>
      <c r="D95" s="146" t="s">
        <v>1235</v>
      </c>
      <c r="E95" s="106" t="str">
        <f t="shared" ref="E95:E126" si="5">IF(ISNUMBER(D95),"","N/A")</f>
        <v>N/A</v>
      </c>
      <c r="F95" s="108" t="str">
        <f t="shared" si="4"/>
        <v>-</v>
      </c>
    </row>
    <row r="96" spans="1:6" ht="26.4" x14ac:dyDescent="0.25">
      <c r="A96" s="105" t="s">
        <v>1067</v>
      </c>
      <c r="B96" s="105" t="s">
        <v>1068</v>
      </c>
      <c r="C96" s="106" t="s">
        <v>74</v>
      </c>
      <c r="D96" s="106" t="s">
        <v>31</v>
      </c>
      <c r="E96" s="106" t="str">
        <f t="shared" si="5"/>
        <v>N/A</v>
      </c>
      <c r="F96" s="108" t="str">
        <f t="shared" si="4"/>
        <v>-</v>
      </c>
    </row>
    <row r="97" spans="1:6" ht="66" x14ac:dyDescent="0.25">
      <c r="A97" s="105" t="s">
        <v>1069</v>
      </c>
      <c r="B97" s="105" t="s">
        <v>1070</v>
      </c>
      <c r="C97" s="106" t="s">
        <v>74</v>
      </c>
      <c r="D97" s="146" t="s">
        <v>1235</v>
      </c>
      <c r="E97" s="106" t="str">
        <f t="shared" si="5"/>
        <v>N/A</v>
      </c>
      <c r="F97" s="108" t="str">
        <f t="shared" si="4"/>
        <v>-</v>
      </c>
    </row>
    <row r="98" spans="1:6" ht="52.8" x14ac:dyDescent="0.25">
      <c r="A98" s="105" t="s">
        <v>1071</v>
      </c>
      <c r="B98" s="105" t="s">
        <v>1072</v>
      </c>
      <c r="C98" s="106" t="s">
        <v>74</v>
      </c>
      <c r="D98" s="106" t="s">
        <v>31</v>
      </c>
      <c r="E98" s="106" t="str">
        <f t="shared" si="5"/>
        <v>N/A</v>
      </c>
      <c r="F98" s="108" t="str">
        <f t="shared" si="4"/>
        <v>-</v>
      </c>
    </row>
    <row r="99" spans="1:6" ht="39.6" x14ac:dyDescent="0.25">
      <c r="A99" s="105" t="s">
        <v>1073</v>
      </c>
      <c r="B99" s="105" t="s">
        <v>1074</v>
      </c>
      <c r="C99" s="106" t="s">
        <v>1038</v>
      </c>
      <c r="D99" s="106" t="s">
        <v>31</v>
      </c>
      <c r="E99" s="106" t="str">
        <f t="shared" si="5"/>
        <v>N/A</v>
      </c>
      <c r="F99" s="108" t="str">
        <f t="shared" si="4"/>
        <v>-</v>
      </c>
    </row>
    <row r="100" spans="1:6" ht="26.4" x14ac:dyDescent="0.25">
      <c r="A100" s="105" t="s">
        <v>1075</v>
      </c>
      <c r="B100" s="105" t="s">
        <v>1076</v>
      </c>
      <c r="C100" s="106" t="s">
        <v>231</v>
      </c>
      <c r="D100" s="106" t="s">
        <v>31</v>
      </c>
      <c r="E100" s="106" t="str">
        <f t="shared" si="5"/>
        <v>N/A</v>
      </c>
      <c r="F100" s="108" t="str">
        <f t="shared" si="4"/>
        <v>-</v>
      </c>
    </row>
    <row r="101" spans="1:6" x14ac:dyDescent="0.25">
      <c r="A101" s="105" t="s">
        <v>1077</v>
      </c>
      <c r="B101" s="117" t="s">
        <v>1078</v>
      </c>
      <c r="C101" s="106"/>
      <c r="D101" s="106"/>
      <c r="E101" s="106" t="str">
        <f t="shared" si="5"/>
        <v>N/A</v>
      </c>
      <c r="F101" s="108"/>
    </row>
    <row r="102" spans="1:6" ht="26.4" x14ac:dyDescent="0.25">
      <c r="A102" s="105" t="s">
        <v>1079</v>
      </c>
      <c r="B102" s="105" t="s">
        <v>1080</v>
      </c>
      <c r="C102" s="106" t="s">
        <v>74</v>
      </c>
      <c r="D102" s="106" t="s">
        <v>31</v>
      </c>
      <c r="E102" s="106" t="str">
        <f t="shared" si="5"/>
        <v>N/A</v>
      </c>
      <c r="F102" s="108" t="str">
        <f t="shared" si="4"/>
        <v>-</v>
      </c>
    </row>
    <row r="103" spans="1:6" ht="26.4" x14ac:dyDescent="0.25">
      <c r="A103" s="105" t="s">
        <v>1081</v>
      </c>
      <c r="B103" s="105" t="s">
        <v>1082</v>
      </c>
      <c r="C103" s="106" t="s">
        <v>74</v>
      </c>
      <c r="D103" s="106" t="s">
        <v>31</v>
      </c>
      <c r="E103" s="106" t="str">
        <f t="shared" si="5"/>
        <v>N/A</v>
      </c>
      <c r="F103" s="108" t="str">
        <f t="shared" si="4"/>
        <v>-</v>
      </c>
    </row>
    <row r="104" spans="1:6" ht="26.4" x14ac:dyDescent="0.25">
      <c r="A104" s="105" t="s">
        <v>1083</v>
      </c>
      <c r="B104" s="105" t="s">
        <v>1084</v>
      </c>
      <c r="C104" s="106" t="s">
        <v>74</v>
      </c>
      <c r="D104" s="106" t="s">
        <v>31</v>
      </c>
      <c r="E104" s="106" t="str">
        <f t="shared" si="5"/>
        <v>N/A</v>
      </c>
      <c r="F104" s="108" t="str">
        <f t="shared" si="4"/>
        <v>-</v>
      </c>
    </row>
    <row r="105" spans="1:6" ht="26.4" x14ac:dyDescent="0.25">
      <c r="A105" s="105" t="s">
        <v>1085</v>
      </c>
      <c r="B105" s="105" t="s">
        <v>1086</v>
      </c>
      <c r="C105" s="106" t="s">
        <v>74</v>
      </c>
      <c r="D105" s="106" t="s">
        <v>31</v>
      </c>
      <c r="E105" s="106" t="str">
        <f t="shared" si="5"/>
        <v>N/A</v>
      </c>
      <c r="F105" s="108" t="str">
        <f t="shared" si="4"/>
        <v>-</v>
      </c>
    </row>
    <row r="106" spans="1:6" ht="26.4" x14ac:dyDescent="0.25">
      <c r="A106" s="105" t="s">
        <v>1087</v>
      </c>
      <c r="B106" s="105" t="s">
        <v>1088</v>
      </c>
      <c r="C106" s="106" t="s">
        <v>74</v>
      </c>
      <c r="D106" s="106" t="s">
        <v>31</v>
      </c>
      <c r="E106" s="106" t="str">
        <f t="shared" si="5"/>
        <v>N/A</v>
      </c>
      <c r="F106" s="108" t="str">
        <f t="shared" si="4"/>
        <v>-</v>
      </c>
    </row>
    <row r="107" spans="1:6" ht="12.75" customHeight="1" x14ac:dyDescent="0.25">
      <c r="A107" s="105" t="s">
        <v>1089</v>
      </c>
      <c r="B107" s="105" t="s">
        <v>1090</v>
      </c>
      <c r="C107" s="106" t="s">
        <v>74</v>
      </c>
      <c r="D107" s="106" t="s">
        <v>31</v>
      </c>
      <c r="E107" s="106" t="str">
        <f t="shared" si="5"/>
        <v>N/A</v>
      </c>
      <c r="F107" s="108" t="str">
        <f t="shared" si="4"/>
        <v>-</v>
      </c>
    </row>
    <row r="108" spans="1:6" ht="26.4" x14ac:dyDescent="0.25">
      <c r="A108" s="105" t="s">
        <v>1091</v>
      </c>
      <c r="B108" s="105" t="s">
        <v>1092</v>
      </c>
      <c r="C108" s="106" t="s">
        <v>74</v>
      </c>
      <c r="D108" s="106" t="s">
        <v>31</v>
      </c>
      <c r="E108" s="106" t="str">
        <f t="shared" si="5"/>
        <v>N/A</v>
      </c>
      <c r="F108" s="108" t="str">
        <f t="shared" si="4"/>
        <v>-</v>
      </c>
    </row>
    <row r="109" spans="1:6" ht="26.4" x14ac:dyDescent="0.25">
      <c r="A109" s="105" t="s">
        <v>1093</v>
      </c>
      <c r="B109" s="105" t="s">
        <v>1094</v>
      </c>
      <c r="C109" s="106" t="s">
        <v>74</v>
      </c>
      <c r="D109" s="106" t="s">
        <v>31</v>
      </c>
      <c r="E109" s="106" t="str">
        <f t="shared" si="5"/>
        <v>N/A</v>
      </c>
      <c r="F109" s="108" t="str">
        <f t="shared" si="4"/>
        <v>-</v>
      </c>
    </row>
    <row r="110" spans="1:6" ht="26.4" x14ac:dyDescent="0.25">
      <c r="A110" s="105" t="s">
        <v>1095</v>
      </c>
      <c r="B110" s="105" t="s">
        <v>1096</v>
      </c>
      <c r="C110" s="106" t="s">
        <v>74</v>
      </c>
      <c r="D110" s="106" t="s">
        <v>31</v>
      </c>
      <c r="E110" s="106" t="str">
        <f t="shared" si="5"/>
        <v>N/A</v>
      </c>
      <c r="F110" s="108" t="str">
        <f t="shared" si="4"/>
        <v>-</v>
      </c>
    </row>
    <row r="111" spans="1:6" ht="26.4" x14ac:dyDescent="0.25">
      <c r="A111" s="105" t="s">
        <v>1097</v>
      </c>
      <c r="B111" s="105" t="s">
        <v>1098</v>
      </c>
      <c r="C111" s="106" t="s">
        <v>74</v>
      </c>
      <c r="D111" s="106" t="s">
        <v>31</v>
      </c>
      <c r="E111" s="106" t="str">
        <f t="shared" si="5"/>
        <v>N/A</v>
      </c>
      <c r="F111" s="108" t="str">
        <f t="shared" si="4"/>
        <v>-</v>
      </c>
    </row>
    <row r="112" spans="1:6" ht="26.4" x14ac:dyDescent="0.25">
      <c r="A112" s="105" t="s">
        <v>1099</v>
      </c>
      <c r="B112" s="105" t="s">
        <v>1100</v>
      </c>
      <c r="C112" s="106" t="s">
        <v>74</v>
      </c>
      <c r="D112" s="106" t="s">
        <v>31</v>
      </c>
      <c r="E112" s="106" t="str">
        <f t="shared" si="5"/>
        <v>N/A</v>
      </c>
      <c r="F112" s="108" t="str">
        <f t="shared" si="4"/>
        <v>-</v>
      </c>
    </row>
    <row r="113" spans="1:6" ht="26.4" x14ac:dyDescent="0.25">
      <c r="A113" s="105" t="s">
        <v>1101</v>
      </c>
      <c r="B113" s="105" t="s">
        <v>1102</v>
      </c>
      <c r="C113" s="106" t="s">
        <v>74</v>
      </c>
      <c r="D113" s="106" t="s">
        <v>31</v>
      </c>
      <c r="E113" s="106" t="str">
        <f t="shared" si="5"/>
        <v>N/A</v>
      </c>
      <c r="F113" s="108" t="str">
        <f t="shared" si="4"/>
        <v>-</v>
      </c>
    </row>
    <row r="114" spans="1:6" ht="26.4" x14ac:dyDescent="0.25">
      <c r="A114" s="105" t="s">
        <v>1103</v>
      </c>
      <c r="B114" s="105" t="s">
        <v>1104</v>
      </c>
      <c r="C114" s="106" t="s">
        <v>74</v>
      </c>
      <c r="D114" s="106" t="s">
        <v>31</v>
      </c>
      <c r="E114" s="106" t="str">
        <f t="shared" si="5"/>
        <v>N/A</v>
      </c>
      <c r="F114" s="108" t="str">
        <f t="shared" si="4"/>
        <v>-</v>
      </c>
    </row>
    <row r="115" spans="1:6" ht="28.8" x14ac:dyDescent="0.25">
      <c r="A115" s="105" t="s">
        <v>1105</v>
      </c>
      <c r="B115" s="105" t="s">
        <v>1106</v>
      </c>
      <c r="C115" s="106" t="s">
        <v>74</v>
      </c>
      <c r="D115" s="146" t="s">
        <v>1235</v>
      </c>
      <c r="E115" s="106" t="str">
        <f t="shared" si="5"/>
        <v>N/A</v>
      </c>
      <c r="F115" s="108" t="str">
        <f t="shared" si="4"/>
        <v>-</v>
      </c>
    </row>
    <row r="116" spans="1:6" ht="26.4" x14ac:dyDescent="0.25">
      <c r="A116" s="105" t="s">
        <v>1107</v>
      </c>
      <c r="B116" s="105" t="s">
        <v>1108</v>
      </c>
      <c r="C116" s="106" t="s">
        <v>74</v>
      </c>
      <c r="D116" s="106" t="s">
        <v>31</v>
      </c>
      <c r="E116" s="106" t="str">
        <f t="shared" si="5"/>
        <v>N/A</v>
      </c>
      <c r="F116" s="108" t="str">
        <f t="shared" si="4"/>
        <v>-</v>
      </c>
    </row>
    <row r="117" spans="1:6" ht="26.4" x14ac:dyDescent="0.25">
      <c r="A117" s="105" t="s">
        <v>1109</v>
      </c>
      <c r="B117" s="105" t="s">
        <v>1110</v>
      </c>
      <c r="C117" s="106" t="s">
        <v>74</v>
      </c>
      <c r="D117" s="106" t="s">
        <v>31</v>
      </c>
      <c r="E117" s="106" t="str">
        <f t="shared" si="5"/>
        <v>N/A</v>
      </c>
      <c r="F117" s="108" t="str">
        <f t="shared" si="4"/>
        <v>-</v>
      </c>
    </row>
    <row r="118" spans="1:6" ht="26.4" x14ac:dyDescent="0.25">
      <c r="A118" s="105" t="s">
        <v>1111</v>
      </c>
      <c r="B118" s="105" t="s">
        <v>1112</v>
      </c>
      <c r="C118" s="106" t="s">
        <v>74</v>
      </c>
      <c r="D118" s="106" t="s">
        <v>31</v>
      </c>
      <c r="E118" s="106" t="str">
        <f t="shared" si="5"/>
        <v>N/A</v>
      </c>
      <c r="F118" s="108" t="str">
        <f t="shared" si="4"/>
        <v>-</v>
      </c>
    </row>
    <row r="119" spans="1:6" ht="28.8" x14ac:dyDescent="0.25">
      <c r="A119" s="105" t="s">
        <v>1113</v>
      </c>
      <c r="B119" s="105" t="s">
        <v>1114</v>
      </c>
      <c r="C119" s="106" t="s">
        <v>74</v>
      </c>
      <c r="D119" s="146" t="s">
        <v>1235</v>
      </c>
      <c r="E119" s="106" t="str">
        <f t="shared" si="5"/>
        <v>N/A</v>
      </c>
      <c r="F119" s="108" t="str">
        <f t="shared" si="4"/>
        <v>-</v>
      </c>
    </row>
    <row r="120" spans="1:6" ht="39.6" x14ac:dyDescent="0.25">
      <c r="A120" s="105" t="s">
        <v>1115</v>
      </c>
      <c r="B120" s="105" t="s">
        <v>1116</v>
      </c>
      <c r="C120" s="106" t="s">
        <v>74</v>
      </c>
      <c r="D120" s="106" t="s">
        <v>31</v>
      </c>
      <c r="E120" s="106" t="str">
        <f t="shared" si="5"/>
        <v>N/A</v>
      </c>
      <c r="F120" s="108" t="str">
        <f t="shared" si="4"/>
        <v>-</v>
      </c>
    </row>
    <row r="121" spans="1:6" ht="26.4" x14ac:dyDescent="0.25">
      <c r="A121" s="105" t="s">
        <v>1117</v>
      </c>
      <c r="B121" s="105" t="s">
        <v>1118</v>
      </c>
      <c r="C121" s="106" t="s">
        <v>74</v>
      </c>
      <c r="D121" s="106" t="s">
        <v>31</v>
      </c>
      <c r="E121" s="106" t="str">
        <f t="shared" si="5"/>
        <v>N/A</v>
      </c>
      <c r="F121" s="108" t="str">
        <f t="shared" si="4"/>
        <v>-</v>
      </c>
    </row>
    <row r="122" spans="1:6" ht="26.4" x14ac:dyDescent="0.25">
      <c r="A122" s="105" t="s">
        <v>1119</v>
      </c>
      <c r="B122" s="105" t="s">
        <v>1120</v>
      </c>
      <c r="C122" s="106" t="s">
        <v>74</v>
      </c>
      <c r="D122" s="106" t="s">
        <v>31</v>
      </c>
      <c r="E122" s="106" t="str">
        <f t="shared" si="5"/>
        <v>N/A</v>
      </c>
      <c r="F122" s="108" t="str">
        <f t="shared" si="4"/>
        <v>-</v>
      </c>
    </row>
    <row r="123" spans="1:6" ht="39.6" x14ac:dyDescent="0.25">
      <c r="A123" s="105"/>
      <c r="B123" s="117" t="s">
        <v>1121</v>
      </c>
      <c r="C123" s="106"/>
      <c r="D123" s="107"/>
      <c r="E123" s="106" t="str">
        <f t="shared" si="5"/>
        <v>N/A</v>
      </c>
      <c r="F123" s="108"/>
    </row>
    <row r="124" spans="1:6" ht="39.6" x14ac:dyDescent="0.25">
      <c r="A124" s="105" t="s">
        <v>1122</v>
      </c>
      <c r="B124" s="105" t="s">
        <v>1123</v>
      </c>
      <c r="C124" s="106" t="s">
        <v>74</v>
      </c>
      <c r="D124" s="106" t="s">
        <v>31</v>
      </c>
      <c r="E124" s="106" t="str">
        <f t="shared" si="5"/>
        <v>N/A</v>
      </c>
      <c r="F124" s="108" t="str">
        <f t="shared" si="4"/>
        <v>-</v>
      </c>
    </row>
    <row r="125" spans="1:6" ht="79.2" x14ac:dyDescent="0.25">
      <c r="A125" s="105" t="s">
        <v>1124</v>
      </c>
      <c r="B125" s="105" t="s">
        <v>1125</v>
      </c>
      <c r="C125" s="106" t="s">
        <v>74</v>
      </c>
      <c r="D125" s="106" t="s">
        <v>31</v>
      </c>
      <c r="E125" s="106" t="str">
        <f t="shared" si="5"/>
        <v>N/A</v>
      </c>
      <c r="F125" s="108" t="str">
        <f t="shared" si="4"/>
        <v>-</v>
      </c>
    </row>
    <row r="126" spans="1:6" ht="105.6" x14ac:dyDescent="0.25">
      <c r="A126" s="105" t="s">
        <v>1126</v>
      </c>
      <c r="B126" s="105" t="s">
        <v>1127</v>
      </c>
      <c r="C126" s="106" t="s">
        <v>74</v>
      </c>
      <c r="D126" s="106" t="s">
        <v>31</v>
      </c>
      <c r="E126" s="106" t="str">
        <f t="shared" si="5"/>
        <v>N/A</v>
      </c>
      <c r="F126" s="108" t="str">
        <f t="shared" si="4"/>
        <v>-</v>
      </c>
    </row>
    <row r="127" spans="1:6" ht="12.75" customHeight="1" x14ac:dyDescent="0.25">
      <c r="B127" s="20" t="s">
        <v>1128</v>
      </c>
      <c r="C127" s="21"/>
      <c r="D127" s="21"/>
      <c r="E127" s="22"/>
      <c r="F127" s="12">
        <f>SUM(F11:F126)</f>
        <v>0</v>
      </c>
    </row>
    <row r="128" spans="1:6" x14ac:dyDescent="0.25">
      <c r="E128" s="24"/>
    </row>
    <row r="129" spans="5:5" x14ac:dyDescent="0.25">
      <c r="E129" s="24"/>
    </row>
    <row r="130" spans="5:5" x14ac:dyDescent="0.25">
      <c r="E130" s="24"/>
    </row>
    <row r="131" spans="5:5" x14ac:dyDescent="0.25">
      <c r="E131" s="24"/>
    </row>
    <row r="132" spans="5:5" x14ac:dyDescent="0.25">
      <c r="E132" s="24"/>
    </row>
    <row r="133" spans="5:5" x14ac:dyDescent="0.25">
      <c r="E133" s="2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7749-8735-433B-BF69-A2CF1A7DE661}">
  <dimension ref="A7:F28"/>
  <sheetViews>
    <sheetView workbookViewId="0">
      <selection activeCell="E21" sqref="E21"/>
    </sheetView>
  </sheetViews>
  <sheetFormatPr defaultColWidth="9.21875" defaultRowHeight="13.2" x14ac:dyDescent="0.25"/>
  <cols>
    <col min="1" max="1" width="9.21875" style="8"/>
    <col min="2" max="2" width="35.77734375" style="8" customWidth="1"/>
    <col min="3" max="3" width="8.21875" style="23" customWidth="1"/>
    <col min="4" max="4" width="12.77734375" style="23" bestFit="1" customWidth="1"/>
    <col min="5" max="5" width="11.44140625" style="24" customWidth="1"/>
    <col min="6" max="6" width="11.44140625" style="25" customWidth="1"/>
    <col min="7" max="16384" width="9.21875" style="8"/>
  </cols>
  <sheetData>
    <row r="7" spans="1:6" x14ac:dyDescent="0.25">
      <c r="A7" s="6" t="s">
        <v>15</v>
      </c>
      <c r="B7" s="6" t="s">
        <v>16</v>
      </c>
      <c r="C7" s="6" t="s">
        <v>17</v>
      </c>
      <c r="D7" s="6" t="s">
        <v>0</v>
      </c>
      <c r="E7" s="7" t="s">
        <v>1</v>
      </c>
      <c r="F7" s="1" t="s">
        <v>18</v>
      </c>
    </row>
    <row r="8" spans="1:6" x14ac:dyDescent="0.25">
      <c r="A8" s="35"/>
      <c r="B8" s="35"/>
      <c r="C8" s="36"/>
      <c r="D8" s="36"/>
      <c r="E8" s="67" t="s">
        <v>19</v>
      </c>
      <c r="F8" s="37" t="s">
        <v>19</v>
      </c>
    </row>
    <row r="9" spans="1:6" x14ac:dyDescent="0.25">
      <c r="A9" s="48" t="s">
        <v>1129</v>
      </c>
      <c r="B9" s="48" t="s">
        <v>1130</v>
      </c>
      <c r="C9" s="101"/>
      <c r="D9" s="101"/>
      <c r="E9" s="120"/>
      <c r="F9" s="111"/>
    </row>
    <row r="10" spans="1:6" ht="26.4" x14ac:dyDescent="0.25">
      <c r="A10" s="50"/>
      <c r="B10" s="117" t="s">
        <v>1131</v>
      </c>
      <c r="C10" s="104"/>
      <c r="D10" s="104"/>
      <c r="E10" s="121"/>
      <c r="F10" s="112"/>
    </row>
    <row r="11" spans="1:6" ht="14.4" x14ac:dyDescent="0.25">
      <c r="A11" s="4" t="s">
        <v>1132</v>
      </c>
      <c r="B11" s="4" t="s">
        <v>1133</v>
      </c>
      <c r="C11" s="3" t="s">
        <v>74</v>
      </c>
      <c r="D11" s="144" t="e">
        <f>IF(AND(ISNUMBER('[2]Section L'!$D$11),'[2]Section L'!$D$11&gt;0),'[2]Section L'!$D$11,"Not Required")</f>
        <v>#VALUE!</v>
      </c>
      <c r="E11" s="121"/>
      <c r="F11" s="110" t="str">
        <f t="shared" ref="F11:F17" si="0">IF(ISNUMBER(D11),D11*E11,"-")</f>
        <v>-</v>
      </c>
    </row>
    <row r="12" spans="1:6" x14ac:dyDescent="0.25">
      <c r="A12" s="4" t="s">
        <v>1134</v>
      </c>
      <c r="B12" s="4" t="s">
        <v>1135</v>
      </c>
      <c r="C12" s="3" t="s">
        <v>74</v>
      </c>
      <c r="D12" s="3" t="s">
        <v>31</v>
      </c>
      <c r="E12" s="104" t="str">
        <f>IF(ISNUMBER(D12),"","N/A")</f>
        <v>N/A</v>
      </c>
      <c r="F12" s="110" t="str">
        <f t="shared" si="0"/>
        <v>-</v>
      </c>
    </row>
    <row r="13" spans="1:6" x14ac:dyDescent="0.25">
      <c r="A13" s="4" t="s">
        <v>1136</v>
      </c>
      <c r="B13" s="4" t="s">
        <v>1137</v>
      </c>
      <c r="C13" s="3" t="s">
        <v>74</v>
      </c>
      <c r="D13" s="3" t="s">
        <v>31</v>
      </c>
      <c r="E13" s="104" t="str">
        <f t="shared" ref="E13:E14" si="1">IF(ISNUMBER(D13),"","N/A")</f>
        <v>N/A</v>
      </c>
      <c r="F13" s="110" t="str">
        <f t="shared" si="0"/>
        <v>-</v>
      </c>
    </row>
    <row r="14" spans="1:6" x14ac:dyDescent="0.25">
      <c r="A14" s="4" t="s">
        <v>1138</v>
      </c>
      <c r="B14" s="4" t="s">
        <v>1139</v>
      </c>
      <c r="C14" s="3" t="s">
        <v>74</v>
      </c>
      <c r="D14" s="3" t="s">
        <v>31</v>
      </c>
      <c r="E14" s="104" t="str">
        <f t="shared" si="1"/>
        <v>N/A</v>
      </c>
      <c r="F14" s="110" t="str">
        <f t="shared" si="0"/>
        <v>-</v>
      </c>
    </row>
    <row r="15" spans="1:6" ht="14.4" x14ac:dyDescent="0.25">
      <c r="A15" s="4" t="s">
        <v>1140</v>
      </c>
      <c r="B15" s="4" t="s">
        <v>1141</v>
      </c>
      <c r="C15" s="3" t="s">
        <v>74</v>
      </c>
      <c r="D15" s="144" t="e">
        <f>IF(AND(ISNUMBER('[2]Section L'!$D$15),'[2]Section L'!$D$15&gt;0),'[2]Section L'!$D$15,"Not Required")</f>
        <v>#VALUE!</v>
      </c>
      <c r="E15" s="121"/>
      <c r="F15" s="110" t="str">
        <f t="shared" si="0"/>
        <v>-</v>
      </c>
    </row>
    <row r="16" spans="1:6" x14ac:dyDescent="0.25">
      <c r="A16" s="4" t="s">
        <v>1142</v>
      </c>
      <c r="B16" s="4" t="s">
        <v>1143</v>
      </c>
      <c r="C16" s="3" t="s">
        <v>74</v>
      </c>
      <c r="D16" s="3" t="s">
        <v>31</v>
      </c>
      <c r="E16" s="104" t="str">
        <f>IF(ISNUMBER(D16),"","N/A")</f>
        <v>N/A</v>
      </c>
      <c r="F16" s="110" t="str">
        <f t="shared" si="0"/>
        <v>-</v>
      </c>
    </row>
    <row r="17" spans="1:6" x14ac:dyDescent="0.25">
      <c r="A17" s="4" t="s">
        <v>1211</v>
      </c>
      <c r="B17" s="4" t="s">
        <v>1212</v>
      </c>
      <c r="C17" s="3" t="s">
        <v>74</v>
      </c>
      <c r="D17" s="3" t="s">
        <v>31</v>
      </c>
      <c r="E17" s="104" t="str">
        <f>IF(ISNUMBER(D17),"","N/A")</f>
        <v>N/A</v>
      </c>
      <c r="F17" s="110" t="str">
        <f t="shared" si="0"/>
        <v>-</v>
      </c>
    </row>
    <row r="18" spans="1:6" ht="12.75" customHeight="1" x14ac:dyDescent="0.25">
      <c r="B18" s="20" t="s">
        <v>1144</v>
      </c>
      <c r="C18" s="21"/>
      <c r="D18" s="21"/>
      <c r="E18" s="22"/>
      <c r="F18" s="12">
        <f>SUM(F11:F17)</f>
        <v>0</v>
      </c>
    </row>
    <row r="28" spans="1:6" x14ac:dyDescent="0.25">
      <c r="F28" s="86"/>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5793-A0B4-40D6-9A47-B3E2EFCD28ED}">
  <dimension ref="A7:F27"/>
  <sheetViews>
    <sheetView workbookViewId="0">
      <selection activeCell="C9" sqref="C9"/>
    </sheetView>
  </sheetViews>
  <sheetFormatPr defaultColWidth="9.21875" defaultRowHeight="13.2" x14ac:dyDescent="0.25"/>
  <cols>
    <col min="1" max="1" width="9.21875" style="8"/>
    <col min="2" max="2" width="35.77734375" style="8" customWidth="1"/>
    <col min="3" max="3" width="11.44140625" style="23" customWidth="1"/>
    <col min="4" max="5" width="9.21875" style="8"/>
    <col min="6" max="6" width="10.5546875" style="8" bestFit="1" customWidth="1"/>
    <col min="7" max="16384" width="9.21875" style="8"/>
  </cols>
  <sheetData>
    <row r="7" spans="1:3" x14ac:dyDescent="0.25">
      <c r="A7" s="122" t="s">
        <v>1145</v>
      </c>
      <c r="B7" s="122"/>
      <c r="C7" s="122"/>
    </row>
    <row r="8" spans="1:3" x14ac:dyDescent="0.25">
      <c r="A8" s="35"/>
      <c r="B8" s="35"/>
      <c r="C8" s="36" t="s">
        <v>19</v>
      </c>
    </row>
    <row r="9" spans="1:3" ht="26.4" x14ac:dyDescent="0.25">
      <c r="A9" s="50" t="s">
        <v>1146</v>
      </c>
      <c r="B9" s="50" t="s">
        <v>21</v>
      </c>
      <c r="C9" s="140">
        <f>'Section A'!F72</f>
        <v>0</v>
      </c>
    </row>
    <row r="10" spans="1:3" ht="14.4" x14ac:dyDescent="0.25">
      <c r="A10" s="50" t="s">
        <v>1147</v>
      </c>
      <c r="B10" s="50" t="s">
        <v>1148</v>
      </c>
      <c r="C10" s="140" t="e">
        <f>'Section B'!F45</f>
        <v>#VALUE!</v>
      </c>
    </row>
    <row r="11" spans="1:3" ht="14.4" x14ac:dyDescent="0.25">
      <c r="A11" s="50" t="s">
        <v>1149</v>
      </c>
      <c r="B11" s="50" t="s">
        <v>219</v>
      </c>
      <c r="C11" s="140" t="e">
        <f>'Section C'!F113</f>
        <v>#VALUE!</v>
      </c>
    </row>
    <row r="12" spans="1:3" ht="14.4" x14ac:dyDescent="0.25">
      <c r="A12" s="50" t="s">
        <v>1150</v>
      </c>
      <c r="B12" s="50" t="s">
        <v>408</v>
      </c>
      <c r="C12" s="140" t="e">
        <f>'Section D'!F75</f>
        <v>#VALUE!</v>
      </c>
    </row>
    <row r="13" spans="1:3" ht="26.4" x14ac:dyDescent="0.25">
      <c r="A13" s="50" t="s">
        <v>1151</v>
      </c>
      <c r="B13" s="50" t="s">
        <v>538</v>
      </c>
      <c r="C13" s="140" t="e">
        <f>'Section E'!F33</f>
        <v>#VALUE!</v>
      </c>
    </row>
    <row r="14" spans="1:3" ht="14.4" x14ac:dyDescent="0.25">
      <c r="A14" s="50" t="s">
        <v>1152</v>
      </c>
      <c r="B14" s="50" t="s">
        <v>583</v>
      </c>
      <c r="C14" s="140" t="e">
        <f>'Section F'!F34</f>
        <v>#VALUE!</v>
      </c>
    </row>
    <row r="15" spans="1:3" ht="14.4" x14ac:dyDescent="0.25">
      <c r="A15" s="50" t="s">
        <v>1153</v>
      </c>
      <c r="B15" s="50" t="s">
        <v>632</v>
      </c>
      <c r="C15" s="140">
        <f>'Section G'!F25</f>
        <v>0</v>
      </c>
    </row>
    <row r="16" spans="1:3" ht="14.4" x14ac:dyDescent="0.25">
      <c r="A16" s="50" t="s">
        <v>1154</v>
      </c>
      <c r="B16" s="50" t="s">
        <v>659</v>
      </c>
      <c r="C16" s="140">
        <f>'Section H'!F69</f>
        <v>0</v>
      </c>
    </row>
    <row r="17" spans="1:6" ht="12.75" customHeight="1" x14ac:dyDescent="0.25">
      <c r="A17" s="50" t="s">
        <v>1155</v>
      </c>
      <c r="B17" s="50" t="s">
        <v>763</v>
      </c>
      <c r="C17" s="140">
        <f>'Section I'!F49</f>
        <v>0</v>
      </c>
    </row>
    <row r="18" spans="1:6" ht="14.4" x14ac:dyDescent="0.3">
      <c r="A18" s="50" t="s">
        <v>1156</v>
      </c>
      <c r="B18" s="50" t="s">
        <v>1157</v>
      </c>
      <c r="C18" s="141">
        <f>'Section J'!F37</f>
        <v>0</v>
      </c>
    </row>
    <row r="19" spans="1:6" ht="14.4" x14ac:dyDescent="0.3">
      <c r="A19" s="50" t="s">
        <v>1158</v>
      </c>
      <c r="B19" s="50" t="s">
        <v>894</v>
      </c>
      <c r="C19" s="141">
        <f>'Section K'!F127</f>
        <v>0</v>
      </c>
    </row>
    <row r="20" spans="1:6" ht="14.4" x14ac:dyDescent="0.3">
      <c r="A20" s="50" t="s">
        <v>1159</v>
      </c>
      <c r="B20" s="50" t="s">
        <v>1130</v>
      </c>
      <c r="C20" s="141">
        <f>'Section L'!F18</f>
        <v>0</v>
      </c>
    </row>
    <row r="21" spans="1:6" x14ac:dyDescent="0.25">
      <c r="A21" s="123"/>
      <c r="B21" s="123" t="s">
        <v>1160</v>
      </c>
      <c r="C21" s="124" t="e">
        <f>SUM(C9:C20)</f>
        <v>#VALUE!</v>
      </c>
    </row>
    <row r="27" spans="1:6" x14ac:dyDescent="0.25">
      <c r="F27" s="12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4CC5-F283-431F-ACAD-7FA1001D3510}">
  <dimension ref="A7:F45"/>
  <sheetViews>
    <sheetView workbookViewId="0">
      <selection activeCell="A45" sqref="A45"/>
    </sheetView>
  </sheetViews>
  <sheetFormatPr defaultColWidth="9.21875" defaultRowHeight="13.2" x14ac:dyDescent="0.25"/>
  <cols>
    <col min="1" max="1" width="9.21875" style="8"/>
    <col min="2" max="2" width="49.77734375" style="8" customWidth="1"/>
    <col min="3" max="4" width="11.44140625" style="23" customWidth="1"/>
    <col min="5" max="5" width="9.21875" style="8"/>
    <col min="6" max="6" width="10.21875" style="8" bestFit="1" customWidth="1"/>
    <col min="7" max="16384" width="9.21875" style="8"/>
  </cols>
  <sheetData>
    <row r="7" spans="1:4" x14ac:dyDescent="0.25">
      <c r="A7" s="126" t="s">
        <v>1161</v>
      </c>
      <c r="B7" s="9"/>
      <c r="C7" s="10"/>
      <c r="D7" s="10"/>
    </row>
    <row r="8" spans="1:4" x14ac:dyDescent="0.25">
      <c r="A8" s="9"/>
      <c r="B8" s="9"/>
      <c r="C8" s="10"/>
      <c r="D8" s="10"/>
    </row>
    <row r="9" spans="1:4" x14ac:dyDescent="0.25">
      <c r="A9" s="6" t="s">
        <v>1162</v>
      </c>
      <c r="B9" s="6" t="s">
        <v>16</v>
      </c>
      <c r="C9" s="6" t="s">
        <v>17</v>
      </c>
      <c r="D9" s="6" t="s">
        <v>1</v>
      </c>
    </row>
    <row r="10" spans="1:4" x14ac:dyDescent="0.25">
      <c r="A10" s="35"/>
      <c r="B10" s="35"/>
      <c r="C10" s="36"/>
      <c r="D10" s="36" t="s">
        <v>19</v>
      </c>
    </row>
    <row r="11" spans="1:4" x14ac:dyDescent="0.25">
      <c r="A11" s="50">
        <v>1</v>
      </c>
      <c r="B11" s="50" t="s">
        <v>1163</v>
      </c>
      <c r="C11" s="50" t="s">
        <v>178</v>
      </c>
      <c r="D11" s="48"/>
    </row>
    <row r="12" spans="1:4" x14ac:dyDescent="0.25">
      <c r="A12" s="50">
        <v>2</v>
      </c>
      <c r="B12" s="50" t="s">
        <v>1164</v>
      </c>
      <c r="C12" s="50" t="s">
        <v>178</v>
      </c>
      <c r="D12" s="48"/>
    </row>
    <row r="13" spans="1:4" x14ac:dyDescent="0.25">
      <c r="A13" s="50">
        <v>3</v>
      </c>
      <c r="B13" s="50" t="s">
        <v>1165</v>
      </c>
      <c r="C13" s="50" t="s">
        <v>178</v>
      </c>
      <c r="D13" s="48"/>
    </row>
    <row r="14" spans="1:4" ht="26.4" x14ac:dyDescent="0.25">
      <c r="A14" s="50">
        <v>4</v>
      </c>
      <c r="B14" s="50" t="s">
        <v>1166</v>
      </c>
      <c r="C14" s="50" t="s">
        <v>178</v>
      </c>
      <c r="D14" s="48"/>
    </row>
    <row r="15" spans="1:4" ht="26.4" x14ac:dyDescent="0.25">
      <c r="A15" s="50">
        <v>5</v>
      </c>
      <c r="B15" s="50" t="s">
        <v>1167</v>
      </c>
      <c r="C15" s="50" t="s">
        <v>178</v>
      </c>
      <c r="D15" s="48"/>
    </row>
    <row r="16" spans="1:4" ht="26.4" x14ac:dyDescent="0.25">
      <c r="A16" s="50">
        <v>6</v>
      </c>
      <c r="B16" s="50" t="s">
        <v>1168</v>
      </c>
      <c r="C16" s="50" t="s">
        <v>231</v>
      </c>
      <c r="D16" s="48"/>
    </row>
    <row r="17" spans="1:6" ht="26.4" x14ac:dyDescent="0.25">
      <c r="A17" s="50">
        <v>7</v>
      </c>
      <c r="B17" s="50" t="s">
        <v>1169</v>
      </c>
      <c r="C17" s="50" t="s">
        <v>1170</v>
      </c>
      <c r="D17" s="48"/>
    </row>
    <row r="18" spans="1:6" x14ac:dyDescent="0.25">
      <c r="A18" s="50">
        <v>8</v>
      </c>
      <c r="B18" s="50" t="s">
        <v>1171</v>
      </c>
      <c r="C18" s="50" t="s">
        <v>1170</v>
      </c>
      <c r="D18" s="48"/>
    </row>
    <row r="19" spans="1:6" ht="39.6" x14ac:dyDescent="0.25">
      <c r="A19" s="50">
        <v>9</v>
      </c>
      <c r="B19" s="50" t="s">
        <v>1172</v>
      </c>
      <c r="C19" s="50" t="s">
        <v>1173</v>
      </c>
      <c r="D19" s="48"/>
    </row>
    <row r="20" spans="1:6" x14ac:dyDescent="0.25">
      <c r="A20" s="50">
        <v>10</v>
      </c>
      <c r="B20" s="50" t="s">
        <v>1171</v>
      </c>
      <c r="C20" s="50" t="s">
        <v>1173</v>
      </c>
      <c r="D20" s="48"/>
    </row>
    <row r="21" spans="1:6" ht="26.4" x14ac:dyDescent="0.25">
      <c r="A21" s="50">
        <v>11</v>
      </c>
      <c r="B21" s="50" t="s">
        <v>1174</v>
      </c>
      <c r="C21" s="50" t="s">
        <v>1175</v>
      </c>
      <c r="D21" s="48"/>
    </row>
    <row r="22" spans="1:6" x14ac:dyDescent="0.25">
      <c r="A22" s="50">
        <v>12</v>
      </c>
      <c r="B22" s="50" t="s">
        <v>1176</v>
      </c>
      <c r="C22" s="50" t="s">
        <v>1175</v>
      </c>
      <c r="D22" s="48"/>
    </row>
    <row r="25" spans="1:6" x14ac:dyDescent="0.25">
      <c r="A25" s="126" t="s">
        <v>1177</v>
      </c>
      <c r="B25" s="9"/>
      <c r="C25" s="10"/>
      <c r="D25" s="10"/>
    </row>
    <row r="26" spans="1:6" x14ac:dyDescent="0.25">
      <c r="A26" s="9"/>
      <c r="B26" s="9"/>
      <c r="C26" s="10"/>
      <c r="D26" s="10"/>
    </row>
    <row r="27" spans="1:6" x14ac:dyDescent="0.25">
      <c r="A27" s="6" t="s">
        <v>1162</v>
      </c>
      <c r="B27" s="6" t="s">
        <v>16</v>
      </c>
      <c r="C27" s="6" t="s">
        <v>17</v>
      </c>
      <c r="D27" s="6" t="s">
        <v>1178</v>
      </c>
      <c r="F27" s="125"/>
    </row>
    <row r="28" spans="1:6" x14ac:dyDescent="0.25">
      <c r="A28" s="35"/>
      <c r="B28" s="35"/>
      <c r="C28" s="36"/>
      <c r="D28" s="36" t="s">
        <v>19</v>
      </c>
    </row>
    <row r="29" spans="1:6" x14ac:dyDescent="0.25">
      <c r="A29" s="127" t="s">
        <v>1179</v>
      </c>
      <c r="B29" s="127"/>
      <c r="C29" s="127"/>
      <c r="D29" s="101"/>
      <c r="E29" s="128"/>
    </row>
    <row r="30" spans="1:6" x14ac:dyDescent="0.25">
      <c r="A30" s="102">
        <v>1</v>
      </c>
      <c r="B30" s="4" t="s">
        <v>1180</v>
      </c>
      <c r="C30" s="3" t="s">
        <v>74</v>
      </c>
      <c r="D30" s="10"/>
      <c r="E30" s="89"/>
    </row>
    <row r="31" spans="1:6" x14ac:dyDescent="0.25">
      <c r="A31" s="102">
        <v>2</v>
      </c>
      <c r="B31" s="4" t="s">
        <v>1181</v>
      </c>
      <c r="C31" s="3" t="s">
        <v>74</v>
      </c>
      <c r="D31" s="10"/>
      <c r="E31" s="89"/>
    </row>
    <row r="32" spans="1:6" x14ac:dyDescent="0.25">
      <c r="A32" s="102">
        <v>3</v>
      </c>
      <c r="B32" s="4" t="s">
        <v>1182</v>
      </c>
      <c r="C32" s="3" t="s">
        <v>74</v>
      </c>
      <c r="D32" s="10"/>
      <c r="E32" s="89"/>
    </row>
    <row r="33" spans="1:5" x14ac:dyDescent="0.25">
      <c r="A33" s="50">
        <v>4</v>
      </c>
      <c r="B33" s="4" t="s">
        <v>545</v>
      </c>
      <c r="C33" s="3" t="s">
        <v>74</v>
      </c>
      <c r="D33" s="10"/>
      <c r="E33" s="89"/>
    </row>
    <row r="34" spans="1:5" x14ac:dyDescent="0.25">
      <c r="A34" s="50">
        <v>5</v>
      </c>
      <c r="B34" s="4" t="s">
        <v>1183</v>
      </c>
      <c r="C34" s="3" t="s">
        <v>74</v>
      </c>
      <c r="D34" s="10"/>
      <c r="E34" s="89"/>
    </row>
    <row r="35" spans="1:5" x14ac:dyDescent="0.25">
      <c r="A35" s="102">
        <v>6</v>
      </c>
      <c r="B35" s="4" t="s">
        <v>1184</v>
      </c>
      <c r="C35" s="3" t="s">
        <v>74</v>
      </c>
      <c r="D35" s="10"/>
      <c r="E35" s="89"/>
    </row>
    <row r="36" spans="1:5" x14ac:dyDescent="0.25">
      <c r="A36" s="102">
        <v>7</v>
      </c>
      <c r="B36" s="4" t="s">
        <v>1185</v>
      </c>
      <c r="C36" s="3" t="s">
        <v>74</v>
      </c>
      <c r="D36" s="10"/>
      <c r="E36" s="89"/>
    </row>
    <row r="37" spans="1:5" x14ac:dyDescent="0.25">
      <c r="A37" s="102">
        <v>8</v>
      </c>
      <c r="B37" s="4" t="s">
        <v>1186</v>
      </c>
      <c r="C37" s="3" t="s">
        <v>74</v>
      </c>
      <c r="D37" s="10"/>
      <c r="E37" s="89"/>
    </row>
    <row r="38" spans="1:5" x14ac:dyDescent="0.25">
      <c r="A38" s="50">
        <v>9</v>
      </c>
      <c r="B38" s="50" t="s">
        <v>561</v>
      </c>
      <c r="C38" s="104" t="s">
        <v>74</v>
      </c>
      <c r="D38" s="10"/>
      <c r="E38" s="89"/>
    </row>
    <row r="39" spans="1:5" ht="25.5" customHeight="1" x14ac:dyDescent="0.25">
      <c r="A39" s="50">
        <v>10</v>
      </c>
      <c r="B39" s="50" t="s">
        <v>1187</v>
      </c>
      <c r="C39" s="104" t="s">
        <v>74</v>
      </c>
      <c r="D39" s="10"/>
      <c r="E39" s="89"/>
    </row>
    <row r="40" spans="1:5" x14ac:dyDescent="0.25">
      <c r="A40" s="127" t="s">
        <v>1188</v>
      </c>
      <c r="B40" s="127"/>
      <c r="C40" s="127"/>
      <c r="D40" s="101"/>
      <c r="E40" s="128"/>
    </row>
    <row r="41" spans="1:5" x14ac:dyDescent="0.25">
      <c r="A41" s="50">
        <v>13</v>
      </c>
      <c r="B41" s="50" t="s">
        <v>1189</v>
      </c>
      <c r="C41" s="104" t="s">
        <v>74</v>
      </c>
      <c r="D41" s="10"/>
      <c r="E41" s="89"/>
    </row>
    <row r="42" spans="1:5" x14ac:dyDescent="0.25">
      <c r="A42" s="50">
        <v>14</v>
      </c>
      <c r="B42" s="50" t="s">
        <v>1190</v>
      </c>
      <c r="C42" s="104" t="s">
        <v>74</v>
      </c>
      <c r="D42" s="10"/>
      <c r="E42" s="89"/>
    </row>
    <row r="43" spans="1:5" x14ac:dyDescent="0.25">
      <c r="A43" s="50">
        <v>15</v>
      </c>
      <c r="B43" s="50" t="s">
        <v>561</v>
      </c>
      <c r="C43" s="104" t="s">
        <v>74</v>
      </c>
      <c r="D43" s="10"/>
      <c r="E43" s="89"/>
    </row>
    <row r="44" spans="1:5" x14ac:dyDescent="0.25">
      <c r="A44" s="4">
        <v>16</v>
      </c>
      <c r="B44" s="4" t="s">
        <v>1191</v>
      </c>
      <c r="C44" s="3" t="s">
        <v>74</v>
      </c>
      <c r="D44" s="10"/>
      <c r="E44" s="89"/>
    </row>
    <row r="45" spans="1:5" ht="29.25" customHeight="1" x14ac:dyDescent="0.25">
      <c r="A45" s="129" t="s">
        <v>1192</v>
      </c>
      <c r="B45" s="130"/>
      <c r="C45" s="130"/>
      <c r="D45" s="131"/>
      <c r="E45" s="1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Section A</vt:lpstr>
      <vt:lpstr>Section B</vt:lpstr>
      <vt:lpstr>Section C</vt:lpstr>
      <vt:lpstr>Section D</vt:lpstr>
      <vt:lpstr>Section E</vt:lpstr>
      <vt:lpstr>Section F</vt:lpstr>
      <vt:lpstr>Section G</vt:lpstr>
      <vt:lpstr>Section H</vt:lpstr>
      <vt:lpstr>Section I</vt:lpstr>
      <vt:lpstr>Section J</vt:lpstr>
      <vt:lpstr>Section K</vt:lpstr>
      <vt:lpstr>Section L</vt:lpstr>
      <vt:lpstr>Summary</vt:lpstr>
      <vt:lpstr>Appendices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Phelan, David</dc:creator>
  <cp:lastModifiedBy>Bezgin, Kubra</cp:lastModifiedBy>
  <cp:lastPrinted>2019-07-18T14:51:34Z</cp:lastPrinted>
  <dcterms:created xsi:type="dcterms:W3CDTF">2019-07-18T08:41:44Z</dcterms:created>
  <dcterms:modified xsi:type="dcterms:W3CDTF">2025-04-30T08:38:26Z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RiskLevel">
    <vt:lpwstr/>
  </property>
  <property fmtid="{D5CDD505-2E9C-101B-9397-08002B2CF9AE}" pid="3" name="DocRiskLevelWizardText">
    <vt:lpwstr>Atkins Baseline</vt:lpwstr>
  </property>
  <property fmtid="{D5CDD505-2E9C-101B-9397-08002B2CF9AE}" pid="4" name="DocRiskLevelWizardMarker">
    <vt:lpwstr/>
  </property>
</Properties>
</file>