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Y:\GEOTECH\Geotech Master Files\Geotech Master Specs\"/>
    </mc:Choice>
  </mc:AlternateContent>
  <xr:revisionPtr revIDLastSave="0" documentId="10_ncr:100000_{CCCD01DF-DB53-4362-8A7E-DBE1D74BA6B4}" xr6:coauthVersionLast="31" xr6:coauthVersionMax="34" xr10:uidLastSave="{00000000-0000-0000-0000-000000000000}"/>
  <bookViews>
    <workbookView xWindow="0" yWindow="0" windowWidth="14775" windowHeight="11955" tabRatio="880" activeTab="3" xr2:uid="{00000000-000D-0000-FFFF-FFFF00000000}"/>
  </bookViews>
  <sheets>
    <sheet name="Section A" sheetId="1" r:id="rId1"/>
    <sheet name="Section B" sheetId="16" r:id="rId2"/>
    <sheet name="Section C" sheetId="3" r:id="rId3"/>
    <sheet name="Section D" sheetId="4" r:id="rId4"/>
    <sheet name="Section E" sheetId="5" r:id="rId5"/>
    <sheet name="Section F" sheetId="6" r:id="rId6"/>
    <sheet name="Section G" sheetId="7" r:id="rId7"/>
    <sheet name="Section H" sheetId="8" r:id="rId8"/>
    <sheet name="Section I" sheetId="9" r:id="rId9"/>
    <sheet name="Section J" sheetId="10" r:id="rId10"/>
    <sheet name="Section K" sheetId="11" r:id="rId11"/>
    <sheet name="Section L" sheetId="12" r:id="rId12"/>
    <sheet name="Summary" sheetId="13" r:id="rId13"/>
    <sheet name="Appendices" sheetId="14" r:id="rId14"/>
    <sheet name="Log Schedule" sheetId="17" r:id="rId15"/>
  </sheets>
  <externalReferences>
    <externalReference r:id="rId16"/>
  </externalReferences>
  <definedNames>
    <definedName name="cellx" localSheetId="14">#REF!</definedName>
    <definedName name="cellx">'Section H'!$E$73</definedName>
    <definedName name="_xlnm.Print_Area" localSheetId="13">Appendices!$A$7:$D$45</definedName>
    <definedName name="_xlnm.Print_Area" localSheetId="0">'Section A'!$A$7:$T$72</definedName>
    <definedName name="_xlnm.Print_Area" localSheetId="1">'Section B'!$A$7:$F$45</definedName>
    <definedName name="_xlnm.Print_Area" localSheetId="2">'Section C'!$A$7:$F$113</definedName>
    <definedName name="_xlnm.Print_Area" localSheetId="3">'Section D'!$A$1:$BF$75</definedName>
    <definedName name="_xlnm.Print_Area" localSheetId="4">'Section E'!$A$7:$S$33</definedName>
    <definedName name="_xlnm.Print_Area" localSheetId="5">'Section F'!$A$7:$F$34</definedName>
    <definedName name="_xlnm.Print_Area" localSheetId="6">'Section G'!$A$7:$F$25</definedName>
    <definedName name="_xlnm.Print_Area" localSheetId="8">'Section I'!$A$7:$F$49</definedName>
    <definedName name="_xlnm.Print_Area" localSheetId="9">'Section J'!$A$7:$F$37</definedName>
    <definedName name="_xlnm.Print_Area" localSheetId="10">'Section K'!$A$7:$R$127</definedName>
    <definedName name="_xlnm.Print_Area" localSheetId="11">'Section L'!$A$7:$M$17</definedName>
    <definedName name="_xlnm.Print_Area" localSheetId="12">Summary!$A$7:$C$21</definedName>
    <definedName name="TOTAL_A" localSheetId="14">#REF!</definedName>
    <definedName name="TOTAL_A" localSheetId="1">'Section A'!$F$72</definedName>
    <definedName name="TOTAL_A">'Section A'!$F$72</definedName>
    <definedName name="TOTAL_B" localSheetId="14">#REF!</definedName>
    <definedName name="TOTAL_B" localSheetId="1">'Section B'!$F$45</definedName>
    <definedName name="TOTAL_B">'Section B'!$F$45</definedName>
    <definedName name="TOTAL_C" localSheetId="14">#REF!</definedName>
    <definedName name="TOTAL_C" localSheetId="1">'Section C'!$F$113</definedName>
    <definedName name="TOTAL_C">'Section C'!$F$113</definedName>
    <definedName name="TOTAL_D" localSheetId="14">#REF!</definedName>
    <definedName name="TOTAL_D" localSheetId="1">'Section D'!$F$75</definedName>
    <definedName name="TOTAL_D">'Section D'!$F$75</definedName>
    <definedName name="TOTAL_E" localSheetId="14">#REF!</definedName>
    <definedName name="TOTAL_E" localSheetId="1">'Section E'!$F$33</definedName>
    <definedName name="TOTAL_E">'Section E'!$F$33</definedName>
    <definedName name="TOTAL_F" localSheetId="14">#REF!</definedName>
    <definedName name="TOTAL_F" localSheetId="1">'Section F'!$F$34</definedName>
    <definedName name="TOTAL_F">'Section F'!$F$34</definedName>
    <definedName name="TOTAL_G" localSheetId="14">#REF!</definedName>
    <definedName name="TOTAL_G" localSheetId="1">'Section G'!$F$25</definedName>
    <definedName name="TOTAL_G">'Section G'!$F$25</definedName>
    <definedName name="TOTAL_H" localSheetId="14">#REF!</definedName>
    <definedName name="TOTAL_H" localSheetId="1">'Section H'!$F$68</definedName>
    <definedName name="TOTAL_H">'Section H'!$F$68</definedName>
    <definedName name="TOTAL_I" localSheetId="14">#REF!</definedName>
    <definedName name="TOTAL_I" localSheetId="1">'Section I'!$F$49</definedName>
    <definedName name="TOTAL_I">'Section I'!$F$49</definedName>
    <definedName name="TOTAL_J" localSheetId="14">#REF!</definedName>
    <definedName name="TOTAL_J" localSheetId="1">'Section J'!$F$37</definedName>
    <definedName name="TOTAL_J">'Section J'!$F$37</definedName>
    <definedName name="TOTAL_K" localSheetId="14">#REF!</definedName>
    <definedName name="TOTAL_K" localSheetId="1">'Section K'!$F$127</definedName>
    <definedName name="TOTAL_K">'Section K'!$F$127</definedName>
    <definedName name="TOTAL_L" localSheetId="14">#REF!</definedName>
    <definedName name="TOTAL_L" localSheetId="1">'Section L'!$F$17</definedName>
    <definedName name="TOTAL_L">'Section L'!$F$17</definedName>
  </definedNames>
  <calcPr calcId="179017"/>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 i="4" l="1"/>
  <c r="L2" i="4"/>
  <c r="K4" i="4"/>
  <c r="K2" i="4"/>
  <c r="K4" i="16"/>
  <c r="K3" i="16"/>
  <c r="N2" i="16"/>
  <c r="M2" i="16"/>
  <c r="L2" i="16"/>
  <c r="K2" i="16"/>
  <c r="D36" i="17" l="1"/>
  <c r="D37" i="17"/>
  <c r="D38" i="17"/>
  <c r="D39" i="17"/>
  <c r="D40" i="17"/>
  <c r="D41" i="17"/>
  <c r="D42" i="17"/>
  <c r="D43" i="17"/>
  <c r="D44" i="17"/>
  <c r="D45" i="17"/>
  <c r="D3" i="17"/>
  <c r="D4" i="17"/>
  <c r="D5" i="17"/>
  <c r="D6" i="17"/>
  <c r="D7" i="17"/>
  <c r="D8" i="17"/>
  <c r="D9" i="17"/>
  <c r="D10" i="17"/>
  <c r="D11" i="17"/>
  <c r="D12" i="17"/>
  <c r="D13" i="17"/>
  <c r="D14" i="17"/>
  <c r="D15" i="17"/>
  <c r="D16" i="17"/>
  <c r="D17" i="17"/>
  <c r="D18" i="17"/>
  <c r="D19" i="17"/>
  <c r="D20" i="17"/>
  <c r="D21" i="17"/>
  <c r="D22" i="17"/>
  <c r="D23" i="17"/>
  <c r="D24" i="17"/>
  <c r="D25" i="17"/>
  <c r="D26" i="17"/>
  <c r="D27" i="17"/>
  <c r="D2" i="17"/>
  <c r="C5" i="17"/>
  <c r="C6" i="17"/>
  <c r="C7" i="17"/>
  <c r="C8" i="17"/>
  <c r="C9" i="17"/>
  <c r="C10" i="17"/>
  <c r="C11" i="17"/>
  <c r="C12" i="17"/>
  <c r="C13" i="17"/>
  <c r="C14" i="17"/>
  <c r="C15" i="17"/>
  <c r="C16" i="17"/>
  <c r="C17" i="17"/>
  <c r="C18" i="17"/>
  <c r="C19" i="17"/>
  <c r="C20" i="17"/>
  <c r="C21" i="17"/>
  <c r="C22" i="17"/>
  <c r="C23" i="17"/>
  <c r="C24" i="17"/>
  <c r="C25" i="17"/>
  <c r="C26" i="17"/>
  <c r="C27" i="17"/>
  <c r="C3" i="17"/>
  <c r="C2" i="17"/>
  <c r="F46" i="17"/>
  <c r="H45" i="17"/>
  <c r="G45" i="17"/>
  <c r="H44" i="17"/>
  <c r="G44" i="17"/>
  <c r="H43" i="17"/>
  <c r="G43" i="17"/>
  <c r="H42" i="17"/>
  <c r="G42" i="17"/>
  <c r="H41" i="17"/>
  <c r="G41" i="17"/>
  <c r="H40" i="17"/>
  <c r="G40" i="17"/>
  <c r="H39" i="17"/>
  <c r="G39" i="17"/>
  <c r="H38" i="17"/>
  <c r="G38" i="17"/>
  <c r="H37" i="17"/>
  <c r="G37" i="17"/>
  <c r="H36" i="17"/>
  <c r="G36" i="17"/>
  <c r="H35" i="17"/>
  <c r="H46" i="17" s="1"/>
  <c r="G35" i="17"/>
  <c r="G46" i="17" s="1"/>
  <c r="D35" i="17"/>
  <c r="L28" i="17"/>
  <c r="F28" i="17"/>
  <c r="R27" i="17"/>
  <c r="P27" i="17"/>
  <c r="O27" i="17"/>
  <c r="N27" i="17"/>
  <c r="M27" i="17"/>
  <c r="I27" i="17"/>
  <c r="H27" i="17"/>
  <c r="G27" i="17"/>
  <c r="R26" i="17"/>
  <c r="P26" i="17"/>
  <c r="O26" i="17"/>
  <c r="N26" i="17"/>
  <c r="M26" i="17"/>
  <c r="I26" i="17"/>
  <c r="H26" i="17"/>
  <c r="G26" i="17"/>
  <c r="R25" i="17"/>
  <c r="P25" i="17"/>
  <c r="O25" i="17"/>
  <c r="N25" i="17"/>
  <c r="M25" i="17"/>
  <c r="I25" i="17"/>
  <c r="H25" i="17"/>
  <c r="G25" i="17"/>
  <c r="R24" i="17"/>
  <c r="P24" i="17"/>
  <c r="O24" i="17"/>
  <c r="N24" i="17"/>
  <c r="M24" i="17"/>
  <c r="I24" i="17"/>
  <c r="H24" i="17"/>
  <c r="G24" i="17"/>
  <c r="R23" i="17"/>
  <c r="P23" i="17"/>
  <c r="O23" i="17"/>
  <c r="N23" i="17"/>
  <c r="M23" i="17"/>
  <c r="I23" i="17"/>
  <c r="H23" i="17"/>
  <c r="G23" i="17"/>
  <c r="R22" i="17"/>
  <c r="P22" i="17"/>
  <c r="O22" i="17"/>
  <c r="N22" i="17"/>
  <c r="M22" i="17"/>
  <c r="I22" i="17"/>
  <c r="H22" i="17"/>
  <c r="G22" i="17"/>
  <c r="R21" i="17"/>
  <c r="P21" i="17"/>
  <c r="O21" i="17"/>
  <c r="N21" i="17"/>
  <c r="M21" i="17"/>
  <c r="I21" i="17"/>
  <c r="H21" i="17"/>
  <c r="G21" i="17"/>
  <c r="R20" i="17"/>
  <c r="P20" i="17"/>
  <c r="O20" i="17"/>
  <c r="N20" i="17"/>
  <c r="M20" i="17"/>
  <c r="I20" i="17"/>
  <c r="H20" i="17"/>
  <c r="G20" i="17"/>
  <c r="R19" i="17"/>
  <c r="P19" i="17"/>
  <c r="O19" i="17"/>
  <c r="N19" i="17"/>
  <c r="M19" i="17"/>
  <c r="I19" i="17"/>
  <c r="H19" i="17"/>
  <c r="G19" i="17"/>
  <c r="R18" i="17"/>
  <c r="P18" i="17"/>
  <c r="O18" i="17"/>
  <c r="N18" i="17"/>
  <c r="M18" i="17"/>
  <c r="I18" i="17"/>
  <c r="H18" i="17"/>
  <c r="G18" i="17"/>
  <c r="R17" i="17"/>
  <c r="P17" i="17"/>
  <c r="O17" i="17"/>
  <c r="N17" i="17"/>
  <c r="M17" i="17"/>
  <c r="I17" i="17"/>
  <c r="H17" i="17"/>
  <c r="G17" i="17"/>
  <c r="R16" i="17"/>
  <c r="P16" i="17"/>
  <c r="O16" i="17"/>
  <c r="N16" i="17"/>
  <c r="M16" i="17"/>
  <c r="I16" i="17"/>
  <c r="H16" i="17"/>
  <c r="G16" i="17"/>
  <c r="R15" i="17"/>
  <c r="P15" i="17"/>
  <c r="O15" i="17"/>
  <c r="N15" i="17"/>
  <c r="M15" i="17"/>
  <c r="I15" i="17"/>
  <c r="H15" i="17"/>
  <c r="G15" i="17"/>
  <c r="R14" i="17"/>
  <c r="P14" i="17"/>
  <c r="O14" i="17"/>
  <c r="N14" i="17"/>
  <c r="M14" i="17"/>
  <c r="I14" i="17"/>
  <c r="H14" i="17"/>
  <c r="G14" i="17"/>
  <c r="R13" i="17"/>
  <c r="P13" i="17"/>
  <c r="O13" i="17"/>
  <c r="N13" i="17"/>
  <c r="M13" i="17"/>
  <c r="I13" i="17"/>
  <c r="H13" i="17"/>
  <c r="G13" i="17"/>
  <c r="R12" i="17"/>
  <c r="P12" i="17"/>
  <c r="O12" i="17"/>
  <c r="N12" i="17"/>
  <c r="M12" i="17"/>
  <c r="I12" i="17"/>
  <c r="H12" i="17"/>
  <c r="G12" i="17"/>
  <c r="R11" i="17"/>
  <c r="P11" i="17"/>
  <c r="O11" i="17"/>
  <c r="N11" i="17"/>
  <c r="M11" i="17"/>
  <c r="I11" i="17"/>
  <c r="H11" i="17"/>
  <c r="G11" i="17"/>
  <c r="R10" i="17"/>
  <c r="P10" i="17"/>
  <c r="O10" i="17"/>
  <c r="N10" i="17"/>
  <c r="M10" i="17"/>
  <c r="I10" i="17"/>
  <c r="H10" i="17"/>
  <c r="G10" i="17"/>
  <c r="R9" i="17"/>
  <c r="P9" i="17"/>
  <c r="O9" i="17"/>
  <c r="N9" i="17"/>
  <c r="M9" i="17"/>
  <c r="I9" i="17"/>
  <c r="H9" i="17"/>
  <c r="G9" i="17"/>
  <c r="R8" i="17"/>
  <c r="P8" i="17"/>
  <c r="O8" i="17"/>
  <c r="N8" i="17"/>
  <c r="M8" i="17"/>
  <c r="I8" i="17"/>
  <c r="H8" i="17"/>
  <c r="G8" i="17"/>
  <c r="R7" i="17"/>
  <c r="P7" i="17"/>
  <c r="O7" i="17"/>
  <c r="N7" i="17"/>
  <c r="M7" i="17"/>
  <c r="I7" i="17"/>
  <c r="H7" i="17"/>
  <c r="G7" i="17"/>
  <c r="R6" i="17"/>
  <c r="P6" i="17"/>
  <c r="O6" i="17"/>
  <c r="N6" i="17"/>
  <c r="M6" i="17"/>
  <c r="I6" i="17"/>
  <c r="H6" i="17"/>
  <c r="G6" i="17"/>
  <c r="R5" i="17"/>
  <c r="P5" i="17"/>
  <c r="O5" i="17"/>
  <c r="N5" i="17"/>
  <c r="M5" i="17"/>
  <c r="I5" i="17"/>
  <c r="H5" i="17"/>
  <c r="G5" i="17"/>
  <c r="R4" i="17"/>
  <c r="P4" i="17"/>
  <c r="O4" i="17"/>
  <c r="N4" i="17"/>
  <c r="M4" i="17"/>
  <c r="I4" i="17"/>
  <c r="H4" i="17"/>
  <c r="G4" i="17"/>
  <c r="R3" i="17"/>
  <c r="P3" i="17"/>
  <c r="O3" i="17"/>
  <c r="N3" i="17"/>
  <c r="N28" i="17" s="1"/>
  <c r="M3" i="17"/>
  <c r="I3" i="17"/>
  <c r="H3" i="17"/>
  <c r="G3" i="17"/>
  <c r="AT2" i="17"/>
  <c r="R2" i="17"/>
  <c r="R28" i="17" s="1"/>
  <c r="P2" i="17"/>
  <c r="P28" i="17" s="1"/>
  <c r="O2" i="17"/>
  <c r="N2" i="17"/>
  <c r="M2" i="17"/>
  <c r="M28" i="17" s="1"/>
  <c r="I2" i="17"/>
  <c r="I28" i="17" s="1"/>
  <c r="H2" i="17"/>
  <c r="G2" i="17"/>
  <c r="D46" i="17" l="1"/>
  <c r="D28" i="17"/>
  <c r="G28" i="17"/>
  <c r="H28" i="17"/>
  <c r="O28" i="17"/>
  <c r="AG2" i="3"/>
  <c r="AH2" i="3"/>
  <c r="AI2" i="3"/>
  <c r="D34" i="4" l="1"/>
  <c r="H28" i="4"/>
  <c r="M33" i="4"/>
  <c r="J33" i="4" l="1"/>
  <c r="H32" i="4"/>
  <c r="D32" i="4" s="1"/>
  <c r="K33" i="4"/>
  <c r="F26" i="4" l="1"/>
  <c r="D26" i="4"/>
  <c r="I26" i="4"/>
  <c r="H26" i="4" s="1"/>
  <c r="AG1" i="3"/>
  <c r="I41" i="3"/>
  <c r="AJ40" i="3"/>
  <c r="AK40" i="3"/>
  <c r="AL40" i="3"/>
  <c r="AM40" i="3"/>
  <c r="L40" i="3"/>
  <c r="M40" i="3"/>
  <c r="N40" i="3"/>
  <c r="O40" i="3"/>
  <c r="P40" i="3"/>
  <c r="Q40" i="3"/>
  <c r="R40" i="3"/>
  <c r="S40" i="3"/>
  <c r="T40" i="3"/>
  <c r="U40" i="3"/>
  <c r="V40" i="3"/>
  <c r="W40" i="3"/>
  <c r="X40" i="3"/>
  <c r="Y40" i="3"/>
  <c r="Z40" i="3"/>
  <c r="AT1" i="3"/>
  <c r="AU1" i="3"/>
  <c r="AV1" i="3"/>
  <c r="AW1" i="3"/>
  <c r="AS1" i="3"/>
  <c r="AB1" i="3"/>
  <c r="AB40" i="3" s="1"/>
  <c r="AC1" i="3"/>
  <c r="AC40" i="3" s="1"/>
  <c r="AD1" i="3"/>
  <c r="AE1" i="3"/>
  <c r="AF1" i="3"/>
  <c r="AH1" i="3"/>
  <c r="AH40" i="3" s="1"/>
  <c r="AI1" i="3"/>
  <c r="AJ1" i="3"/>
  <c r="AK1" i="3"/>
  <c r="AL1" i="3"/>
  <c r="AM1" i="3"/>
  <c r="AN1" i="3"/>
  <c r="AO1" i="3"/>
  <c r="AP1" i="3"/>
  <c r="AQ1" i="3"/>
  <c r="AR1" i="3"/>
  <c r="T1" i="3"/>
  <c r="U1" i="3"/>
  <c r="V1" i="3"/>
  <c r="W1" i="3"/>
  <c r="X1" i="3"/>
  <c r="Y1" i="3"/>
  <c r="Z1" i="3"/>
  <c r="AA1" i="3"/>
  <c r="AA40" i="3" s="1"/>
  <c r="AQ61" i="3"/>
  <c r="AR61" i="3"/>
  <c r="AS61" i="3"/>
  <c r="AT61" i="3"/>
  <c r="AU61" i="3"/>
  <c r="AV61" i="3"/>
  <c r="AW61" i="3"/>
  <c r="AK61" i="3"/>
  <c r="AL61" i="3"/>
  <c r="AM61" i="3"/>
  <c r="AN61" i="3"/>
  <c r="AO61" i="3"/>
  <c r="AP61" i="3"/>
  <c r="D27" i="4"/>
  <c r="AA5" i="16"/>
  <c r="N20" i="9"/>
  <c r="N21" i="9" s="1"/>
  <c r="O20" i="9"/>
  <c r="P20" i="9"/>
  <c r="Q20" i="9"/>
  <c r="R20" i="9"/>
  <c r="R21" i="9" s="1"/>
  <c r="S20" i="9"/>
  <c r="S21" i="9" s="1"/>
  <c r="T20" i="9"/>
  <c r="U20" i="9"/>
  <c r="V20" i="9"/>
  <c r="V21" i="9" s="1"/>
  <c r="W20" i="9"/>
  <c r="X20" i="9"/>
  <c r="Y20" i="9"/>
  <c r="Y21" i="9" s="1"/>
  <c r="Z20" i="9"/>
  <c r="Z21" i="9" s="1"/>
  <c r="AA20" i="9"/>
  <c r="AA21" i="9" s="1"/>
  <c r="AB20" i="9"/>
  <c r="AB21" i="9" s="1"/>
  <c r="AC20" i="9"/>
  <c r="AC21" i="9" s="1"/>
  <c r="AD20" i="9"/>
  <c r="AD21" i="9" s="1"/>
  <c r="AE20" i="9"/>
  <c r="AE21" i="9" s="1"/>
  <c r="AF20" i="9"/>
  <c r="AF21" i="9" s="1"/>
  <c r="AG20" i="9"/>
  <c r="AG21" i="9" s="1"/>
  <c r="AH20" i="9"/>
  <c r="AH21" i="9" s="1"/>
  <c r="AI20" i="9"/>
  <c r="AI21" i="9" s="1"/>
  <c r="AJ20" i="9"/>
  <c r="AJ21" i="9" s="1"/>
  <c r="O21" i="9"/>
  <c r="P21" i="9"/>
  <c r="Q21" i="9"/>
  <c r="T21" i="9"/>
  <c r="U21" i="9"/>
  <c r="W21" i="9"/>
  <c r="X21" i="9"/>
  <c r="N22" i="9"/>
  <c r="O22" i="9"/>
  <c r="P22" i="9"/>
  <c r="Q22" i="9"/>
  <c r="R22" i="9"/>
  <c r="S22" i="9"/>
  <c r="T22" i="9"/>
  <c r="U22" i="9"/>
  <c r="V22" i="9"/>
  <c r="W22" i="9"/>
  <c r="X22" i="9"/>
  <c r="Y22" i="9"/>
  <c r="Z22" i="9"/>
  <c r="AA22" i="9"/>
  <c r="AB22" i="9"/>
  <c r="AC22" i="9"/>
  <c r="AD22" i="9"/>
  <c r="AE22" i="9"/>
  <c r="AF22" i="9"/>
  <c r="AG22" i="9"/>
  <c r="AH22" i="9"/>
  <c r="AI22" i="9"/>
  <c r="AJ22" i="9"/>
  <c r="N23" i="9"/>
  <c r="O23" i="9"/>
  <c r="P23" i="9"/>
  <c r="Q23" i="9"/>
  <c r="R23" i="9"/>
  <c r="S23" i="9"/>
  <c r="T23" i="9"/>
  <c r="U23" i="9"/>
  <c r="V23" i="9"/>
  <c r="W23" i="9"/>
  <c r="X23" i="9"/>
  <c r="Y23" i="9"/>
  <c r="Z23" i="9"/>
  <c r="AA23" i="9"/>
  <c r="AB23" i="9"/>
  <c r="AC23" i="9"/>
  <c r="AD23" i="9"/>
  <c r="AE23" i="9"/>
  <c r="AF23" i="9"/>
  <c r="AG23" i="9"/>
  <c r="AH23" i="9"/>
  <c r="AI23" i="9"/>
  <c r="AJ23" i="9"/>
  <c r="M20" i="9"/>
  <c r="M21" i="9" s="1"/>
  <c r="M22" i="9"/>
  <c r="M23" i="9"/>
  <c r="L20" i="9"/>
  <c r="K27" i="16"/>
  <c r="AV28" i="4"/>
  <c r="AV29" i="4" s="1"/>
  <c r="AW28" i="4"/>
  <c r="AX28" i="4"/>
  <c r="AX29" i="4" s="1"/>
  <c r="AY28" i="4"/>
  <c r="AY29" i="4" s="1"/>
  <c r="AZ28" i="4"/>
  <c r="AZ29" i="4" s="1"/>
  <c r="BA28" i="4"/>
  <c r="BB28" i="4"/>
  <c r="BB29" i="4" s="1"/>
  <c r="BC28" i="4"/>
  <c r="BC29" i="4" s="1"/>
  <c r="BD28" i="4"/>
  <c r="BD29" i="4" s="1"/>
  <c r="BE28" i="4"/>
  <c r="BF28" i="4"/>
  <c r="BF29" i="4" s="1"/>
  <c r="AW29" i="4"/>
  <c r="BA29" i="4"/>
  <c r="BE29" i="4"/>
  <c r="AV30" i="4"/>
  <c r="AW30" i="4"/>
  <c r="AX30" i="4"/>
  <c r="AY30" i="4"/>
  <c r="AZ30" i="4"/>
  <c r="BA30" i="4"/>
  <c r="BB30" i="4"/>
  <c r="BC30" i="4"/>
  <c r="BD30" i="4"/>
  <c r="BE30" i="4"/>
  <c r="BF30" i="4"/>
  <c r="AV31" i="4"/>
  <c r="AW31" i="4"/>
  <c r="AX31" i="4"/>
  <c r="AY31" i="4"/>
  <c r="AZ31" i="4"/>
  <c r="BA31" i="4"/>
  <c r="BB31" i="4"/>
  <c r="BC31" i="4"/>
  <c r="BD31" i="4"/>
  <c r="BE31" i="4"/>
  <c r="BF31" i="4"/>
  <c r="K28" i="4"/>
  <c r="L28" i="4"/>
  <c r="L29" i="4" s="1"/>
  <c r="M28" i="4"/>
  <c r="N28" i="4"/>
  <c r="O28" i="4"/>
  <c r="P28" i="4"/>
  <c r="P29" i="4" s="1"/>
  <c r="Q28" i="4"/>
  <c r="R28" i="4"/>
  <c r="R29" i="4" s="1"/>
  <c r="S28" i="4"/>
  <c r="T28" i="4"/>
  <c r="T29" i="4" s="1"/>
  <c r="U28" i="4"/>
  <c r="V28" i="4"/>
  <c r="V29" i="4" s="1"/>
  <c r="W28" i="4"/>
  <c r="X28" i="4"/>
  <c r="Y28" i="4"/>
  <c r="Z28" i="4"/>
  <c r="Z29" i="4" s="1"/>
  <c r="AA28" i="4"/>
  <c r="AB28" i="4"/>
  <c r="AB29" i="4" s="1"/>
  <c r="AC28" i="4"/>
  <c r="AD28" i="4"/>
  <c r="AD29" i="4" s="1"/>
  <c r="AE28" i="4"/>
  <c r="AF28" i="4"/>
  <c r="AF29" i="4" s="1"/>
  <c r="AG28" i="4"/>
  <c r="AH28" i="4"/>
  <c r="AH29" i="4" s="1"/>
  <c r="AI28" i="4"/>
  <c r="AJ28" i="4"/>
  <c r="AJ29" i="4" s="1"/>
  <c r="AK28" i="4"/>
  <c r="AL28" i="4"/>
  <c r="AL29" i="4" s="1"/>
  <c r="AM28" i="4"/>
  <c r="AN28" i="4"/>
  <c r="AO28" i="4"/>
  <c r="AP28" i="4"/>
  <c r="AP29" i="4" s="1"/>
  <c r="AQ28" i="4"/>
  <c r="AR28" i="4"/>
  <c r="AR29" i="4" s="1"/>
  <c r="AS28" i="4"/>
  <c r="K29" i="4"/>
  <c r="M29" i="4"/>
  <c r="O29" i="4"/>
  <c r="Q29" i="4"/>
  <c r="S29" i="4"/>
  <c r="U29" i="4"/>
  <c r="W29" i="4"/>
  <c r="X29" i="4"/>
  <c r="Y29" i="4"/>
  <c r="AA29" i="4"/>
  <c r="AC29" i="4"/>
  <c r="AE29" i="4"/>
  <c r="AG29" i="4"/>
  <c r="AI29" i="4"/>
  <c r="AK29" i="4"/>
  <c r="AM29" i="4"/>
  <c r="AN29" i="4"/>
  <c r="AO29" i="4"/>
  <c r="AQ29" i="4"/>
  <c r="AS29" i="4"/>
  <c r="K30" i="4"/>
  <c r="L30" i="4"/>
  <c r="M30" i="4"/>
  <c r="N30" i="4"/>
  <c r="O30" i="4"/>
  <c r="P30" i="4"/>
  <c r="Q30" i="4"/>
  <c r="R30" i="4"/>
  <c r="S30" i="4"/>
  <c r="T30" i="4"/>
  <c r="U30" i="4"/>
  <c r="V30" i="4"/>
  <c r="W30" i="4"/>
  <c r="X30" i="4"/>
  <c r="Y30" i="4"/>
  <c r="Z30" i="4"/>
  <c r="AA30" i="4"/>
  <c r="AB30" i="4"/>
  <c r="AC30" i="4"/>
  <c r="AD30" i="4"/>
  <c r="AE30" i="4"/>
  <c r="AF30" i="4"/>
  <c r="AG30" i="4"/>
  <c r="AH30" i="4"/>
  <c r="AI30" i="4"/>
  <c r="AJ30" i="4"/>
  <c r="AK30" i="4"/>
  <c r="AL30" i="4"/>
  <c r="AM30" i="4"/>
  <c r="AN30" i="4"/>
  <c r="AO30" i="4"/>
  <c r="AP30" i="4"/>
  <c r="AQ30" i="4"/>
  <c r="AR30" i="4"/>
  <c r="AS30" i="4"/>
  <c r="K31" i="4"/>
  <c r="L31" i="4"/>
  <c r="M31" i="4"/>
  <c r="N31" i="4"/>
  <c r="O31" i="4"/>
  <c r="P31" i="4"/>
  <c r="Q31" i="4"/>
  <c r="R31" i="4"/>
  <c r="S31" i="4"/>
  <c r="T31" i="4"/>
  <c r="U31" i="4"/>
  <c r="V31" i="4"/>
  <c r="W31" i="4"/>
  <c r="X31" i="4"/>
  <c r="Y31" i="4"/>
  <c r="Z31" i="4"/>
  <c r="AA31" i="4"/>
  <c r="AB31" i="4"/>
  <c r="AC31" i="4"/>
  <c r="AD31" i="4"/>
  <c r="AE31" i="4"/>
  <c r="AF31" i="4"/>
  <c r="AG31" i="4"/>
  <c r="AH31" i="4"/>
  <c r="AI31" i="4"/>
  <c r="AJ31" i="4"/>
  <c r="AK31" i="4"/>
  <c r="AL31" i="4"/>
  <c r="AM31" i="4"/>
  <c r="AN31" i="4"/>
  <c r="AO31" i="4"/>
  <c r="AP31" i="4"/>
  <c r="AQ31" i="4"/>
  <c r="AR31" i="4"/>
  <c r="AS31" i="4"/>
  <c r="BF21" i="4"/>
  <c r="BE21" i="4"/>
  <c r="BF20" i="4"/>
  <c r="BE20" i="4"/>
  <c r="BF19" i="4"/>
  <c r="BE19" i="4"/>
  <c r="BF17" i="4"/>
  <c r="BE17" i="4"/>
  <c r="BF16" i="4"/>
  <c r="BE16" i="4"/>
  <c r="BF15" i="4"/>
  <c r="BE15" i="4"/>
  <c r="AI40" i="3" l="1"/>
  <c r="AD40" i="3"/>
  <c r="I40" i="3" s="1"/>
  <c r="H40" i="3" s="1"/>
  <c r="H20" i="9"/>
  <c r="H22" i="9"/>
  <c r="N29" i="4"/>
  <c r="L21" i="9"/>
  <c r="L23" i="9"/>
  <c r="L22" i="9"/>
  <c r="N11" i="9"/>
  <c r="O26" i="9"/>
  <c r="N26" i="9"/>
  <c r="H24" i="9" s="1"/>
  <c r="D24" i="9" s="1"/>
  <c r="AX19" i="4"/>
  <c r="AY19" i="4"/>
  <c r="AZ19" i="4"/>
  <c r="BA19" i="4"/>
  <c r="BB19" i="4"/>
  <c r="BC19" i="4"/>
  <c r="BD19" i="4"/>
  <c r="AX20" i="4"/>
  <c r="AY20" i="4"/>
  <c r="AZ20" i="4"/>
  <c r="BA20" i="4"/>
  <c r="BB20" i="4"/>
  <c r="BC20" i="4"/>
  <c r="BD20" i="4"/>
  <c r="AX21" i="4"/>
  <c r="AY21" i="4"/>
  <c r="AZ21" i="4"/>
  <c r="BA21" i="4"/>
  <c r="BB21" i="4"/>
  <c r="BC21" i="4"/>
  <c r="BD21" i="4"/>
  <c r="AX15" i="4"/>
  <c r="AY15" i="4"/>
  <c r="AZ15" i="4"/>
  <c r="BA15" i="4"/>
  <c r="BB15" i="4"/>
  <c r="BC15" i="4"/>
  <c r="BD15" i="4"/>
  <c r="AX16" i="4"/>
  <c r="AY16" i="4"/>
  <c r="AZ16" i="4"/>
  <c r="BA16" i="4"/>
  <c r="BB16" i="4"/>
  <c r="BC16" i="4"/>
  <c r="BD16" i="4"/>
  <c r="AX17" i="4"/>
  <c r="AY17" i="4"/>
  <c r="AZ17" i="4"/>
  <c r="BA17" i="4"/>
  <c r="BB17" i="4"/>
  <c r="BC17" i="4"/>
  <c r="BD17" i="4"/>
  <c r="F14" i="1" l="1"/>
  <c r="W11" i="9" l="1"/>
  <c r="AK11" i="9"/>
  <c r="AL11" i="9"/>
  <c r="AM11" i="9"/>
  <c r="AN11" i="9"/>
  <c r="AO11" i="9"/>
  <c r="AP11" i="9"/>
  <c r="AQ11" i="9"/>
  <c r="AR11" i="9"/>
  <c r="AS11" i="9"/>
  <c r="AT11" i="9"/>
  <c r="AU11" i="9"/>
  <c r="AV11" i="9"/>
  <c r="AW11" i="9"/>
  <c r="S12" i="9"/>
  <c r="T12" i="9"/>
  <c r="U12" i="9"/>
  <c r="V12" i="9"/>
  <c r="W12" i="9"/>
  <c r="X12" i="9"/>
  <c r="Y12" i="9"/>
  <c r="Z12" i="9"/>
  <c r="AA12" i="9"/>
  <c r="AB12" i="9"/>
  <c r="AC12" i="9"/>
  <c r="AD12" i="9"/>
  <c r="AE12" i="9"/>
  <c r="AF12" i="9"/>
  <c r="AG12" i="9"/>
  <c r="AH12" i="9"/>
  <c r="AI12" i="9"/>
  <c r="AJ12" i="9"/>
  <c r="AK12" i="9"/>
  <c r="AL12" i="9"/>
  <c r="AM12" i="9"/>
  <c r="AN12" i="9"/>
  <c r="AO12" i="9"/>
  <c r="AP12" i="9"/>
  <c r="AQ12" i="9"/>
  <c r="AR12" i="9"/>
  <c r="AS12" i="9"/>
  <c r="AT12" i="9"/>
  <c r="AU12" i="9"/>
  <c r="AV12" i="9"/>
  <c r="AW12" i="9"/>
  <c r="S13" i="9"/>
  <c r="T13" i="9"/>
  <c r="U13" i="9"/>
  <c r="V13" i="9"/>
  <c r="W13" i="9"/>
  <c r="X13" i="9"/>
  <c r="Y13" i="9"/>
  <c r="Z13" i="9"/>
  <c r="AA13" i="9"/>
  <c r="AB13" i="9"/>
  <c r="AC13" i="9"/>
  <c r="AD13" i="9"/>
  <c r="AE13" i="9"/>
  <c r="AF13" i="9"/>
  <c r="AG13" i="9"/>
  <c r="AH13" i="9"/>
  <c r="AI13" i="9"/>
  <c r="AJ13" i="9"/>
  <c r="AK13" i="9"/>
  <c r="AL13" i="9"/>
  <c r="AM13" i="9"/>
  <c r="AN13" i="9"/>
  <c r="AO13" i="9"/>
  <c r="AP13" i="9"/>
  <c r="AQ13" i="9"/>
  <c r="AR13" i="9"/>
  <c r="AS13" i="9"/>
  <c r="AT13" i="9"/>
  <c r="AU13" i="9"/>
  <c r="AV13" i="9"/>
  <c r="AW13" i="9"/>
  <c r="S14" i="9"/>
  <c r="T14" i="9"/>
  <c r="U14" i="9"/>
  <c r="V14" i="9"/>
  <c r="W14" i="9"/>
  <c r="X14" i="9"/>
  <c r="Y14" i="9"/>
  <c r="Z14" i="9"/>
  <c r="AB14" i="9"/>
  <c r="AD14" i="9"/>
  <c r="AE14" i="9"/>
  <c r="AJ14" i="9"/>
  <c r="AK14" i="9"/>
  <c r="AL14" i="9"/>
  <c r="AM14" i="9"/>
  <c r="AN14" i="9"/>
  <c r="AO14" i="9"/>
  <c r="AP14" i="9"/>
  <c r="AQ14" i="9"/>
  <c r="AR14" i="9"/>
  <c r="AS14" i="9"/>
  <c r="AT14" i="9"/>
  <c r="AU14" i="9"/>
  <c r="AV14" i="9"/>
  <c r="AW14" i="9"/>
  <c r="S15" i="9"/>
  <c r="T15" i="9"/>
  <c r="U15" i="9"/>
  <c r="V15" i="9"/>
  <c r="W15" i="9"/>
  <c r="X15" i="9"/>
  <c r="Y15" i="9"/>
  <c r="Z15" i="9"/>
  <c r="AA15" i="9"/>
  <c r="AB15" i="9"/>
  <c r="AC15" i="9"/>
  <c r="AD15" i="9"/>
  <c r="AE15" i="9"/>
  <c r="AF15" i="9"/>
  <c r="AG15" i="9"/>
  <c r="AH15" i="9"/>
  <c r="AI15" i="9"/>
  <c r="AJ15" i="9"/>
  <c r="AK15" i="9"/>
  <c r="AL15" i="9"/>
  <c r="AM15" i="9"/>
  <c r="AN15" i="9"/>
  <c r="AO15" i="9"/>
  <c r="AP15" i="9"/>
  <c r="AQ15" i="9"/>
  <c r="AR15" i="9"/>
  <c r="AS15" i="9"/>
  <c r="AT15" i="9"/>
  <c r="AU15" i="9"/>
  <c r="AV15" i="9"/>
  <c r="AW15" i="9"/>
  <c r="S16" i="9"/>
  <c r="S18" i="9" s="1"/>
  <c r="T16" i="9"/>
  <c r="T17" i="9" s="1"/>
  <c r="U16" i="9"/>
  <c r="U17" i="9" s="1"/>
  <c r="V16" i="9"/>
  <c r="V18" i="9" s="1"/>
  <c r="W16" i="9"/>
  <c r="W17" i="9" s="1"/>
  <c r="X16" i="9"/>
  <c r="X17" i="9" s="1"/>
  <c r="Y16" i="9"/>
  <c r="Y17" i="9" s="1"/>
  <c r="Z16" i="9"/>
  <c r="Z17" i="9" s="1"/>
  <c r="AA18" i="9"/>
  <c r="AB16" i="9"/>
  <c r="AB17" i="9" s="1"/>
  <c r="AC18" i="9"/>
  <c r="AD16" i="9"/>
  <c r="AD17" i="9" s="1"/>
  <c r="AE16" i="9"/>
  <c r="AE17" i="9" s="1"/>
  <c r="AG17" i="9"/>
  <c r="AH17" i="9"/>
  <c r="AI17" i="9"/>
  <c r="AJ16" i="9"/>
  <c r="AJ17" i="9" s="1"/>
  <c r="AK16" i="9"/>
  <c r="AL16" i="9"/>
  <c r="AL17" i="9" s="1"/>
  <c r="AM16" i="9"/>
  <c r="AM17" i="9" s="1"/>
  <c r="AN16" i="9"/>
  <c r="AO16" i="9"/>
  <c r="AP16" i="9"/>
  <c r="AP17" i="9" s="1"/>
  <c r="AQ16" i="9"/>
  <c r="AQ17" i="9" s="1"/>
  <c r="AR16" i="9"/>
  <c r="AS16" i="9"/>
  <c r="AT16" i="9"/>
  <c r="AT17" i="9" s="1"/>
  <c r="AU16" i="9"/>
  <c r="AU17" i="9" s="1"/>
  <c r="AV16" i="9"/>
  <c r="AW16" i="9"/>
  <c r="AF17" i="9"/>
  <c r="AK17" i="9"/>
  <c r="AN17" i="9"/>
  <c r="AO17" i="9"/>
  <c r="AR17" i="9"/>
  <c r="AS17" i="9"/>
  <c r="AV17" i="9"/>
  <c r="AW17" i="9"/>
  <c r="T18" i="9"/>
  <c r="W18" i="9"/>
  <c r="X18" i="9"/>
  <c r="Y18" i="9"/>
  <c r="Z18" i="9"/>
  <c r="AB18" i="9"/>
  <c r="AD18" i="9"/>
  <c r="AE18" i="9"/>
  <c r="AF18" i="9"/>
  <c r="AI18" i="9"/>
  <c r="AJ18" i="9"/>
  <c r="AK18" i="9"/>
  <c r="AL18" i="9"/>
  <c r="AM18" i="9"/>
  <c r="AN18" i="9"/>
  <c r="AO18" i="9"/>
  <c r="AP18" i="9"/>
  <c r="AQ18" i="9"/>
  <c r="AR18" i="9"/>
  <c r="AS18" i="9"/>
  <c r="AT18" i="9"/>
  <c r="AU18" i="9"/>
  <c r="AV18" i="9"/>
  <c r="AW18" i="9"/>
  <c r="S19" i="9"/>
  <c r="T19" i="9"/>
  <c r="U19" i="9"/>
  <c r="V19" i="9"/>
  <c r="W19" i="9"/>
  <c r="X19" i="9"/>
  <c r="Y19" i="9"/>
  <c r="Z19" i="9"/>
  <c r="AA19" i="9"/>
  <c r="AB19" i="9"/>
  <c r="AC19" i="9"/>
  <c r="AD19" i="9"/>
  <c r="AE19" i="9"/>
  <c r="AF19" i="9"/>
  <c r="AG19" i="9"/>
  <c r="AH19" i="9"/>
  <c r="AI19" i="9"/>
  <c r="AJ19" i="9"/>
  <c r="AK19" i="9"/>
  <c r="AL19" i="9"/>
  <c r="AM19" i="9"/>
  <c r="AN19" i="9"/>
  <c r="AO19" i="9"/>
  <c r="AP19" i="9"/>
  <c r="AQ19" i="9"/>
  <c r="AR19" i="9"/>
  <c r="AS19" i="9"/>
  <c r="AT19" i="9"/>
  <c r="AU19" i="9"/>
  <c r="AV19" i="9"/>
  <c r="AW19" i="9"/>
  <c r="M11" i="9"/>
  <c r="O11" i="9"/>
  <c r="R11" i="9"/>
  <c r="M12" i="9"/>
  <c r="N12" i="9"/>
  <c r="O12" i="9"/>
  <c r="P12" i="9"/>
  <c r="Q12" i="9"/>
  <c r="R12" i="9"/>
  <c r="M13" i="9"/>
  <c r="N13" i="9"/>
  <c r="O13" i="9"/>
  <c r="P13" i="9"/>
  <c r="Q13" i="9"/>
  <c r="R13" i="9"/>
  <c r="M14" i="9"/>
  <c r="N14" i="9"/>
  <c r="O14" i="9"/>
  <c r="P14" i="9"/>
  <c r="Q14" i="9"/>
  <c r="R14" i="9"/>
  <c r="M15" i="9"/>
  <c r="H15" i="9" s="1"/>
  <c r="N15" i="9"/>
  <c r="O15" i="9"/>
  <c r="P15" i="9"/>
  <c r="Q15" i="9"/>
  <c r="R15" i="9"/>
  <c r="M16" i="9"/>
  <c r="M17" i="9" s="1"/>
  <c r="N16" i="9"/>
  <c r="O16" i="9"/>
  <c r="O17" i="9" s="1"/>
  <c r="P16" i="9"/>
  <c r="P17" i="9" s="1"/>
  <c r="Q16" i="9"/>
  <c r="Q17" i="9" s="1"/>
  <c r="R16" i="9"/>
  <c r="R17" i="9" s="1"/>
  <c r="N17" i="9"/>
  <c r="M18" i="9"/>
  <c r="N18" i="9"/>
  <c r="O18" i="9"/>
  <c r="Q18" i="9"/>
  <c r="R18" i="9"/>
  <c r="M19" i="9"/>
  <c r="N19" i="9"/>
  <c r="O19" i="9"/>
  <c r="P19" i="9"/>
  <c r="Q19" i="9"/>
  <c r="R19" i="9"/>
  <c r="AH18" i="9" l="1"/>
  <c r="AG18" i="9"/>
  <c r="AC17" i="9"/>
  <c r="AA17" i="9"/>
  <c r="H16" i="9"/>
  <c r="U18" i="9"/>
  <c r="P18" i="9"/>
  <c r="S17" i="9"/>
  <c r="V17" i="9"/>
  <c r="D51" i="11"/>
  <c r="D50" i="11"/>
  <c r="G35" i="11"/>
  <c r="F28" i="1" l="1"/>
  <c r="D15" i="12" l="1"/>
  <c r="D12" i="12"/>
  <c r="D11" i="12"/>
  <c r="D119" i="11"/>
  <c r="F119" i="11" s="1"/>
  <c r="D115" i="11"/>
  <c r="F115" i="11" s="1"/>
  <c r="F116" i="11"/>
  <c r="F117" i="11"/>
  <c r="F118" i="11"/>
  <c r="F61" i="11"/>
  <c r="M26" i="9"/>
  <c r="L26" i="9" s="1"/>
  <c r="I26" i="9" s="1"/>
  <c r="H26" i="9" s="1"/>
  <c r="D26" i="9" s="1"/>
  <c r="L19" i="9"/>
  <c r="H19" i="9" s="1"/>
  <c r="D19" i="9" s="1"/>
  <c r="L16" i="9"/>
  <c r="D16" i="9" s="1"/>
  <c r="L14" i="9"/>
  <c r="H14" i="9" s="1"/>
  <c r="D14" i="9" s="1"/>
  <c r="L13" i="9"/>
  <c r="L15" i="9"/>
  <c r="D15" i="9" s="1"/>
  <c r="H33" i="9"/>
  <c r="H34" i="9"/>
  <c r="H35" i="9"/>
  <c r="H36" i="9"/>
  <c r="H37" i="9"/>
  <c r="H38" i="9"/>
  <c r="H39" i="9"/>
  <c r="H40" i="9"/>
  <c r="H41" i="9"/>
  <c r="H42" i="9"/>
  <c r="H43" i="9"/>
  <c r="H44" i="9"/>
  <c r="H45" i="9"/>
  <c r="H46" i="9"/>
  <c r="H47" i="9"/>
  <c r="H48" i="9"/>
  <c r="H21" i="9"/>
  <c r="H23" i="9"/>
  <c r="H25" i="9"/>
  <c r="H28" i="9"/>
  <c r="H32" i="9"/>
  <c r="L12" i="9"/>
  <c r="H12" i="9" s="1"/>
  <c r="D12" i="9" s="1"/>
  <c r="AW6" i="9"/>
  <c r="AV6" i="9"/>
  <c r="AU6" i="9"/>
  <c r="AT6" i="9"/>
  <c r="AS6" i="9"/>
  <c r="AR6" i="9"/>
  <c r="AQ6" i="9"/>
  <c r="AP6" i="9"/>
  <c r="AO6" i="9"/>
  <c r="AN6" i="9"/>
  <c r="AM6" i="9"/>
  <c r="AL6" i="9"/>
  <c r="AK6" i="9"/>
  <c r="AW4" i="9"/>
  <c r="AV4" i="9"/>
  <c r="AU4" i="9"/>
  <c r="AT4" i="9"/>
  <c r="AS4" i="9"/>
  <c r="AR4" i="9"/>
  <c r="AQ4" i="9"/>
  <c r="AP4" i="9"/>
  <c r="AO4" i="9"/>
  <c r="AN4" i="9"/>
  <c r="AM4" i="9"/>
  <c r="AL4" i="9"/>
  <c r="AK4" i="9"/>
  <c r="AJ4" i="9"/>
  <c r="AI4" i="9"/>
  <c r="AH4" i="9"/>
  <c r="AG4" i="9"/>
  <c r="AF4" i="9"/>
  <c r="AE4" i="9"/>
  <c r="AD4" i="9"/>
  <c r="AC4" i="9"/>
  <c r="AB4" i="9"/>
  <c r="AA4" i="9"/>
  <c r="Z4" i="9"/>
  <c r="Y4" i="9"/>
  <c r="X4" i="9"/>
  <c r="W4" i="9"/>
  <c r="V4" i="9"/>
  <c r="U4" i="9"/>
  <c r="T4" i="9"/>
  <c r="S4" i="9"/>
  <c r="R4" i="9"/>
  <c r="Q4" i="9"/>
  <c r="P4" i="9"/>
  <c r="O4" i="9"/>
  <c r="N4" i="9"/>
  <c r="M4" i="9"/>
  <c r="L4" i="9"/>
  <c r="K4" i="9"/>
  <c r="AW3" i="9"/>
  <c r="AW5" i="9" s="1"/>
  <c r="AV3" i="9"/>
  <c r="AU3" i="9"/>
  <c r="AT3" i="9"/>
  <c r="AS3" i="9"/>
  <c r="AS5" i="9" s="1"/>
  <c r="AR3" i="9"/>
  <c r="AQ3" i="9"/>
  <c r="AP3" i="9"/>
  <c r="AO3" i="9"/>
  <c r="AO5" i="9" s="1"/>
  <c r="AN3" i="9"/>
  <c r="AM3" i="9"/>
  <c r="AL3" i="9"/>
  <c r="AK3" i="9"/>
  <c r="AK5" i="9" s="1"/>
  <c r="AJ3" i="9"/>
  <c r="AJ11" i="9" s="1"/>
  <c r="AI3" i="9"/>
  <c r="AI11" i="9" s="1"/>
  <c r="AH3" i="9"/>
  <c r="AH11" i="9" s="1"/>
  <c r="AG3" i="9"/>
  <c r="AF3" i="9"/>
  <c r="AF11" i="9" s="1"/>
  <c r="AE3" i="9"/>
  <c r="AE11" i="9" s="1"/>
  <c r="AD3" i="9"/>
  <c r="AD11" i="9" s="1"/>
  <c r="AC3" i="9"/>
  <c r="AB3" i="9"/>
  <c r="AB11" i="9" s="1"/>
  <c r="AA3" i="9"/>
  <c r="AA11" i="9" s="1"/>
  <c r="Z3" i="9"/>
  <c r="Z11" i="9" s="1"/>
  <c r="Y3" i="9"/>
  <c r="X3" i="9"/>
  <c r="X11" i="9" s="1"/>
  <c r="W3" i="9"/>
  <c r="V3" i="9"/>
  <c r="V11" i="9" s="1"/>
  <c r="U3" i="9"/>
  <c r="T3" i="9"/>
  <c r="T11" i="9" s="1"/>
  <c r="S3" i="9"/>
  <c r="S11" i="9" s="1"/>
  <c r="R3" i="9"/>
  <c r="Q3" i="9"/>
  <c r="P3" i="9"/>
  <c r="P11" i="9" s="1"/>
  <c r="O3" i="9"/>
  <c r="N3" i="9"/>
  <c r="M3" i="9"/>
  <c r="M5" i="9" s="1"/>
  <c r="L3" i="9"/>
  <c r="L11" i="9" s="1"/>
  <c r="K3" i="9"/>
  <c r="AW2" i="9"/>
  <c r="AV2" i="9"/>
  <c r="AU2" i="9"/>
  <c r="AT2" i="9"/>
  <c r="AS2" i="9"/>
  <c r="AR2" i="9"/>
  <c r="AQ2" i="9"/>
  <c r="AP2" i="9"/>
  <c r="AO2" i="9"/>
  <c r="AN2" i="9"/>
  <c r="AM2" i="9"/>
  <c r="AL2" i="9"/>
  <c r="AK2" i="9"/>
  <c r="AJ2" i="9"/>
  <c r="AI2" i="9"/>
  <c r="AH2" i="9"/>
  <c r="AG2" i="9"/>
  <c r="AF2" i="9"/>
  <c r="AE2" i="9"/>
  <c r="AD2" i="9"/>
  <c r="AC2" i="9"/>
  <c r="AB2" i="9"/>
  <c r="AA2" i="9"/>
  <c r="Z2" i="9"/>
  <c r="Y2" i="9"/>
  <c r="X2" i="9"/>
  <c r="W2" i="9"/>
  <c r="V2" i="9"/>
  <c r="U2" i="9"/>
  <c r="T2" i="9"/>
  <c r="S2" i="9"/>
  <c r="R2" i="9"/>
  <c r="Q2" i="9"/>
  <c r="P2" i="9"/>
  <c r="O2" i="9"/>
  <c r="N2" i="9"/>
  <c r="M2" i="9"/>
  <c r="L2" i="9"/>
  <c r="K2" i="9"/>
  <c r="U5" i="9" l="1"/>
  <c r="U11" i="9"/>
  <c r="H13" i="9"/>
  <c r="D13" i="9" s="1"/>
  <c r="AG5" i="9"/>
  <c r="AG11" i="9"/>
  <c r="I27" i="9"/>
  <c r="H27" i="9" s="1"/>
  <c r="D27" i="9" s="1"/>
  <c r="I29" i="9"/>
  <c r="H29" i="9" s="1"/>
  <c r="D29" i="9" s="1"/>
  <c r="I30" i="9"/>
  <c r="H30" i="9" s="1"/>
  <c r="D30" i="9" s="1"/>
  <c r="Q5" i="9"/>
  <c r="Q11" i="9"/>
  <c r="Y5" i="9"/>
  <c r="Y11" i="9"/>
  <c r="AC5" i="9"/>
  <c r="AC11" i="9"/>
  <c r="L17" i="9"/>
  <c r="H17" i="9" s="1"/>
  <c r="D17" i="9" s="1"/>
  <c r="L18" i="9"/>
  <c r="H18" i="9" s="1"/>
  <c r="D18" i="9" s="1"/>
  <c r="N5" i="9"/>
  <c r="R5" i="9"/>
  <c r="V5" i="9"/>
  <c r="Z5" i="9"/>
  <c r="AD5" i="9"/>
  <c r="AH5" i="9"/>
  <c r="AL5" i="9"/>
  <c r="AP5" i="9"/>
  <c r="AT5" i="9"/>
  <c r="O5" i="9"/>
  <c r="S5" i="9"/>
  <c r="AE5" i="9"/>
  <c r="AQ5" i="9"/>
  <c r="AU5" i="9"/>
  <c r="K5" i="9"/>
  <c r="AA5" i="9"/>
  <c r="AI5" i="9"/>
  <c r="L5" i="9"/>
  <c r="P5" i="9"/>
  <c r="T5" i="9"/>
  <c r="X5" i="9"/>
  <c r="AB5" i="9"/>
  <c r="AF5" i="9"/>
  <c r="AJ5" i="9"/>
  <c r="AN5" i="9"/>
  <c r="AR5" i="9"/>
  <c r="AV5" i="9"/>
  <c r="W5" i="9"/>
  <c r="AM5" i="9"/>
  <c r="H11" i="9" l="1"/>
  <c r="D11" i="9" s="1"/>
  <c r="H41" i="3"/>
  <c r="D41" i="3" s="1"/>
  <c r="G31" i="11" l="1"/>
  <c r="M29" i="5"/>
  <c r="L19" i="4"/>
  <c r="M19" i="4"/>
  <c r="N19" i="4"/>
  <c r="O19" i="4"/>
  <c r="P19" i="4"/>
  <c r="Q19" i="4"/>
  <c r="R19" i="4"/>
  <c r="S19" i="4"/>
  <c r="T19" i="4"/>
  <c r="U19" i="4"/>
  <c r="V19" i="4"/>
  <c r="W19" i="4"/>
  <c r="X19" i="4"/>
  <c r="Y19" i="4"/>
  <c r="Z19" i="4"/>
  <c r="AA19" i="4"/>
  <c r="AB19" i="4"/>
  <c r="AC19" i="4"/>
  <c r="AD19" i="4"/>
  <c r="AE19" i="4"/>
  <c r="AF19" i="4"/>
  <c r="AG19" i="4"/>
  <c r="AH19" i="4"/>
  <c r="AI19" i="4"/>
  <c r="AJ19" i="4"/>
  <c r="AK19" i="4"/>
  <c r="AL19" i="4"/>
  <c r="AM19" i="4"/>
  <c r="AN19" i="4"/>
  <c r="AO19" i="4"/>
  <c r="AP19" i="4"/>
  <c r="AQ19" i="4"/>
  <c r="AR19" i="4"/>
  <c r="AS19" i="4"/>
  <c r="AT19" i="4"/>
  <c r="AU19" i="4"/>
  <c r="AV19" i="4"/>
  <c r="AW19" i="4"/>
  <c r="L20" i="4"/>
  <c r="M20" i="4"/>
  <c r="N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L21" i="4"/>
  <c r="M21" i="4"/>
  <c r="N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L15" i="4"/>
  <c r="M15" i="4"/>
  <c r="N15" i="4"/>
  <c r="O15" i="4"/>
  <c r="P15" i="4"/>
  <c r="Q15" i="4"/>
  <c r="R15" i="4"/>
  <c r="S15" i="4"/>
  <c r="T15" i="4"/>
  <c r="U15" i="4"/>
  <c r="V15" i="4"/>
  <c r="W15" i="4"/>
  <c r="X15" i="4"/>
  <c r="Y15" i="4"/>
  <c r="Z15" i="4"/>
  <c r="AA15" i="4"/>
  <c r="AB15" i="4"/>
  <c r="AC15" i="4"/>
  <c r="AD15" i="4"/>
  <c r="AE15" i="4"/>
  <c r="AF15" i="4"/>
  <c r="AG15" i="4"/>
  <c r="AH15" i="4"/>
  <c r="AI15" i="4"/>
  <c r="AJ15" i="4"/>
  <c r="AK15" i="4"/>
  <c r="AL15" i="4"/>
  <c r="AM15" i="4"/>
  <c r="AN15" i="4"/>
  <c r="AO15" i="4"/>
  <c r="AP15" i="4"/>
  <c r="AQ15" i="4"/>
  <c r="AR15" i="4"/>
  <c r="AS15" i="4"/>
  <c r="AT15" i="4"/>
  <c r="AU15" i="4"/>
  <c r="AV15" i="4"/>
  <c r="AW15" i="4"/>
  <c r="L16" i="4"/>
  <c r="M16" i="4"/>
  <c r="N16" i="4"/>
  <c r="O16" i="4"/>
  <c r="P16" i="4"/>
  <c r="Q16" i="4"/>
  <c r="R16" i="4"/>
  <c r="S16" i="4"/>
  <c r="T16" i="4"/>
  <c r="U16" i="4"/>
  <c r="V16" i="4"/>
  <c r="W16" i="4"/>
  <c r="X16" i="4"/>
  <c r="Y16" i="4"/>
  <c r="Z16" i="4"/>
  <c r="AA16" i="4"/>
  <c r="AB16" i="4"/>
  <c r="AC16" i="4"/>
  <c r="AD16" i="4"/>
  <c r="AE16" i="4"/>
  <c r="AF16" i="4"/>
  <c r="AG16" i="4"/>
  <c r="AH16" i="4"/>
  <c r="AI16" i="4"/>
  <c r="AJ16" i="4"/>
  <c r="AK16" i="4"/>
  <c r="AL16" i="4"/>
  <c r="AM16" i="4"/>
  <c r="AN16" i="4"/>
  <c r="AO16" i="4"/>
  <c r="AP16" i="4"/>
  <c r="AQ16" i="4"/>
  <c r="AR16" i="4"/>
  <c r="AS16" i="4"/>
  <c r="AT16" i="4"/>
  <c r="AU16" i="4"/>
  <c r="AV16" i="4"/>
  <c r="AW16" i="4"/>
  <c r="L17" i="4"/>
  <c r="M17" i="4"/>
  <c r="N17" i="4"/>
  <c r="O17" i="4"/>
  <c r="P17" i="4"/>
  <c r="Q17" i="4"/>
  <c r="R17" i="4"/>
  <c r="S17" i="4"/>
  <c r="T17" i="4"/>
  <c r="U17" i="4"/>
  <c r="V17" i="4"/>
  <c r="W17" i="4"/>
  <c r="X17" i="4"/>
  <c r="Y17" i="4"/>
  <c r="Z17" i="4"/>
  <c r="AA17" i="4"/>
  <c r="AB17" i="4"/>
  <c r="AC17" i="4"/>
  <c r="AD17" i="4"/>
  <c r="AE17" i="4"/>
  <c r="AF17" i="4"/>
  <c r="AG17" i="4"/>
  <c r="AH17" i="4"/>
  <c r="AI17" i="4"/>
  <c r="AJ17" i="4"/>
  <c r="AK17" i="4"/>
  <c r="AL17" i="4"/>
  <c r="AM17" i="4"/>
  <c r="AN17" i="4"/>
  <c r="AO17" i="4"/>
  <c r="AP17" i="4"/>
  <c r="AQ17" i="4"/>
  <c r="AR17" i="4"/>
  <c r="AS17" i="4"/>
  <c r="AT17" i="4"/>
  <c r="AU17" i="4"/>
  <c r="AV17" i="4"/>
  <c r="AW17" i="4"/>
  <c r="K15" i="4"/>
  <c r="N77" i="4"/>
  <c r="T1" i="4"/>
  <c r="U1" i="4"/>
  <c r="V1" i="4"/>
  <c r="W1" i="4"/>
  <c r="X1" i="4"/>
  <c r="Y1" i="4"/>
  <c r="Z1" i="4"/>
  <c r="AA1" i="4"/>
  <c r="AB1" i="4"/>
  <c r="AC1" i="4"/>
  <c r="AD1" i="4"/>
  <c r="AE1" i="4"/>
  <c r="AF1" i="4"/>
  <c r="AG1" i="4"/>
  <c r="AH1" i="4"/>
  <c r="AI1" i="4"/>
  <c r="AJ1" i="4"/>
  <c r="AK1" i="4"/>
  <c r="AL1" i="4"/>
  <c r="AM1" i="4"/>
  <c r="AN1" i="4"/>
  <c r="AO1" i="4"/>
  <c r="AP1" i="4"/>
  <c r="AQ1" i="4"/>
  <c r="AR1" i="4"/>
  <c r="AS1" i="4"/>
  <c r="AT1" i="4"/>
  <c r="AU1" i="4"/>
  <c r="AV1" i="4"/>
  <c r="AW1" i="4"/>
  <c r="H15" i="4" l="1"/>
  <c r="D53" i="1"/>
  <c r="D31" i="11"/>
  <c r="D91" i="11"/>
  <c r="D93" i="11"/>
  <c r="D19" i="16"/>
  <c r="F15" i="16"/>
  <c r="F16" i="16"/>
  <c r="K3" i="4"/>
  <c r="AW3" i="4"/>
  <c r="AV3" i="4"/>
  <c r="AU3" i="4"/>
  <c r="AT3" i="4"/>
  <c r="AS3" i="4"/>
  <c r="AR3" i="4"/>
  <c r="AQ3" i="4"/>
  <c r="AP3" i="4"/>
  <c r="AO3" i="4"/>
  <c r="AN3" i="4"/>
  <c r="AM3" i="4"/>
  <c r="AL3" i="4"/>
  <c r="AK3" i="4"/>
  <c r="AJ3" i="4"/>
  <c r="AI3" i="4"/>
  <c r="AH3" i="4"/>
  <c r="AG3" i="4"/>
  <c r="AF3" i="4"/>
  <c r="AE3" i="4"/>
  <c r="AD3" i="4"/>
  <c r="AC3" i="4"/>
  <c r="AB3" i="4"/>
  <c r="AA3" i="4"/>
  <c r="Z3" i="4"/>
  <c r="Y3" i="4"/>
  <c r="Y14" i="4" s="1"/>
  <c r="X3" i="4"/>
  <c r="W3" i="4"/>
  <c r="V3" i="4"/>
  <c r="U3" i="4"/>
  <c r="T3" i="4"/>
  <c r="S3" i="4"/>
  <c r="P3" i="4"/>
  <c r="O3" i="4"/>
  <c r="N3" i="4"/>
  <c r="M3" i="4"/>
  <c r="L3" i="4"/>
  <c r="AW6" i="3"/>
  <c r="AV6" i="3"/>
  <c r="AU6" i="3"/>
  <c r="AT6" i="3"/>
  <c r="AS6" i="3"/>
  <c r="AR6" i="3"/>
  <c r="AQ6" i="3"/>
  <c r="AP6" i="3"/>
  <c r="AO6" i="3"/>
  <c r="AN6" i="3"/>
  <c r="AM6" i="3"/>
  <c r="AL6" i="3"/>
  <c r="AK6" i="3"/>
  <c r="AJ6" i="3"/>
  <c r="AI6" i="3"/>
  <c r="AH6" i="3"/>
  <c r="AG6" i="3"/>
  <c r="AF6" i="3"/>
  <c r="AE6" i="3"/>
  <c r="AD6" i="3"/>
  <c r="AC6" i="3"/>
  <c r="AB6" i="3"/>
  <c r="AA6" i="3"/>
  <c r="Z6" i="3"/>
  <c r="Y6" i="3"/>
  <c r="X6" i="3"/>
  <c r="W6" i="3"/>
  <c r="V6" i="3"/>
  <c r="U6" i="3"/>
  <c r="T6" i="3"/>
  <c r="S6" i="3"/>
  <c r="R6" i="3"/>
  <c r="Q6" i="3"/>
  <c r="P6" i="3"/>
  <c r="O6" i="3"/>
  <c r="N6" i="3"/>
  <c r="M6" i="3"/>
  <c r="L6"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AW3" i="3"/>
  <c r="AV3" i="3"/>
  <c r="AV5" i="3" s="1"/>
  <c r="AV68" i="3" s="1"/>
  <c r="AU3" i="3"/>
  <c r="AU5" i="3" s="1"/>
  <c r="AT3" i="3"/>
  <c r="AT5" i="3" s="1"/>
  <c r="AT68" i="3" s="1"/>
  <c r="AS3" i="3"/>
  <c r="AR3" i="3"/>
  <c r="AR5" i="3" s="1"/>
  <c r="AR68" i="3" s="1"/>
  <c r="AQ3" i="3"/>
  <c r="AQ5" i="3" s="1"/>
  <c r="AP3" i="3"/>
  <c r="AP5" i="3" s="1"/>
  <c r="AP68" i="3" s="1"/>
  <c r="AO3" i="3"/>
  <c r="AN3" i="3"/>
  <c r="AN5" i="3" s="1"/>
  <c r="AN68" i="3" s="1"/>
  <c r="AM3" i="3"/>
  <c r="AM5" i="3" s="1"/>
  <c r="AL3" i="3"/>
  <c r="AL5" i="3" s="1"/>
  <c r="AL68" i="3" s="1"/>
  <c r="AK3" i="3"/>
  <c r="AJ3" i="3"/>
  <c r="AJ5" i="3" s="1"/>
  <c r="AI3" i="3"/>
  <c r="AI5" i="3" s="1"/>
  <c r="AI61" i="3" s="1"/>
  <c r="AH3" i="3"/>
  <c r="AH5" i="3" s="1"/>
  <c r="AG3" i="3"/>
  <c r="AF3" i="3"/>
  <c r="AE3" i="3"/>
  <c r="AE5" i="3" s="1"/>
  <c r="AD3" i="3"/>
  <c r="AC3" i="3"/>
  <c r="AB3" i="3"/>
  <c r="AB5" i="3" s="1"/>
  <c r="AA3" i="3"/>
  <c r="AA5" i="3" s="1"/>
  <c r="AA61" i="3" s="1"/>
  <c r="Z3" i="3"/>
  <c r="Y3" i="3"/>
  <c r="Y5" i="3" s="1"/>
  <c r="X3" i="3"/>
  <c r="X5" i="3" s="1"/>
  <c r="W3" i="3"/>
  <c r="W5" i="3" s="1"/>
  <c r="W61" i="3" s="1"/>
  <c r="V3" i="3"/>
  <c r="U3" i="3"/>
  <c r="U5" i="3" s="1"/>
  <c r="T3" i="3"/>
  <c r="T5" i="3" s="1"/>
  <c r="S3" i="3"/>
  <c r="S5" i="3" s="1"/>
  <c r="S61" i="3" s="1"/>
  <c r="R3" i="3"/>
  <c r="Q3" i="3"/>
  <c r="P3" i="3"/>
  <c r="O3" i="3"/>
  <c r="N3" i="3"/>
  <c r="M3" i="3"/>
  <c r="L3" i="3"/>
  <c r="AW2" i="3"/>
  <c r="AV2" i="3"/>
  <c r="AU2" i="3"/>
  <c r="AT2" i="3"/>
  <c r="AS2" i="3"/>
  <c r="AR2" i="3"/>
  <c r="AQ2" i="3"/>
  <c r="AP2" i="3"/>
  <c r="AO2" i="3"/>
  <c r="AN2" i="3"/>
  <c r="AM2" i="3"/>
  <c r="AL2" i="3"/>
  <c r="AK2" i="3"/>
  <c r="AJ2" i="3"/>
  <c r="AF2" i="3"/>
  <c r="AE2" i="3"/>
  <c r="AD2" i="3"/>
  <c r="AC2" i="3"/>
  <c r="AB2" i="3"/>
  <c r="AA2" i="3"/>
  <c r="Z2" i="3"/>
  <c r="Y2" i="3"/>
  <c r="X2" i="3"/>
  <c r="W2" i="3"/>
  <c r="V2" i="3"/>
  <c r="U2" i="3"/>
  <c r="T2" i="3"/>
  <c r="S2" i="3"/>
  <c r="R2" i="3"/>
  <c r="Q2" i="3"/>
  <c r="P2" i="3"/>
  <c r="O2" i="3"/>
  <c r="N2" i="3"/>
  <c r="M2" i="3"/>
  <c r="L2" i="3"/>
  <c r="AD5" i="16"/>
  <c r="AE5" i="16"/>
  <c r="AF5" i="16"/>
  <c r="AG5" i="16"/>
  <c r="AH5" i="16"/>
  <c r="AI5" i="16"/>
  <c r="AJ5" i="16"/>
  <c r="AK5" i="16"/>
  <c r="AL5" i="16"/>
  <c r="AM5" i="16"/>
  <c r="AN5" i="16"/>
  <c r="AO5" i="16"/>
  <c r="AP5" i="16"/>
  <c r="AQ5" i="16"/>
  <c r="AR5" i="16"/>
  <c r="AS5" i="16"/>
  <c r="AT5" i="16"/>
  <c r="AU5" i="16"/>
  <c r="AV5" i="16"/>
  <c r="AW5" i="16"/>
  <c r="AW14" i="16" s="1"/>
  <c r="Y5" i="16"/>
  <c r="Z5" i="16"/>
  <c r="AB5" i="16"/>
  <c r="AB11" i="16" s="1"/>
  <c r="AC5" i="16"/>
  <c r="AC14" i="16" s="1"/>
  <c r="U5" i="16"/>
  <c r="V5" i="16"/>
  <c r="W5" i="16"/>
  <c r="W13" i="16" s="1"/>
  <c r="X5" i="16"/>
  <c r="X14" i="16" s="1"/>
  <c r="T5" i="16"/>
  <c r="T13" i="16" s="1"/>
  <c r="L5" i="16"/>
  <c r="L14" i="16" s="1"/>
  <c r="M5" i="16"/>
  <c r="N5" i="16"/>
  <c r="O5" i="16"/>
  <c r="P5" i="16"/>
  <c r="Q5" i="16"/>
  <c r="R5" i="16"/>
  <c r="S5" i="16"/>
  <c r="S14" i="16" s="1"/>
  <c r="L27" i="16"/>
  <c r="L44" i="16" s="1"/>
  <c r="L24" i="16"/>
  <c r="L23" i="16"/>
  <c r="L22" i="16"/>
  <c r="L21" i="16"/>
  <c r="L20" i="16"/>
  <c r="L19" i="16"/>
  <c r="L18" i="16"/>
  <c r="L12" i="16"/>
  <c r="L11" i="16"/>
  <c r="AW27" i="16"/>
  <c r="AW44" i="16" s="1"/>
  <c r="AW24" i="16"/>
  <c r="AW23" i="16"/>
  <c r="AW22" i="16"/>
  <c r="AW21" i="16"/>
  <c r="AW20" i="16"/>
  <c r="AW19" i="16"/>
  <c r="AW18" i="16"/>
  <c r="AW12" i="16"/>
  <c r="AW11" i="16"/>
  <c r="AV27" i="16"/>
  <c r="AV44" i="16" s="1"/>
  <c r="AV24" i="16"/>
  <c r="AV23" i="16"/>
  <c r="AV22" i="16"/>
  <c r="AV21" i="16"/>
  <c r="AV20" i="16"/>
  <c r="AV19" i="16"/>
  <c r="AV18" i="16"/>
  <c r="AV14" i="16"/>
  <c r="AV13" i="16"/>
  <c r="AV12" i="16"/>
  <c r="AV11" i="16"/>
  <c r="AC27" i="16"/>
  <c r="AC44" i="16" s="1"/>
  <c r="AC24" i="16"/>
  <c r="AC23" i="16"/>
  <c r="AC22" i="16"/>
  <c r="AC21" i="16"/>
  <c r="AC20" i="16"/>
  <c r="AC19" i="16"/>
  <c r="AC18" i="16"/>
  <c r="AC12" i="16"/>
  <c r="AC11" i="16"/>
  <c r="AB27" i="16"/>
  <c r="AB44" i="16" s="1"/>
  <c r="AB24" i="16"/>
  <c r="AB23" i="16"/>
  <c r="AB22" i="16"/>
  <c r="AB21" i="16"/>
  <c r="AB20" i="16"/>
  <c r="AB19" i="16"/>
  <c r="AB18" i="16"/>
  <c r="AB13" i="16"/>
  <c r="AB12" i="16"/>
  <c r="X27" i="16"/>
  <c r="X44" i="16" s="1"/>
  <c r="X24" i="16"/>
  <c r="X23" i="16"/>
  <c r="X22" i="16"/>
  <c r="X21" i="16"/>
  <c r="X20" i="16"/>
  <c r="X19" i="16"/>
  <c r="X18" i="16"/>
  <c r="X13" i="16"/>
  <c r="X12" i="16"/>
  <c r="W27" i="16"/>
  <c r="W44" i="16" s="1"/>
  <c r="W24" i="16"/>
  <c r="W23" i="16"/>
  <c r="W22" i="16"/>
  <c r="W21" i="16"/>
  <c r="W20" i="16"/>
  <c r="W19" i="16"/>
  <c r="W18" i="16"/>
  <c r="W14" i="16"/>
  <c r="W12" i="16"/>
  <c r="W11" i="16"/>
  <c r="V27" i="16"/>
  <c r="V44" i="16" s="1"/>
  <c r="V24" i="16"/>
  <c r="V23" i="16"/>
  <c r="V22" i="16"/>
  <c r="V21" i="16"/>
  <c r="V20" i="16"/>
  <c r="V19" i="16"/>
  <c r="V18" i="16"/>
  <c r="V14" i="16"/>
  <c r="V13" i="16"/>
  <c r="V12" i="16"/>
  <c r="V11" i="16"/>
  <c r="V25" i="16" s="1"/>
  <c r="T27" i="16"/>
  <c r="T44" i="16" s="1"/>
  <c r="T24" i="16"/>
  <c r="T23" i="16"/>
  <c r="T22" i="16"/>
  <c r="T21" i="16"/>
  <c r="T20" i="16"/>
  <c r="T19" i="16"/>
  <c r="T18" i="16"/>
  <c r="T14" i="16"/>
  <c r="T12" i="16"/>
  <c r="Y14" i="16"/>
  <c r="T68" i="3" l="1"/>
  <c r="T61" i="3"/>
  <c r="X68" i="3"/>
  <c r="X61" i="3"/>
  <c r="U64" i="3"/>
  <c r="U61" i="3"/>
  <c r="Y63" i="3"/>
  <c r="Y61" i="3"/>
  <c r="AB68" i="3"/>
  <c r="AB61" i="3"/>
  <c r="AH68" i="3"/>
  <c r="AH61" i="3"/>
  <c r="AJ68" i="3"/>
  <c r="AJ61" i="3"/>
  <c r="AF5" i="3"/>
  <c r="AC5" i="3"/>
  <c r="AC64" i="3" s="1"/>
  <c r="AC13" i="16"/>
  <c r="AC25" i="16" s="1"/>
  <c r="V5" i="3"/>
  <c r="Z5" i="3"/>
  <c r="AD5" i="3"/>
  <c r="T11" i="16"/>
  <c r="T25" i="16" s="1"/>
  <c r="R5" i="3"/>
  <c r="R61" i="3" s="1"/>
  <c r="Q5" i="3"/>
  <c r="P5" i="3"/>
  <c r="O5" i="3"/>
  <c r="O61" i="3" s="1"/>
  <c r="N5" i="3"/>
  <c r="M5" i="3"/>
  <c r="M61" i="3" s="1"/>
  <c r="L5" i="3"/>
  <c r="L30" i="3" s="1"/>
  <c r="R29" i="3"/>
  <c r="N68" i="3"/>
  <c r="L13" i="16"/>
  <c r="L28" i="16" s="1"/>
  <c r="AB25" i="16"/>
  <c r="Y29" i="3"/>
  <c r="U30" i="3"/>
  <c r="U62" i="3"/>
  <c r="Y65" i="3"/>
  <c r="U68" i="3"/>
  <c r="AC31" i="3"/>
  <c r="AC33" i="3" s="1"/>
  <c r="U65" i="3"/>
  <c r="S68" i="3"/>
  <c r="S65" i="3"/>
  <c r="S64" i="3"/>
  <c r="S63" i="3"/>
  <c r="S62" i="3"/>
  <c r="S32" i="3"/>
  <c r="S31" i="3"/>
  <c r="S33" i="3" s="1"/>
  <c r="S30" i="3"/>
  <c r="S29" i="3"/>
  <c r="W68" i="3"/>
  <c r="W65" i="3"/>
  <c r="W64" i="3"/>
  <c r="W63" i="3"/>
  <c r="W62" i="3"/>
  <c r="W32" i="3"/>
  <c r="W31" i="3"/>
  <c r="W33" i="3" s="1"/>
  <c r="W30" i="3"/>
  <c r="W29" i="3"/>
  <c r="AA68" i="3"/>
  <c r="AA65" i="3"/>
  <c r="AA64" i="3"/>
  <c r="AA63" i="3"/>
  <c r="AA62" i="3"/>
  <c r="AA32" i="3"/>
  <c r="AA31" i="3"/>
  <c r="AA33" i="3" s="1"/>
  <c r="AA30" i="3"/>
  <c r="AA29" i="3"/>
  <c r="AE68" i="3"/>
  <c r="AE65" i="3"/>
  <c r="AE64" i="3"/>
  <c r="AE63" i="3"/>
  <c r="AE32" i="3"/>
  <c r="AE31" i="3"/>
  <c r="AE33" i="3" s="1"/>
  <c r="AE30" i="3"/>
  <c r="AE29" i="3"/>
  <c r="AI68" i="3"/>
  <c r="AI65" i="3"/>
  <c r="AI64" i="3"/>
  <c r="AI63" i="3"/>
  <c r="AI62" i="3"/>
  <c r="AI32" i="3"/>
  <c r="AI31" i="3"/>
  <c r="AI33" i="3" s="1"/>
  <c r="AI30" i="3"/>
  <c r="AI29" i="3"/>
  <c r="AM68" i="3"/>
  <c r="AM65" i="3"/>
  <c r="AM64" i="3"/>
  <c r="AM63" i="3"/>
  <c r="AM62" i="3"/>
  <c r="AM32" i="3"/>
  <c r="AM31" i="3"/>
  <c r="AM33" i="3" s="1"/>
  <c r="AM30" i="3"/>
  <c r="AM29" i="3"/>
  <c r="AQ68" i="3"/>
  <c r="AQ65" i="3"/>
  <c r="AQ64" i="3"/>
  <c r="AQ63" i="3"/>
  <c r="AQ62" i="3"/>
  <c r="AQ32" i="3"/>
  <c r="AQ31" i="3"/>
  <c r="AQ33" i="3" s="1"/>
  <c r="AQ30" i="3"/>
  <c r="AQ29" i="3"/>
  <c r="AU68" i="3"/>
  <c r="AU65" i="3"/>
  <c r="AU64" i="3"/>
  <c r="AU63" i="3"/>
  <c r="AU62" i="3"/>
  <c r="AU32" i="3"/>
  <c r="AU31" i="3"/>
  <c r="AU33" i="3" s="1"/>
  <c r="AU30" i="3"/>
  <c r="AU29" i="3"/>
  <c r="Y30" i="3"/>
  <c r="U31" i="3"/>
  <c r="U33" i="3" s="1"/>
  <c r="Y62" i="3"/>
  <c r="U63" i="3"/>
  <c r="Y68" i="3"/>
  <c r="U29" i="3"/>
  <c r="Y32" i="3"/>
  <c r="Y64" i="3"/>
  <c r="AV25" i="16"/>
  <c r="Y31" i="3"/>
  <c r="Y33" i="3" s="1"/>
  <c r="U32" i="3"/>
  <c r="AC62" i="3"/>
  <c r="V29" i="3"/>
  <c r="Z29" i="3"/>
  <c r="AH29" i="3"/>
  <c r="AL29" i="3"/>
  <c r="AP29" i="3"/>
  <c r="AT29" i="3"/>
  <c r="V30" i="3"/>
  <c r="Z30" i="3"/>
  <c r="AH30" i="3"/>
  <c r="AL30" i="3"/>
  <c r="AP30" i="3"/>
  <c r="AT30" i="3"/>
  <c r="V31" i="3"/>
  <c r="V33" i="3" s="1"/>
  <c r="Z31" i="3"/>
  <c r="Z33" i="3" s="1"/>
  <c r="AH31" i="3"/>
  <c r="AH33" i="3" s="1"/>
  <c r="AL31" i="3"/>
  <c r="AL33" i="3" s="1"/>
  <c r="AP31" i="3"/>
  <c r="AP33" i="3" s="1"/>
  <c r="AT31" i="3"/>
  <c r="AT33" i="3" s="1"/>
  <c r="V32" i="3"/>
  <c r="Z32" i="3"/>
  <c r="AH32" i="3"/>
  <c r="AL32" i="3"/>
  <c r="AP32" i="3"/>
  <c r="AT32" i="3"/>
  <c r="V62" i="3"/>
  <c r="Z62" i="3"/>
  <c r="AH62" i="3"/>
  <c r="AL62" i="3"/>
  <c r="AP62" i="3"/>
  <c r="AT62" i="3"/>
  <c r="V63" i="3"/>
  <c r="Z63" i="3"/>
  <c r="AH63" i="3"/>
  <c r="AL63" i="3"/>
  <c r="AP63" i="3"/>
  <c r="AT63" i="3"/>
  <c r="V64" i="3"/>
  <c r="Z64" i="3"/>
  <c r="AH64" i="3"/>
  <c r="AL64" i="3"/>
  <c r="AP64" i="3"/>
  <c r="AT64" i="3"/>
  <c r="V65" i="3"/>
  <c r="Z65" i="3"/>
  <c r="AH65" i="3"/>
  <c r="AL65" i="3"/>
  <c r="AP65" i="3"/>
  <c r="AT65" i="3"/>
  <c r="AG5" i="3"/>
  <c r="AK5" i="3"/>
  <c r="AO5" i="3"/>
  <c r="AS5" i="3"/>
  <c r="AW5" i="3"/>
  <c r="T29" i="3"/>
  <c r="X29" i="3"/>
  <c r="AB29" i="3"/>
  <c r="AF29" i="3"/>
  <c r="AJ29" i="3"/>
  <c r="AN29" i="3"/>
  <c r="AR29" i="3"/>
  <c r="AV29" i="3"/>
  <c r="T30" i="3"/>
  <c r="X30" i="3"/>
  <c r="AB30" i="3"/>
  <c r="AF30" i="3"/>
  <c r="AJ30" i="3"/>
  <c r="AN30" i="3"/>
  <c r="AR30" i="3"/>
  <c r="AV30" i="3"/>
  <c r="T31" i="3"/>
  <c r="T33" i="3" s="1"/>
  <c r="X31" i="3"/>
  <c r="X33" i="3" s="1"/>
  <c r="AB31" i="3"/>
  <c r="AB33" i="3" s="1"/>
  <c r="AF31" i="3"/>
  <c r="AF33" i="3" s="1"/>
  <c r="AJ31" i="3"/>
  <c r="AJ33" i="3" s="1"/>
  <c r="AN31" i="3"/>
  <c r="AN33" i="3" s="1"/>
  <c r="AR31" i="3"/>
  <c r="AR33" i="3" s="1"/>
  <c r="AV31" i="3"/>
  <c r="AV33" i="3" s="1"/>
  <c r="T32" i="3"/>
  <c r="X32" i="3"/>
  <c r="AB32" i="3"/>
  <c r="AF32" i="3"/>
  <c r="AJ32" i="3"/>
  <c r="AN32" i="3"/>
  <c r="AR32" i="3"/>
  <c r="AV32" i="3"/>
  <c r="T62" i="3"/>
  <c r="X62" i="3"/>
  <c r="AB62" i="3"/>
  <c r="AJ62" i="3"/>
  <c r="AN62" i="3"/>
  <c r="AR62" i="3"/>
  <c r="AV62" i="3"/>
  <c r="T63" i="3"/>
  <c r="X63" i="3"/>
  <c r="AB63" i="3"/>
  <c r="AF63" i="3"/>
  <c r="AJ63" i="3"/>
  <c r="AN63" i="3"/>
  <c r="AR63" i="3"/>
  <c r="AV63" i="3"/>
  <c r="T64" i="3"/>
  <c r="X64" i="3"/>
  <c r="AB64" i="3"/>
  <c r="AF64" i="3"/>
  <c r="AJ64" i="3"/>
  <c r="AN64" i="3"/>
  <c r="AR64" i="3"/>
  <c r="AV64" i="3"/>
  <c r="T65" i="3"/>
  <c r="X65" i="3"/>
  <c r="AB65" i="3"/>
  <c r="AF65" i="3"/>
  <c r="AJ65" i="3"/>
  <c r="AN65" i="3"/>
  <c r="AR65" i="3"/>
  <c r="AV65" i="3"/>
  <c r="AW13" i="16"/>
  <c r="AW25" i="16" s="1"/>
  <c r="AB14" i="16"/>
  <c r="AB28" i="16"/>
  <c r="W25" i="16"/>
  <c r="X11" i="16"/>
  <c r="X28" i="16" s="1"/>
  <c r="T28" i="16"/>
  <c r="AV28" i="16"/>
  <c r="V28" i="16"/>
  <c r="AC28" i="16"/>
  <c r="W28" i="16"/>
  <c r="L64" i="3" l="1"/>
  <c r="L62" i="3"/>
  <c r="L31" i="3"/>
  <c r="L33" i="3" s="1"/>
  <c r="L29" i="3"/>
  <c r="L37" i="3" s="1"/>
  <c r="L32" i="3"/>
  <c r="L61" i="3"/>
  <c r="P30" i="3"/>
  <c r="P61" i="3"/>
  <c r="AD68" i="3"/>
  <c r="AD62" i="3"/>
  <c r="AD61" i="3"/>
  <c r="AC32" i="3"/>
  <c r="Q30" i="3"/>
  <c r="Q61" i="3"/>
  <c r="Z68" i="3"/>
  <c r="Z61" i="3"/>
  <c r="AD31" i="3"/>
  <c r="AD33" i="3" s="1"/>
  <c r="AC65" i="3"/>
  <c r="L65" i="3"/>
  <c r="AD63" i="3"/>
  <c r="AC29" i="3"/>
  <c r="N32" i="3"/>
  <c r="N61" i="3"/>
  <c r="V68" i="3"/>
  <c r="V61" i="3"/>
  <c r="AC30" i="3"/>
  <c r="AC63" i="3"/>
  <c r="O30" i="3"/>
  <c r="AC68" i="3"/>
  <c r="AC61" i="3"/>
  <c r="AF68" i="3"/>
  <c r="AD64" i="3"/>
  <c r="AD32" i="3"/>
  <c r="AD65" i="3"/>
  <c r="AD29" i="3"/>
  <c r="X25" i="16"/>
  <c r="AD30" i="3"/>
  <c r="P29" i="3"/>
  <c r="R65" i="3"/>
  <c r="L25" i="16"/>
  <c r="R64" i="3"/>
  <c r="R63" i="3"/>
  <c r="R62" i="3"/>
  <c r="R68" i="3"/>
  <c r="R32" i="3"/>
  <c r="R31" i="3"/>
  <c r="R33" i="3" s="1"/>
  <c r="R30" i="3"/>
  <c r="Q29" i="3"/>
  <c r="Q63" i="3"/>
  <c r="Q32" i="3"/>
  <c r="Q68" i="3"/>
  <c r="Q62" i="3"/>
  <c r="Q65" i="3"/>
  <c r="Q31" i="3"/>
  <c r="Q33" i="3" s="1"/>
  <c r="Q64" i="3"/>
  <c r="P37" i="3"/>
  <c r="P65" i="3"/>
  <c r="P63" i="3"/>
  <c r="P68" i="3"/>
  <c r="P64" i="3"/>
  <c r="P62" i="3"/>
  <c r="P31" i="3"/>
  <c r="P33" i="3" s="1"/>
  <c r="P32" i="3"/>
  <c r="O63" i="3"/>
  <c r="O29" i="3"/>
  <c r="O64" i="3"/>
  <c r="O65" i="3"/>
  <c r="O32" i="3"/>
  <c r="O31" i="3"/>
  <c r="O33" i="3" s="1"/>
  <c r="O68" i="3"/>
  <c r="O62" i="3"/>
  <c r="N62" i="3"/>
  <c r="N31" i="3"/>
  <c r="N33" i="3" s="1"/>
  <c r="N64" i="3"/>
  <c r="N29" i="3"/>
  <c r="N63" i="3"/>
  <c r="N30" i="3"/>
  <c r="N65" i="3"/>
  <c r="L68" i="3"/>
  <c r="L63" i="3"/>
  <c r="AP37" i="3"/>
  <c r="Z37" i="3"/>
  <c r="AC37" i="3"/>
  <c r="X37" i="3"/>
  <c r="AW28" i="16"/>
  <c r="AJ37" i="3"/>
  <c r="T37" i="3"/>
  <c r="AK64" i="3"/>
  <c r="AK32" i="3"/>
  <c r="AK65" i="3"/>
  <c r="AK63" i="3"/>
  <c r="AK31" i="3"/>
  <c r="AK33" i="3" s="1"/>
  <c r="AK29" i="3"/>
  <c r="AK68" i="3"/>
  <c r="AK62" i="3"/>
  <c r="AK30" i="3"/>
  <c r="AL37" i="3"/>
  <c r="V37" i="3"/>
  <c r="AQ37" i="3"/>
  <c r="AI37" i="3"/>
  <c r="AA37" i="3"/>
  <c r="S37" i="3"/>
  <c r="AN37" i="3"/>
  <c r="AV37" i="3"/>
  <c r="AF37" i="3"/>
  <c r="AW65" i="3"/>
  <c r="AW29" i="3"/>
  <c r="AW68" i="3"/>
  <c r="AW64" i="3"/>
  <c r="AW32" i="3"/>
  <c r="AW62" i="3"/>
  <c r="AW30" i="3"/>
  <c r="AW63" i="3"/>
  <c r="AW31" i="3"/>
  <c r="AW33" i="3" s="1"/>
  <c r="AG65" i="3"/>
  <c r="AG29" i="3"/>
  <c r="AG30" i="3"/>
  <c r="AG64" i="3"/>
  <c r="AG32" i="3"/>
  <c r="AG68" i="3"/>
  <c r="AG63" i="3"/>
  <c r="AG31" i="3"/>
  <c r="AG33" i="3" s="1"/>
  <c r="AH37" i="3"/>
  <c r="U37" i="3"/>
  <c r="Y37" i="3"/>
  <c r="AO63" i="3"/>
  <c r="AO31" i="3"/>
  <c r="AO33" i="3" s="1"/>
  <c r="AO68" i="3"/>
  <c r="AO62" i="3"/>
  <c r="AO30" i="3"/>
  <c r="AO64" i="3"/>
  <c r="AO32" i="3"/>
  <c r="AO65" i="3"/>
  <c r="AO29" i="3"/>
  <c r="AO37" i="3" s="1"/>
  <c r="AR37" i="3"/>
  <c r="AB37" i="3"/>
  <c r="AS68" i="3"/>
  <c r="AS62" i="3"/>
  <c r="AS30" i="3"/>
  <c r="AS63" i="3"/>
  <c r="AS31" i="3"/>
  <c r="AS33" i="3" s="1"/>
  <c r="AS65" i="3"/>
  <c r="AS29" i="3"/>
  <c r="AS64" i="3"/>
  <c r="AS32" i="3"/>
  <c r="AT37" i="3"/>
  <c r="AU37" i="3"/>
  <c r="AM37" i="3"/>
  <c r="AE37" i="3"/>
  <c r="W37" i="3"/>
  <c r="L1" i="3"/>
  <c r="L1" i="4"/>
  <c r="K1" i="4"/>
  <c r="M1" i="4"/>
  <c r="N1" i="4"/>
  <c r="O1" i="4"/>
  <c r="P1" i="4"/>
  <c r="Q1" i="4"/>
  <c r="R1" i="4"/>
  <c r="S1" i="4"/>
  <c r="K1" i="3"/>
  <c r="M1" i="3"/>
  <c r="N1" i="3"/>
  <c r="O1" i="3"/>
  <c r="P1" i="3"/>
  <c r="Q1" i="3"/>
  <c r="R1" i="3"/>
  <c r="S1" i="3"/>
  <c r="AD37" i="3" l="1"/>
  <c r="AG37" i="3"/>
  <c r="K54" i="3"/>
  <c r="K40" i="3"/>
  <c r="O37" i="3"/>
  <c r="N37" i="3"/>
  <c r="R37" i="3"/>
  <c r="Q37" i="3"/>
  <c r="AK37" i="3"/>
  <c r="AS37" i="3"/>
  <c r="AW37" i="3"/>
  <c r="N75" i="4"/>
  <c r="M75" i="4"/>
  <c r="M69" i="4"/>
  <c r="N69" i="4"/>
  <c r="N73" i="4"/>
  <c r="Z70" i="4"/>
  <c r="Y70" i="4"/>
  <c r="S70" i="4"/>
  <c r="Q70" i="4"/>
  <c r="N74" i="4" l="1"/>
  <c r="O74" i="4" s="1"/>
  <c r="H71" i="4" s="1"/>
  <c r="D71" i="4" s="1"/>
  <c r="O75" i="4"/>
  <c r="P70" i="4"/>
  <c r="N78" i="4"/>
  <c r="O78" i="4" s="1"/>
  <c r="H72" i="4" s="1"/>
  <c r="D72" i="4" s="1"/>
  <c r="K5" i="16"/>
  <c r="K13" i="16" s="1"/>
  <c r="M13" i="16"/>
  <c r="N14" i="16"/>
  <c r="O13" i="16"/>
  <c r="Q11" i="16"/>
  <c r="R14" i="16"/>
  <c r="S11" i="16"/>
  <c r="Z11" i="16"/>
  <c r="AA13" i="16"/>
  <c r="AE11" i="16"/>
  <c r="AF14" i="16"/>
  <c r="AG13" i="16"/>
  <c r="AI13" i="16"/>
  <c r="AJ14" i="16"/>
  <c r="AK13" i="16"/>
  <c r="AM11" i="16"/>
  <c r="AN14" i="16"/>
  <c r="AO13" i="16"/>
  <c r="AQ11" i="16"/>
  <c r="AR14" i="16"/>
  <c r="AS13" i="16"/>
  <c r="AU11" i="16"/>
  <c r="F10" i="16"/>
  <c r="H10" i="16"/>
  <c r="K11" i="16"/>
  <c r="M11" i="16"/>
  <c r="P11" i="16"/>
  <c r="U11" i="16"/>
  <c r="AD11" i="16"/>
  <c r="AH11" i="16"/>
  <c r="AL11" i="16"/>
  <c r="AP11" i="16"/>
  <c r="AT11" i="16"/>
  <c r="K12" i="16"/>
  <c r="M12" i="16"/>
  <c r="N12" i="16"/>
  <c r="O12" i="16"/>
  <c r="P12" i="16"/>
  <c r="Q12" i="16"/>
  <c r="R12" i="16"/>
  <c r="S12" i="16"/>
  <c r="U12" i="16"/>
  <c r="Y12" i="16"/>
  <c r="Z12" i="16"/>
  <c r="AA12" i="16"/>
  <c r="AD12" i="16"/>
  <c r="AE12" i="16"/>
  <c r="AF12" i="16"/>
  <c r="AG12" i="16"/>
  <c r="AH12" i="16"/>
  <c r="AI12" i="16"/>
  <c r="AJ12" i="16"/>
  <c r="AK12" i="16"/>
  <c r="AL12" i="16"/>
  <c r="AM12" i="16"/>
  <c r="AN12" i="16"/>
  <c r="AO12" i="16"/>
  <c r="AP12" i="16"/>
  <c r="AQ12" i="16"/>
  <c r="AR12" i="16"/>
  <c r="AS12" i="16"/>
  <c r="AT12" i="16"/>
  <c r="AU12" i="16"/>
  <c r="P13" i="16"/>
  <c r="S13" i="16"/>
  <c r="U13" i="16"/>
  <c r="Z13" i="16"/>
  <c r="AD13" i="16"/>
  <c r="AF13" i="16"/>
  <c r="AH13" i="16"/>
  <c r="AL13" i="16"/>
  <c r="AP13" i="16"/>
  <c r="AT13" i="16"/>
  <c r="K14" i="16"/>
  <c r="P14" i="16"/>
  <c r="U14" i="16"/>
  <c r="Z14" i="16"/>
  <c r="AD14" i="16"/>
  <c r="AH14" i="16"/>
  <c r="AL14" i="16"/>
  <c r="AP14" i="16"/>
  <c r="AT14" i="16"/>
  <c r="H15" i="16"/>
  <c r="H16" i="16"/>
  <c r="H17" i="16"/>
  <c r="F17" i="16" s="1"/>
  <c r="O18" i="16"/>
  <c r="P18" i="16"/>
  <c r="Q18" i="16"/>
  <c r="R18" i="16"/>
  <c r="S18" i="16"/>
  <c r="U18" i="16"/>
  <c r="Y18" i="16"/>
  <c r="Z18" i="16"/>
  <c r="AA18" i="16"/>
  <c r="AD18" i="16"/>
  <c r="AE18" i="16"/>
  <c r="AF18" i="16"/>
  <c r="AG18" i="16"/>
  <c r="AH18" i="16"/>
  <c r="AI18" i="16"/>
  <c r="AJ18" i="16"/>
  <c r="AK18" i="16"/>
  <c r="AL18" i="16"/>
  <c r="AM18" i="16"/>
  <c r="AN18" i="16"/>
  <c r="AO18" i="16"/>
  <c r="AP18" i="16"/>
  <c r="AQ18" i="16"/>
  <c r="AR18" i="16"/>
  <c r="AS18" i="16"/>
  <c r="AT18" i="16"/>
  <c r="AU18" i="16"/>
  <c r="K19" i="16"/>
  <c r="M19" i="16"/>
  <c r="N19" i="16"/>
  <c r="O19" i="16"/>
  <c r="P19" i="16"/>
  <c r="Q19" i="16"/>
  <c r="R19" i="16"/>
  <c r="S19" i="16"/>
  <c r="U19" i="16"/>
  <c r="Y19" i="16"/>
  <c r="Z19" i="16"/>
  <c r="AA19" i="16"/>
  <c r="AD19" i="16"/>
  <c r="AE19" i="16"/>
  <c r="AF19" i="16"/>
  <c r="AG19" i="16"/>
  <c r="AH19" i="16"/>
  <c r="AI19" i="16"/>
  <c r="AJ19" i="16"/>
  <c r="AK19" i="16"/>
  <c r="AL19" i="16"/>
  <c r="AM19" i="16"/>
  <c r="AN19" i="16"/>
  <c r="AO19" i="16"/>
  <c r="AP19" i="16"/>
  <c r="AQ19" i="16"/>
  <c r="AR19" i="16"/>
  <c r="AS19" i="16"/>
  <c r="AT19" i="16"/>
  <c r="AU19" i="16"/>
  <c r="K20" i="16"/>
  <c r="M20" i="16"/>
  <c r="N20" i="16"/>
  <c r="O20" i="16"/>
  <c r="P20" i="16"/>
  <c r="Q20" i="16"/>
  <c r="R20" i="16"/>
  <c r="S20" i="16"/>
  <c r="U20" i="16"/>
  <c r="Y20" i="16"/>
  <c r="Z20" i="16"/>
  <c r="AA20" i="16"/>
  <c r="AD20" i="16"/>
  <c r="AE20" i="16"/>
  <c r="AF20" i="16"/>
  <c r="AG20" i="16"/>
  <c r="AH20" i="16"/>
  <c r="AI20" i="16"/>
  <c r="AJ20" i="16"/>
  <c r="AK20" i="16"/>
  <c r="AL20" i="16"/>
  <c r="AM20" i="16"/>
  <c r="AN20" i="16"/>
  <c r="AO20" i="16"/>
  <c r="AP20" i="16"/>
  <c r="AQ20" i="16"/>
  <c r="AR20" i="16"/>
  <c r="AS20" i="16"/>
  <c r="AT20" i="16"/>
  <c r="AU20" i="16"/>
  <c r="K21" i="16"/>
  <c r="M21" i="16"/>
  <c r="N21" i="16"/>
  <c r="O21" i="16"/>
  <c r="P21" i="16"/>
  <c r="Q21" i="16"/>
  <c r="R21" i="16"/>
  <c r="S21" i="16"/>
  <c r="U21" i="16"/>
  <c r="Y21" i="16"/>
  <c r="Z21" i="16"/>
  <c r="AA21" i="16"/>
  <c r="AD21" i="16"/>
  <c r="AE21" i="16"/>
  <c r="AF21" i="16"/>
  <c r="AG21" i="16"/>
  <c r="AH21" i="16"/>
  <c r="AI21" i="16"/>
  <c r="AJ21" i="16"/>
  <c r="AK21" i="16"/>
  <c r="AL21" i="16"/>
  <c r="AM21" i="16"/>
  <c r="AN21" i="16"/>
  <c r="AO21" i="16"/>
  <c r="AP21" i="16"/>
  <c r="AQ21" i="16"/>
  <c r="AR21" i="16"/>
  <c r="AS21" i="16"/>
  <c r="AT21" i="16"/>
  <c r="AU21" i="16"/>
  <c r="F22" i="16"/>
  <c r="K22" i="16"/>
  <c r="M22" i="16"/>
  <c r="N22" i="16"/>
  <c r="O22" i="16"/>
  <c r="P22" i="16"/>
  <c r="Q22" i="16"/>
  <c r="R22" i="16"/>
  <c r="S22" i="16"/>
  <c r="U22" i="16"/>
  <c r="Y22" i="16"/>
  <c r="Z22" i="16"/>
  <c r="AA22" i="16"/>
  <c r="AD22" i="16"/>
  <c r="AE22" i="16"/>
  <c r="AF22" i="16"/>
  <c r="AG22" i="16"/>
  <c r="AH22" i="16"/>
  <c r="AI22" i="16"/>
  <c r="AJ22" i="16"/>
  <c r="AK22" i="16"/>
  <c r="AL22" i="16"/>
  <c r="AM22" i="16"/>
  <c r="AN22" i="16"/>
  <c r="AO22" i="16"/>
  <c r="AP22" i="16"/>
  <c r="AQ22" i="16"/>
  <c r="AR22" i="16"/>
  <c r="AS22" i="16"/>
  <c r="AT22" i="16"/>
  <c r="AU22" i="16"/>
  <c r="F23" i="16"/>
  <c r="K23" i="16"/>
  <c r="M23" i="16"/>
  <c r="N23" i="16"/>
  <c r="O23" i="16"/>
  <c r="P23" i="16"/>
  <c r="Q23" i="16"/>
  <c r="R23" i="16"/>
  <c r="S23" i="16"/>
  <c r="U23" i="16"/>
  <c r="Y23" i="16"/>
  <c r="Z23" i="16"/>
  <c r="AA23" i="16"/>
  <c r="AD23" i="16"/>
  <c r="AE23" i="16"/>
  <c r="AF23" i="16"/>
  <c r="AG23" i="16"/>
  <c r="AH23" i="16"/>
  <c r="AI23" i="16"/>
  <c r="AJ23" i="16"/>
  <c r="AK23" i="16"/>
  <c r="AL23" i="16"/>
  <c r="AM23" i="16"/>
  <c r="AN23" i="16"/>
  <c r="AO23" i="16"/>
  <c r="AP23" i="16"/>
  <c r="AQ23" i="16"/>
  <c r="AR23" i="16"/>
  <c r="AS23" i="16"/>
  <c r="AT23" i="16"/>
  <c r="AU23" i="16"/>
  <c r="F24" i="16"/>
  <c r="K24" i="16"/>
  <c r="M24" i="16"/>
  <c r="N24" i="16"/>
  <c r="O24" i="16"/>
  <c r="P24" i="16"/>
  <c r="Q24" i="16"/>
  <c r="R24" i="16"/>
  <c r="S24" i="16"/>
  <c r="U24" i="16"/>
  <c r="Y24" i="16"/>
  <c r="Z24" i="16"/>
  <c r="AA24" i="16"/>
  <c r="AD24" i="16"/>
  <c r="AE24" i="16"/>
  <c r="AF24" i="16"/>
  <c r="AG24" i="16"/>
  <c r="AH24" i="16"/>
  <c r="AI24" i="16"/>
  <c r="AJ24" i="16"/>
  <c r="AK24" i="16"/>
  <c r="AL24" i="16"/>
  <c r="AM24" i="16"/>
  <c r="AN24" i="16"/>
  <c r="AO24" i="16"/>
  <c r="AP24" i="16"/>
  <c r="AQ24" i="16"/>
  <c r="AR24" i="16"/>
  <c r="AS24" i="16"/>
  <c r="AT24" i="16"/>
  <c r="AU24" i="16"/>
  <c r="F26" i="16"/>
  <c r="H26" i="16"/>
  <c r="K44" i="16"/>
  <c r="M27" i="16"/>
  <c r="M44" i="16" s="1"/>
  <c r="N27" i="16"/>
  <c r="N44" i="16" s="1"/>
  <c r="O27" i="16"/>
  <c r="O44" i="16" s="1"/>
  <c r="P27" i="16"/>
  <c r="P44" i="16" s="1"/>
  <c r="Q27" i="16"/>
  <c r="Q44" i="16" s="1"/>
  <c r="R27" i="16"/>
  <c r="R44" i="16" s="1"/>
  <c r="S27" i="16"/>
  <c r="S44" i="16" s="1"/>
  <c r="U27" i="16"/>
  <c r="U44" i="16" s="1"/>
  <c r="Y27" i="16"/>
  <c r="Y44" i="16" s="1"/>
  <c r="Z27" i="16"/>
  <c r="Z44" i="16" s="1"/>
  <c r="AA27" i="16"/>
  <c r="AA44" i="16" s="1"/>
  <c r="AD27" i="16"/>
  <c r="AD44" i="16" s="1"/>
  <c r="AE27" i="16"/>
  <c r="AE44" i="16" s="1"/>
  <c r="AF27" i="16"/>
  <c r="AF44" i="16" s="1"/>
  <c r="AG27" i="16"/>
  <c r="AG44" i="16" s="1"/>
  <c r="AH27" i="16"/>
  <c r="AH44" i="16" s="1"/>
  <c r="AI27" i="16"/>
  <c r="AI44" i="16" s="1"/>
  <c r="AJ27" i="16"/>
  <c r="AJ44" i="16" s="1"/>
  <c r="AK27" i="16"/>
  <c r="AK44" i="16" s="1"/>
  <c r="AL27" i="16"/>
  <c r="AL44" i="16" s="1"/>
  <c r="AM27" i="16"/>
  <c r="AM44" i="16" s="1"/>
  <c r="AN27" i="16"/>
  <c r="AN44" i="16" s="1"/>
  <c r="AO27" i="16"/>
  <c r="AO44" i="16" s="1"/>
  <c r="AP27" i="16"/>
  <c r="AP44" i="16" s="1"/>
  <c r="AQ27" i="16"/>
  <c r="AQ44" i="16" s="1"/>
  <c r="AR27" i="16"/>
  <c r="AR44" i="16" s="1"/>
  <c r="AS27" i="16"/>
  <c r="AS44" i="16" s="1"/>
  <c r="AT27" i="16"/>
  <c r="AT44" i="16" s="1"/>
  <c r="AU27" i="16"/>
  <c r="AU44" i="16" s="1"/>
  <c r="H29" i="16"/>
  <c r="F30" i="16"/>
  <c r="H30" i="16"/>
  <c r="F31" i="16"/>
  <c r="H31" i="16"/>
  <c r="F32" i="16"/>
  <c r="H32" i="16"/>
  <c r="F33" i="16"/>
  <c r="H33" i="16"/>
  <c r="F34" i="16"/>
  <c r="H34" i="16"/>
  <c r="F35" i="16"/>
  <c r="H35" i="16"/>
  <c r="F36" i="16"/>
  <c r="H36" i="16"/>
  <c r="F37" i="16"/>
  <c r="H37" i="16"/>
  <c r="F38" i="16"/>
  <c r="H38" i="16"/>
  <c r="F40" i="16"/>
  <c r="H40" i="16"/>
  <c r="F41" i="16"/>
  <c r="H41" i="16"/>
  <c r="F42" i="16"/>
  <c r="H42" i="16"/>
  <c r="F43" i="16"/>
  <c r="H43" i="16"/>
  <c r="K6" i="3"/>
  <c r="K4" i="3"/>
  <c r="H21" i="16" l="1"/>
  <c r="D21" i="16" s="1"/>
  <c r="H20" i="16"/>
  <c r="D20" i="16" s="1"/>
  <c r="H70" i="4"/>
  <c r="D70" i="4" s="1"/>
  <c r="AQ14" i="16"/>
  <c r="AT25" i="16"/>
  <c r="AU13" i="16"/>
  <c r="AU25" i="16" s="1"/>
  <c r="Q14" i="16"/>
  <c r="Q13" i="16"/>
  <c r="Q25" i="16" s="1"/>
  <c r="Y11" i="16"/>
  <c r="AD25" i="16"/>
  <c r="AQ13" i="16"/>
  <c r="AQ25" i="16" s="1"/>
  <c r="Y13" i="16"/>
  <c r="AI11" i="16"/>
  <c r="AI28" i="16" s="1"/>
  <c r="AI14" i="16"/>
  <c r="AE13" i="16"/>
  <c r="AE28" i="16" s="1"/>
  <c r="P25" i="16"/>
  <c r="AI25" i="16"/>
  <c r="M25" i="16"/>
  <c r="M28" i="16"/>
  <c r="M18" i="16"/>
  <c r="AL25" i="16"/>
  <c r="H22" i="16"/>
  <c r="AN13" i="16"/>
  <c r="N13" i="16"/>
  <c r="AP25" i="16"/>
  <c r="AH25" i="16"/>
  <c r="U25" i="16"/>
  <c r="H24" i="16"/>
  <c r="F19" i="16"/>
  <c r="AJ13" i="16"/>
  <c r="H23" i="16"/>
  <c r="AU14" i="16"/>
  <c r="AM14" i="16"/>
  <c r="AE14" i="16"/>
  <c r="M14" i="16"/>
  <c r="AR13" i="16"/>
  <c r="AM13" i="16"/>
  <c r="AM25" i="16" s="1"/>
  <c r="R13" i="16"/>
  <c r="H12" i="16"/>
  <c r="H44" i="16"/>
  <c r="S25" i="16"/>
  <c r="S28" i="16"/>
  <c r="Z25" i="16"/>
  <c r="Z28" i="16"/>
  <c r="H27" i="16"/>
  <c r="AO11" i="16"/>
  <c r="AA11" i="16"/>
  <c r="AT28" i="16"/>
  <c r="AP28" i="16"/>
  <c r="AL28" i="16"/>
  <c r="AH28" i="16"/>
  <c r="AD28" i="16"/>
  <c r="U28" i="16"/>
  <c r="P28" i="16"/>
  <c r="K28" i="16"/>
  <c r="K25" i="16"/>
  <c r="K18" i="16"/>
  <c r="AS14" i="16"/>
  <c r="AO14" i="16"/>
  <c r="AK14" i="16"/>
  <c r="AG14" i="16"/>
  <c r="AA14" i="16"/>
  <c r="O14" i="16"/>
  <c r="AR11" i="16"/>
  <c r="AN11" i="16"/>
  <c r="AJ11" i="16"/>
  <c r="AF11" i="16"/>
  <c r="R11" i="16"/>
  <c r="N11" i="16"/>
  <c r="AS11" i="16"/>
  <c r="AK11" i="16"/>
  <c r="AG11" i="16"/>
  <c r="O11" i="16"/>
  <c r="F52" i="1"/>
  <c r="F53" i="1"/>
  <c r="H11" i="16" l="1"/>
  <c r="Q28" i="16"/>
  <c r="AU28" i="16"/>
  <c r="D27" i="16"/>
  <c r="F27" i="16" s="1"/>
  <c r="F20" i="16"/>
  <c r="D44" i="16"/>
  <c r="F44" i="16" s="1"/>
  <c r="F21" i="16"/>
  <c r="D12" i="16"/>
  <c r="F12" i="16" s="1"/>
  <c r="AQ28" i="16"/>
  <c r="AE25" i="16"/>
  <c r="Y25" i="16"/>
  <c r="AM28" i="16"/>
  <c r="Y28" i="16"/>
  <c r="H13" i="16"/>
  <c r="H14" i="16"/>
  <c r="AG25" i="16"/>
  <c r="AG28" i="16"/>
  <c r="AK25" i="16"/>
  <c r="AK28" i="16"/>
  <c r="AF25" i="16"/>
  <c r="AF28" i="16"/>
  <c r="AA25" i="16"/>
  <c r="AA28" i="16"/>
  <c r="O25" i="16"/>
  <c r="O28" i="16"/>
  <c r="N18" i="16"/>
  <c r="N25" i="16"/>
  <c r="N28" i="16"/>
  <c r="AN25" i="16"/>
  <c r="AN28" i="16"/>
  <c r="R25" i="16"/>
  <c r="R28" i="16"/>
  <c r="AR25" i="16"/>
  <c r="AR28" i="16"/>
  <c r="AS25" i="16"/>
  <c r="AS28" i="16"/>
  <c r="AJ25" i="16"/>
  <c r="AJ28" i="16"/>
  <c r="AO25" i="16"/>
  <c r="AO28" i="16"/>
  <c r="F16" i="12"/>
  <c r="F14" i="12"/>
  <c r="F13" i="12"/>
  <c r="F126" i="11"/>
  <c r="F125" i="11"/>
  <c r="F124" i="11"/>
  <c r="F120" i="11"/>
  <c r="F121" i="11"/>
  <c r="F122" i="11"/>
  <c r="F114" i="11"/>
  <c r="F113" i="11"/>
  <c r="F112" i="11"/>
  <c r="F111" i="11"/>
  <c r="F110" i="11"/>
  <c r="F109" i="11"/>
  <c r="F108" i="11"/>
  <c r="F107" i="11"/>
  <c r="F106" i="11"/>
  <c r="F105" i="11"/>
  <c r="F104" i="11"/>
  <c r="F103" i="11"/>
  <c r="F102" i="11"/>
  <c r="F96" i="11"/>
  <c r="F97" i="11"/>
  <c r="F98" i="11"/>
  <c r="F99" i="11"/>
  <c r="F100" i="11"/>
  <c r="F95" i="11"/>
  <c r="F92" i="11"/>
  <c r="F90" i="11"/>
  <c r="F89" i="11"/>
  <c r="F88" i="11"/>
  <c r="F87" i="11"/>
  <c r="F86" i="11"/>
  <c r="F85" i="11"/>
  <c r="F84" i="11"/>
  <c r="F83" i="11"/>
  <c r="F82" i="11"/>
  <c r="F81" i="11"/>
  <c r="F80" i="11"/>
  <c r="F79" i="11"/>
  <c r="F78" i="11"/>
  <c r="F77" i="11"/>
  <c r="F75" i="11"/>
  <c r="F74" i="11"/>
  <c r="F73" i="11"/>
  <c r="F72" i="11"/>
  <c r="F71" i="11"/>
  <c r="F70" i="11"/>
  <c r="F69" i="11"/>
  <c r="F68" i="11"/>
  <c r="F67" i="11"/>
  <c r="F66" i="11"/>
  <c r="F65" i="11"/>
  <c r="F64" i="11"/>
  <c r="F63" i="11"/>
  <c r="F62" i="11"/>
  <c r="F52" i="11"/>
  <c r="F53" i="11"/>
  <c r="F54" i="11"/>
  <c r="F55" i="11"/>
  <c r="F56" i="11"/>
  <c r="F57" i="11"/>
  <c r="F58" i="11"/>
  <c r="F59" i="11"/>
  <c r="F60" i="11"/>
  <c r="F40" i="11"/>
  <c r="F41" i="11"/>
  <c r="F42" i="11"/>
  <c r="F43" i="11"/>
  <c r="F44" i="11"/>
  <c r="F45" i="11"/>
  <c r="F46" i="11"/>
  <c r="F47" i="11"/>
  <c r="F48" i="11"/>
  <c r="F14" i="11"/>
  <c r="F15" i="11"/>
  <c r="F16" i="11"/>
  <c r="F17" i="11"/>
  <c r="F18" i="11"/>
  <c r="F20" i="11"/>
  <c r="F21" i="11"/>
  <c r="F23" i="11"/>
  <c r="F25" i="11"/>
  <c r="F29" i="11"/>
  <c r="F30" i="11"/>
  <c r="F34" i="11"/>
  <c r="F36" i="11"/>
  <c r="F37" i="11"/>
  <c r="F38" i="11"/>
  <c r="F39" i="11"/>
  <c r="F13" i="11"/>
  <c r="F36" i="10"/>
  <c r="F35" i="10"/>
  <c r="F34" i="10"/>
  <c r="F33" i="10"/>
  <c r="F31" i="10"/>
  <c r="F30" i="10"/>
  <c r="F29" i="10"/>
  <c r="F28" i="10"/>
  <c r="F27" i="10"/>
  <c r="F26" i="10"/>
  <c r="F25" i="10"/>
  <c r="F24" i="10"/>
  <c r="F23" i="10"/>
  <c r="F22" i="10"/>
  <c r="F21" i="10"/>
  <c r="F20" i="10"/>
  <c r="F19" i="10"/>
  <c r="F17" i="10"/>
  <c r="F16" i="10"/>
  <c r="F15" i="10"/>
  <c r="F14" i="10"/>
  <c r="F13" i="10"/>
  <c r="F12" i="10"/>
  <c r="F11" i="10"/>
  <c r="F10" i="10"/>
  <c r="F48" i="9"/>
  <c r="F47" i="9"/>
  <c r="F46" i="9"/>
  <c r="F45" i="9"/>
  <c r="F43" i="9"/>
  <c r="F42" i="9"/>
  <c r="F41" i="9"/>
  <c r="F40" i="9"/>
  <c r="F39" i="9"/>
  <c r="F37" i="9"/>
  <c r="F36" i="9"/>
  <c r="F35" i="9"/>
  <c r="F34" i="9"/>
  <c r="F33" i="9"/>
  <c r="F32" i="9"/>
  <c r="F30" i="9"/>
  <c r="F29" i="9"/>
  <c r="F28" i="9"/>
  <c r="F27" i="9"/>
  <c r="F26" i="9"/>
  <c r="F25" i="9"/>
  <c r="F24" i="9"/>
  <c r="F23" i="9"/>
  <c r="F22" i="9"/>
  <c r="F21" i="9"/>
  <c r="F20" i="9"/>
  <c r="F19" i="9"/>
  <c r="F18" i="9"/>
  <c r="F17" i="9"/>
  <c r="F16" i="9"/>
  <c r="F15" i="9"/>
  <c r="F14" i="9"/>
  <c r="F13" i="9"/>
  <c r="F12" i="9"/>
  <c r="F11" i="9"/>
  <c r="F66" i="8"/>
  <c r="F65" i="8"/>
  <c r="F64" i="8"/>
  <c r="F63" i="8"/>
  <c r="F62" i="8"/>
  <c r="F61" i="8"/>
  <c r="F59" i="8"/>
  <c r="F58" i="8"/>
  <c r="F57" i="8"/>
  <c r="F56" i="8"/>
  <c r="F55" i="8"/>
  <c r="F53" i="8"/>
  <c r="F52" i="8"/>
  <c r="F51" i="8"/>
  <c r="F49" i="8"/>
  <c r="F48" i="8"/>
  <c r="F47" i="8"/>
  <c r="F46" i="8"/>
  <c r="F45" i="8"/>
  <c r="F44" i="8"/>
  <c r="F43" i="8"/>
  <c r="F42" i="8"/>
  <c r="F40" i="8"/>
  <c r="F39" i="8"/>
  <c r="F38" i="8"/>
  <c r="F37" i="8"/>
  <c r="F36" i="8"/>
  <c r="F35" i="8"/>
  <c r="F34" i="8"/>
  <c r="F33" i="8"/>
  <c r="F32" i="8"/>
  <c r="F31" i="8"/>
  <c r="F30" i="8"/>
  <c r="F18" i="8"/>
  <c r="F19" i="8"/>
  <c r="F20" i="8"/>
  <c r="F21" i="8"/>
  <c r="F22" i="8"/>
  <c r="F23" i="8"/>
  <c r="F24" i="8"/>
  <c r="F26" i="8"/>
  <c r="F27" i="8"/>
  <c r="F15" i="8"/>
  <c r="F16" i="8"/>
  <c r="F17" i="8"/>
  <c r="F13" i="8"/>
  <c r="F12" i="8"/>
  <c r="F22" i="7"/>
  <c r="F21" i="7"/>
  <c r="F19" i="7"/>
  <c r="F18" i="7"/>
  <c r="F17" i="7"/>
  <c r="F15" i="7"/>
  <c r="F14" i="7"/>
  <c r="F13" i="7"/>
  <c r="F12" i="7"/>
  <c r="F11" i="7"/>
  <c r="F33" i="6"/>
  <c r="F32" i="6"/>
  <c r="F31" i="6"/>
  <c r="F30" i="6"/>
  <c r="F29" i="6"/>
  <c r="F28" i="6"/>
  <c r="F27" i="6"/>
  <c r="F26" i="6"/>
  <c r="F25" i="6"/>
  <c r="F24" i="6"/>
  <c r="F23" i="6"/>
  <c r="F22" i="6"/>
  <c r="F21" i="6"/>
  <c r="F20" i="6"/>
  <c r="F19" i="6"/>
  <c r="F17" i="6"/>
  <c r="F16" i="6"/>
  <c r="F15" i="6"/>
  <c r="F14" i="6"/>
  <c r="F13" i="6"/>
  <c r="F12" i="6"/>
  <c r="F11" i="6"/>
  <c r="F30" i="5"/>
  <c r="F28" i="5"/>
  <c r="F27" i="5"/>
  <c r="F14" i="5"/>
  <c r="F17" i="5"/>
  <c r="F18" i="5"/>
  <c r="F19" i="5"/>
  <c r="F20" i="5"/>
  <c r="F22" i="5"/>
  <c r="F23" i="5"/>
  <c r="F11" i="5"/>
  <c r="F70" i="4"/>
  <c r="F71" i="4"/>
  <c r="F72" i="4"/>
  <c r="F73" i="4"/>
  <c r="F74" i="4"/>
  <c r="F62" i="4"/>
  <c r="F63" i="4"/>
  <c r="F64" i="4"/>
  <c r="F65" i="4"/>
  <c r="F68" i="4"/>
  <c r="F69" i="4"/>
  <c r="F59" i="4"/>
  <c r="F61" i="4"/>
  <c r="F53" i="4"/>
  <c r="F54" i="4"/>
  <c r="F55" i="4"/>
  <c r="F56" i="4"/>
  <c r="F57" i="4"/>
  <c r="F58" i="4"/>
  <c r="F50" i="4"/>
  <c r="F52" i="4"/>
  <c r="F37" i="4"/>
  <c r="F38" i="4"/>
  <c r="F39" i="4"/>
  <c r="F40" i="4"/>
  <c r="F41" i="4"/>
  <c r="F42" i="4"/>
  <c r="F43" i="4"/>
  <c r="F44" i="4"/>
  <c r="F45" i="4"/>
  <c r="F46" i="4"/>
  <c r="F47" i="4"/>
  <c r="F48" i="4"/>
  <c r="F49" i="4"/>
  <c r="F32" i="4"/>
  <c r="F33" i="4"/>
  <c r="F34" i="4"/>
  <c r="F36" i="4"/>
  <c r="F27" i="4"/>
  <c r="F18" i="4"/>
  <c r="F21" i="4"/>
  <c r="F22" i="4"/>
  <c r="F23" i="4"/>
  <c r="F24" i="4"/>
  <c r="F13" i="4"/>
  <c r="F12" i="4"/>
  <c r="F110" i="3"/>
  <c r="F109" i="3"/>
  <c r="F108" i="3"/>
  <c r="F107" i="3"/>
  <c r="F82" i="3"/>
  <c r="F83" i="3"/>
  <c r="F84" i="3"/>
  <c r="F85" i="3"/>
  <c r="F86" i="3"/>
  <c r="F87" i="3"/>
  <c r="F88" i="3"/>
  <c r="F89" i="3"/>
  <c r="F90" i="3"/>
  <c r="F91" i="3"/>
  <c r="F92" i="3"/>
  <c r="F93" i="3"/>
  <c r="F94" i="3"/>
  <c r="F95" i="3"/>
  <c r="F96" i="3"/>
  <c r="F97" i="3"/>
  <c r="F98" i="3"/>
  <c r="F99" i="3"/>
  <c r="F100" i="3"/>
  <c r="F101" i="3"/>
  <c r="F102" i="3"/>
  <c r="F103" i="3"/>
  <c r="F104" i="3"/>
  <c r="F105" i="3"/>
  <c r="F81" i="3"/>
  <c r="F71" i="3"/>
  <c r="F72" i="3"/>
  <c r="F73" i="3"/>
  <c r="F74" i="3"/>
  <c r="F75" i="3"/>
  <c r="F76" i="3"/>
  <c r="F77" i="3"/>
  <c r="F78" i="3"/>
  <c r="F79" i="3"/>
  <c r="F65" i="3"/>
  <c r="F66" i="3"/>
  <c r="F67" i="3"/>
  <c r="F69" i="3"/>
  <c r="F70" i="3"/>
  <c r="F56" i="3"/>
  <c r="F57" i="3"/>
  <c r="F58" i="3"/>
  <c r="F59" i="3"/>
  <c r="F60" i="3"/>
  <c r="H55" i="3"/>
  <c r="F51" i="3"/>
  <c r="F50" i="3"/>
  <c r="F49" i="3"/>
  <c r="F48" i="3"/>
  <c r="F47" i="3"/>
  <c r="F46" i="3"/>
  <c r="F45" i="3"/>
  <c r="F44" i="3"/>
  <c r="F43" i="3"/>
  <c r="F42" i="3"/>
  <c r="F41" i="3"/>
  <c r="F36" i="3"/>
  <c r="F38" i="3"/>
  <c r="F35" i="3"/>
  <c r="F28" i="3"/>
  <c r="F26" i="3"/>
  <c r="F25" i="3"/>
  <c r="F24" i="3"/>
  <c r="F23" i="3"/>
  <c r="F22" i="3"/>
  <c r="F21" i="3"/>
  <c r="F20" i="3"/>
  <c r="F19" i="3"/>
  <c r="F18" i="3"/>
  <c r="F16" i="3"/>
  <c r="F15" i="3"/>
  <c r="F14" i="3"/>
  <c r="F13" i="3"/>
  <c r="F12" i="3"/>
  <c r="F11" i="3"/>
  <c r="F71" i="1"/>
  <c r="F69" i="1"/>
  <c r="F70" i="1"/>
  <c r="F66" i="1"/>
  <c r="F67" i="1"/>
  <c r="F68" i="1"/>
  <c r="F61" i="1"/>
  <c r="F62" i="1"/>
  <c r="F64" i="1"/>
  <c r="F65" i="1"/>
  <c r="F54" i="1"/>
  <c r="F55" i="1"/>
  <c r="F56" i="1"/>
  <c r="F57" i="1"/>
  <c r="F58" i="1"/>
  <c r="F59" i="1"/>
  <c r="F60" i="1"/>
  <c r="F49" i="1"/>
  <c r="F50" i="1"/>
  <c r="F51" i="1"/>
  <c r="F45" i="1"/>
  <c r="F46" i="1"/>
  <c r="F47" i="1"/>
  <c r="F48" i="1"/>
  <c r="F38" i="1"/>
  <c r="F39" i="1"/>
  <c r="F40" i="1"/>
  <c r="F41" i="1"/>
  <c r="F42" i="1"/>
  <c r="F43" i="1"/>
  <c r="F44" i="1"/>
  <c r="F37" i="1"/>
  <c r="F30" i="1"/>
  <c r="F31" i="1"/>
  <c r="F32" i="1"/>
  <c r="F33" i="1"/>
  <c r="F34" i="1"/>
  <c r="F29" i="1"/>
  <c r="F24" i="1"/>
  <c r="F25" i="1"/>
  <c r="F26" i="1"/>
  <c r="F22" i="1"/>
  <c r="F23" i="1"/>
  <c r="F16" i="1"/>
  <c r="F17" i="1"/>
  <c r="F18" i="1"/>
  <c r="F19" i="1"/>
  <c r="F20" i="1"/>
  <c r="F21" i="1"/>
  <c r="F11" i="1"/>
  <c r="F12" i="1"/>
  <c r="F13" i="1"/>
  <c r="F15" i="1"/>
  <c r="F10" i="1"/>
  <c r="F31" i="11"/>
  <c r="H18" i="16" l="1"/>
  <c r="D18" i="16" s="1"/>
  <c r="F18" i="16" s="1"/>
  <c r="F11" i="16"/>
  <c r="L12" i="11"/>
  <c r="K24" i="11"/>
  <c r="L19" i="11"/>
  <c r="L11" i="11"/>
  <c r="D13" i="16"/>
  <c r="F13" i="16" s="1"/>
  <c r="D14" i="16"/>
  <c r="F14" i="16" s="1"/>
  <c r="F34" i="6"/>
  <c r="F25" i="7"/>
  <c r="F49" i="9"/>
  <c r="F37" i="10"/>
  <c r="H28" i="16"/>
  <c r="H25" i="16"/>
  <c r="K21" i="5"/>
  <c r="K26" i="5"/>
  <c r="K29" i="5" s="1"/>
  <c r="K25" i="5"/>
  <c r="AT28" i="4"/>
  <c r="AU28" i="4"/>
  <c r="AU29" i="4" s="1"/>
  <c r="AT30" i="4"/>
  <c r="AU30" i="4"/>
  <c r="AT31" i="4"/>
  <c r="AU31" i="4"/>
  <c r="K15" i="5" l="1"/>
  <c r="H15" i="5" s="1"/>
  <c r="K16" i="5"/>
  <c r="H16" i="5" s="1"/>
  <c r="D16" i="5" s="1"/>
  <c r="F16" i="5" s="1"/>
  <c r="H30" i="4"/>
  <c r="D30" i="4" s="1"/>
  <c r="F30" i="4" s="1"/>
  <c r="H31" i="4"/>
  <c r="D31" i="4" s="1"/>
  <c r="F31" i="4" s="1"/>
  <c r="AT29" i="4"/>
  <c r="H29" i="4" s="1"/>
  <c r="D29" i="4" s="1"/>
  <c r="F29" i="4" s="1"/>
  <c r="D28" i="4"/>
  <c r="F28" i="4" s="1"/>
  <c r="D15" i="5"/>
  <c r="F15" i="5" s="1"/>
  <c r="D25" i="16"/>
  <c r="F25" i="16" s="1"/>
  <c r="D28" i="16"/>
  <c r="F28" i="16" s="1"/>
  <c r="Q3" i="4"/>
  <c r="R3" i="4"/>
  <c r="F45" i="16" l="1"/>
  <c r="D40" i="3"/>
  <c r="M28" i="1"/>
  <c r="L28" i="1"/>
  <c r="H18" i="4"/>
  <c r="K17" i="4"/>
  <c r="H17" i="4" s="1"/>
  <c r="K16" i="4"/>
  <c r="H16" i="4" s="1"/>
  <c r="F16" i="4" l="1"/>
  <c r="F17" i="4"/>
  <c r="J67" i="4"/>
  <c r="H82" i="3"/>
  <c r="F51" i="11" l="1"/>
  <c r="F50" i="11"/>
  <c r="F93" i="11"/>
  <c r="F91" i="11"/>
  <c r="F76" i="11"/>
  <c r="K14" i="8"/>
  <c r="H14" i="8" s="1"/>
  <c r="P17" i="5"/>
  <c r="P19" i="5"/>
  <c r="P16" i="5"/>
  <c r="BN32" i="4"/>
  <c r="H54" i="3"/>
  <c r="K3" i="3"/>
  <c r="K5" i="3" s="1"/>
  <c r="K61" i="3" s="1"/>
  <c r="H34" i="3"/>
  <c r="F34" i="3" s="1"/>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1" i="3"/>
  <c r="H80" i="3"/>
  <c r="H79" i="3"/>
  <c r="H78" i="3"/>
  <c r="H77" i="3"/>
  <c r="H76" i="3"/>
  <c r="H75" i="3"/>
  <c r="H74" i="3"/>
  <c r="H73" i="3"/>
  <c r="H72" i="3"/>
  <c r="H71" i="3"/>
  <c r="H70" i="3"/>
  <c r="H69" i="3"/>
  <c r="H67" i="3"/>
  <c r="H66" i="3"/>
  <c r="H60" i="3"/>
  <c r="H59" i="3"/>
  <c r="H51" i="3"/>
  <c r="H50" i="3"/>
  <c r="H49" i="3"/>
  <c r="H48" i="3"/>
  <c r="H47" i="3"/>
  <c r="H46" i="3"/>
  <c r="H45" i="3"/>
  <c r="H44" i="3"/>
  <c r="H43" i="3"/>
  <c r="H42" i="3"/>
  <c r="H12" i="3"/>
  <c r="H13" i="3"/>
  <c r="H14" i="3"/>
  <c r="H15" i="3"/>
  <c r="H16" i="3"/>
  <c r="H18" i="3"/>
  <c r="H19" i="3"/>
  <c r="H20" i="3"/>
  <c r="H21" i="3"/>
  <c r="H22" i="3"/>
  <c r="H23" i="3"/>
  <c r="H24" i="3"/>
  <c r="H25" i="3"/>
  <c r="H26" i="3"/>
  <c r="H28" i="3"/>
  <c r="H35" i="3"/>
  <c r="H38" i="3"/>
  <c r="H11" i="3"/>
  <c r="D28" i="11" l="1"/>
  <c r="F28" i="11" s="1"/>
  <c r="D14" i="8"/>
  <c r="F14" i="8" s="1"/>
  <c r="F40" i="3"/>
  <c r="H52" i="3"/>
  <c r="D52" i="3" s="1"/>
  <c r="K31" i="3"/>
  <c r="K30" i="3"/>
  <c r="K32" i="3"/>
  <c r="K29" i="3"/>
  <c r="K10" i="8"/>
  <c r="H10" i="8" s="1"/>
  <c r="P18" i="5"/>
  <c r="K2" i="3"/>
  <c r="D10" i="8" l="1"/>
  <c r="F10" i="8" s="1"/>
  <c r="H111" i="3"/>
  <c r="F52" i="3"/>
  <c r="K33" i="3"/>
  <c r="K65" i="3"/>
  <c r="K64" i="3"/>
  <c r="F54" i="3"/>
  <c r="K63" i="3"/>
  <c r="K68" i="3"/>
  <c r="K62" i="3"/>
  <c r="F55" i="3"/>
  <c r="H56" i="3"/>
  <c r="H57" i="3"/>
  <c r="H58" i="3"/>
  <c r="D111" i="3" l="1"/>
  <c r="F111" i="3" s="1"/>
  <c r="M32" i="3"/>
  <c r="M31" i="3"/>
  <c r="M29" i="3"/>
  <c r="M30" i="3"/>
  <c r="M68" i="3"/>
  <c r="M63" i="3"/>
  <c r="M64" i="3"/>
  <c r="M65" i="3"/>
  <c r="M62" i="3"/>
  <c r="M33" i="3"/>
  <c r="K37" i="3"/>
  <c r="K13" i="8"/>
  <c r="H13" i="8" s="1"/>
  <c r="K12" i="8"/>
  <c r="H12" i="8" s="1"/>
  <c r="H30" i="3" l="1"/>
  <c r="M37" i="3"/>
  <c r="H32" i="3"/>
  <c r="J35" i="1"/>
  <c r="H65" i="3"/>
  <c r="H64" i="3"/>
  <c r="H63" i="3"/>
  <c r="D63" i="3" s="1"/>
  <c r="H61" i="3"/>
  <c r="D61" i="3" s="1"/>
  <c r="F61" i="3" s="1"/>
  <c r="H68" i="3"/>
  <c r="H62" i="3"/>
  <c r="H31" i="3"/>
  <c r="D31" i="3" s="1"/>
  <c r="H29" i="3"/>
  <c r="K26" i="11"/>
  <c r="K11" i="8"/>
  <c r="H11" i="8" s="1"/>
  <c r="K13" i="5"/>
  <c r="K12" i="5"/>
  <c r="D29" i="3" l="1"/>
  <c r="F29" i="3" s="1"/>
  <c r="K33" i="11"/>
  <c r="H33" i="11" s="1"/>
  <c r="K32" i="11"/>
  <c r="H32" i="11" s="1"/>
  <c r="O115" i="11"/>
  <c r="K115" i="11" s="1"/>
  <c r="J115" i="11" s="1"/>
  <c r="O119" i="11"/>
  <c r="K119" i="11" s="1"/>
  <c r="J119" i="11" s="1"/>
  <c r="F63" i="3"/>
  <c r="D32" i="3"/>
  <c r="F32" i="3" s="1"/>
  <c r="D11" i="8"/>
  <c r="F11" i="8" s="1"/>
  <c r="D62" i="3"/>
  <c r="F62" i="3" s="1"/>
  <c r="F64" i="3"/>
  <c r="D68" i="3"/>
  <c r="F68" i="3" s="1"/>
  <c r="D30" i="3"/>
  <c r="F30" i="3" s="1"/>
  <c r="F31" i="3"/>
  <c r="N26" i="5"/>
  <c r="N29" i="5" s="1"/>
  <c r="N25" i="5"/>
  <c r="H33" i="3"/>
  <c r="D33" i="3" s="1"/>
  <c r="H37" i="3"/>
  <c r="K35" i="1"/>
  <c r="L26" i="11"/>
  <c r="G26" i="11" s="1"/>
  <c r="BN34" i="4"/>
  <c r="BN30" i="4"/>
  <c r="BN15" i="4"/>
  <c r="BN23" i="4"/>
  <c r="F32" i="11" l="1"/>
  <c r="D35" i="11"/>
  <c r="D37" i="3"/>
  <c r="F37" i="3" s="1"/>
  <c r="F33" i="3"/>
  <c r="F33" i="11"/>
  <c r="J63" i="1"/>
  <c r="L63" i="1" s="1"/>
  <c r="F26" i="11"/>
  <c r="F113" i="3" l="1"/>
  <c r="C11" i="13" s="1"/>
  <c r="C17" i="13"/>
  <c r="C14" i="13"/>
  <c r="C18" i="13"/>
  <c r="C15" i="13"/>
  <c r="C10" i="13"/>
  <c r="K21" i="4" l="1"/>
  <c r="H21" i="4" s="1"/>
  <c r="K20" i="4"/>
  <c r="H20" i="4" s="1"/>
  <c r="K19" i="4"/>
  <c r="H19" i="4" s="1"/>
  <c r="D15" i="4" l="1"/>
  <c r="M11" i="11"/>
  <c r="K28" i="8"/>
  <c r="H28" i="8" s="1"/>
  <c r="D28" i="8" s="1"/>
  <c r="L24" i="11"/>
  <c r="J24" i="11" s="1"/>
  <c r="G24" i="11" s="1"/>
  <c r="D24" i="11" s="1"/>
  <c r="F24" i="11" s="1"/>
  <c r="M19" i="11"/>
  <c r="K19" i="11" s="1"/>
  <c r="G19" i="11" s="1"/>
  <c r="M12" i="11"/>
  <c r="K12" i="11" s="1"/>
  <c r="G12" i="11" s="1"/>
  <c r="K25" i="8"/>
  <c r="H25" i="8" s="1"/>
  <c r="D25" i="8" s="1"/>
  <c r="F25" i="8" s="1"/>
  <c r="D20" i="4"/>
  <c r="F20" i="4" s="1"/>
  <c r="L26" i="5"/>
  <c r="L21" i="5"/>
  <c r="H21" i="5" s="1"/>
  <c r="K67" i="4"/>
  <c r="H67" i="4" s="1"/>
  <c r="D67" i="4" s="1"/>
  <c r="F67" i="4" s="1"/>
  <c r="L25" i="5"/>
  <c r="H25" i="5" s="1"/>
  <c r="L35" i="1"/>
  <c r="G35" i="1" s="1"/>
  <c r="D27" i="11"/>
  <c r="K11" i="11" l="1"/>
  <c r="G11" i="11" s="1"/>
  <c r="D11" i="11" s="1"/>
  <c r="F11" i="11" s="1"/>
  <c r="D12" i="11"/>
  <c r="F12" i="11" s="1"/>
  <c r="D25" i="5"/>
  <c r="F25" i="5" s="1"/>
  <c r="K11" i="12"/>
  <c r="H26" i="5"/>
  <c r="K12" i="12" s="1"/>
  <c r="H12" i="12" s="1"/>
  <c r="F12" i="12" s="1"/>
  <c r="L29" i="5"/>
  <c r="H29" i="5" s="1"/>
  <c r="D19" i="11"/>
  <c r="F19" i="11" s="1"/>
  <c r="G22" i="11"/>
  <c r="D19" i="4"/>
  <c r="F19" i="4" s="1"/>
  <c r="D21" i="5"/>
  <c r="F21" i="5" s="1"/>
  <c r="D26" i="5"/>
  <c r="F26" i="5" s="1"/>
  <c r="F15" i="4"/>
  <c r="M63" i="1"/>
  <c r="O63" i="1" s="1"/>
  <c r="D35" i="1"/>
  <c r="D36" i="1" s="1"/>
  <c r="P63" i="1"/>
  <c r="R63" i="1" s="1"/>
  <c r="F28" i="8"/>
  <c r="F27" i="11"/>
  <c r="L12" i="5"/>
  <c r="H12" i="5" s="1"/>
  <c r="L13" i="5"/>
  <c r="H13" i="5" s="1"/>
  <c r="F11" i="12" l="1"/>
  <c r="H11" i="12"/>
  <c r="D22" i="11"/>
  <c r="F22" i="11" s="1"/>
  <c r="K15" i="12"/>
  <c r="H15" i="12" s="1"/>
  <c r="F15" i="12" s="1"/>
  <c r="F17" i="12" s="1"/>
  <c r="C20" i="13" s="1"/>
  <c r="D29" i="5"/>
  <c r="F29" i="5" s="1"/>
  <c r="G63" i="1"/>
  <c r="D63" i="1" s="1"/>
  <c r="F75" i="4"/>
  <c r="C12" i="13" s="1"/>
  <c r="D13" i="5"/>
  <c r="F13" i="5" s="1"/>
  <c r="D12" i="5"/>
  <c r="F12" i="5" s="1"/>
  <c r="F35" i="11"/>
  <c r="G36" i="1"/>
  <c r="S63" i="1"/>
  <c r="F68" i="8"/>
  <c r="C16" i="13" s="1"/>
  <c r="F127" i="11" l="1"/>
  <c r="C19" i="13" s="1"/>
  <c r="F33" i="5"/>
  <c r="C13" i="13" s="1"/>
  <c r="F63" i="1"/>
  <c r="F35" i="1"/>
  <c r="F36" i="1"/>
  <c r="F72" i="1" l="1"/>
  <c r="C9" i="13" s="1"/>
  <c r="C21"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NDepezay</author>
  </authors>
  <commentList>
    <comment ref="A13" authorId="0" shapeId="0" xr:uid="{9CA29DF3-0C6A-4E5E-8787-FE18F810F732}">
      <text>
        <r>
          <rPr>
            <b/>
            <sz val="9"/>
            <color indexed="81"/>
            <rFont val="Tahoma"/>
            <family val="2"/>
          </rPr>
          <t>NDepezay:</t>
        </r>
        <r>
          <rPr>
            <sz val="9"/>
            <color indexed="81"/>
            <rFont val="Tahoma"/>
            <family val="2"/>
          </rPr>
          <t xml:space="preserve">
Item No changed for N52 - check the others</t>
        </r>
      </text>
    </comment>
    <comment ref="H19" authorId="0" shapeId="0" xr:uid="{D0E4B962-E3ED-4F30-9B86-3090A3143888}">
      <text>
        <r>
          <rPr>
            <b/>
            <sz val="9"/>
            <color indexed="81"/>
            <rFont val="Tahoma"/>
            <family val="2"/>
          </rPr>
          <t>ND:</t>
        </r>
        <r>
          <rPr>
            <sz val="9"/>
            <color indexed="81"/>
            <rFont val="Tahoma"/>
            <family val="2"/>
          </rPr>
          <t xml:space="preserve">
 take 1m3 assumed as </t>
        </r>
        <r>
          <rPr>
            <b/>
            <sz val="9"/>
            <color indexed="81"/>
            <rFont val="Tahoma"/>
            <family val="2"/>
          </rPr>
          <t>no holes in paved</t>
        </r>
        <r>
          <rPr>
            <sz val="9"/>
            <color indexed="81"/>
            <rFont val="Tahoma"/>
            <family val="2"/>
          </rPr>
          <t xml:space="preserve"> areas</t>
        </r>
      </text>
    </comment>
    <comment ref="I20" authorId="0" shapeId="0" xr:uid="{D449DE76-1105-44A0-BCCF-097F7DA8A5C9}">
      <text>
        <r>
          <rPr>
            <b/>
            <sz val="9"/>
            <color indexed="81"/>
            <rFont val="Tahoma"/>
            <family val="2"/>
          </rPr>
          <t>ND:</t>
        </r>
        <r>
          <rPr>
            <sz val="9"/>
            <color indexed="81"/>
            <rFont val="Tahoma"/>
            <family val="2"/>
          </rPr>
          <t xml:space="preserve">
insert value to be deducted and added to RC/OH if rq'd</t>
        </r>
      </text>
    </comment>
    <comment ref="H27" authorId="0" shapeId="0" xr:uid="{9A651FB7-2378-4AAD-96F7-03C799325BE3}">
      <text>
        <r>
          <rPr>
            <b/>
            <sz val="9"/>
            <color indexed="81"/>
            <rFont val="Tahoma"/>
            <family val="2"/>
          </rPr>
          <t>ND:</t>
        </r>
        <r>
          <rPr>
            <sz val="9"/>
            <color indexed="10"/>
            <rFont val="Tahoma"/>
            <family val="2"/>
          </rPr>
          <t xml:space="preserve"> IF NO PIEZOS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NDepezay</author>
    <author>Cullen, Phil</author>
  </authors>
  <commentList>
    <comment ref="H36" authorId="0" shapeId="0" xr:uid="{3ABA2ABB-7433-4164-BB7D-6907EB62D5A6}">
      <text>
        <r>
          <rPr>
            <b/>
            <sz val="9"/>
            <color indexed="81"/>
            <rFont val="Tahoma"/>
            <family val="2"/>
          </rPr>
          <t>ND:</t>
        </r>
        <r>
          <rPr>
            <sz val="9"/>
            <color indexed="81"/>
            <rFont val="Tahoma"/>
            <family val="2"/>
          </rPr>
          <t xml:space="preserve">
"Not Req'd" if no rotary only</t>
        </r>
      </text>
    </comment>
    <comment ref="I40" authorId="0" shapeId="0" xr:uid="{C9DE6E28-33BB-4BF5-B9DD-D1A2C789D838}">
      <text>
        <r>
          <rPr>
            <b/>
            <sz val="9"/>
            <color indexed="81"/>
            <rFont val="Tahoma"/>
            <family val="2"/>
          </rPr>
          <t>ND:</t>
        </r>
        <r>
          <rPr>
            <sz val="9"/>
            <color indexed="81"/>
            <rFont val="Tahoma"/>
            <family val="2"/>
          </rPr>
          <t xml:space="preserve"> insert value if required and/or add to calc value if OH scheduled</t>
        </r>
      </text>
    </comment>
    <comment ref="AE40" authorId="1" shapeId="0" xr:uid="{452B7B94-5B30-4631-8E8B-FB0FEF49D671}">
      <text>
        <r>
          <rPr>
            <b/>
            <sz val="9"/>
            <color indexed="81"/>
            <rFont val="Tahoma"/>
            <charset val="1"/>
          </rPr>
          <t>Cullen, Phil:</t>
        </r>
        <r>
          <rPr>
            <sz val="9"/>
            <color indexed="81"/>
            <rFont val="Tahoma"/>
            <charset val="1"/>
          </rPr>
          <t xml:space="preserve">
Manual</t>
        </r>
      </text>
    </comment>
    <comment ref="AF40" authorId="1" shapeId="0" xr:uid="{E32F75F7-B5F2-430F-981C-26A65FCC2D7F}">
      <text>
        <r>
          <rPr>
            <b/>
            <sz val="9"/>
            <color indexed="81"/>
            <rFont val="Tahoma"/>
            <charset val="1"/>
          </rPr>
          <t>Cullen, Phil:</t>
        </r>
        <r>
          <rPr>
            <sz val="9"/>
            <color indexed="81"/>
            <rFont val="Tahoma"/>
            <charset val="1"/>
          </rPr>
          <t xml:space="preserve">
Manual</t>
        </r>
      </text>
    </comment>
    <comment ref="AG40" authorId="1" shapeId="0" xr:uid="{B2B41BA3-8868-464D-8BF4-0A7412F051C3}">
      <text>
        <r>
          <rPr>
            <b/>
            <sz val="9"/>
            <color indexed="81"/>
            <rFont val="Tahoma"/>
            <charset val="1"/>
          </rPr>
          <t>Cullen, Phil:</t>
        </r>
        <r>
          <rPr>
            <sz val="9"/>
            <color indexed="81"/>
            <rFont val="Tahoma"/>
            <charset val="1"/>
          </rPr>
          <t xml:space="preserve">
Manual</t>
        </r>
      </text>
    </comment>
    <comment ref="I41" authorId="0" shapeId="0" xr:uid="{F8BF44CE-EC5A-4FED-B25D-F4C46C91D8FC}">
      <text>
        <r>
          <rPr>
            <b/>
            <sz val="9"/>
            <color indexed="81"/>
            <rFont val="Tahoma"/>
            <family val="2"/>
          </rPr>
          <t>ND:</t>
        </r>
        <r>
          <rPr>
            <sz val="9"/>
            <color indexed="81"/>
            <rFont val="Tahoma"/>
            <family val="2"/>
          </rPr>
          <t xml:space="preserve"> insert value if required and/or add to calc value if OH scheduled</t>
        </r>
      </text>
    </comment>
    <comment ref="AE41" authorId="1" shapeId="0" xr:uid="{50CCC7B5-985D-426A-A0FE-9379589E7024}">
      <text>
        <r>
          <rPr>
            <b/>
            <sz val="9"/>
            <color indexed="81"/>
            <rFont val="Tahoma"/>
            <charset val="1"/>
          </rPr>
          <t>Cullen, Phil:</t>
        </r>
        <r>
          <rPr>
            <sz val="9"/>
            <color indexed="81"/>
            <rFont val="Tahoma"/>
            <charset val="1"/>
          </rPr>
          <t xml:space="preserve">
Manual</t>
        </r>
      </text>
    </comment>
    <comment ref="AF41" authorId="1" shapeId="0" xr:uid="{A6C10F6F-90F1-4F7F-B4A1-93ED58E14BC8}">
      <text>
        <r>
          <rPr>
            <b/>
            <sz val="9"/>
            <color indexed="81"/>
            <rFont val="Tahoma"/>
            <charset val="1"/>
          </rPr>
          <t>Cullen, Phil:</t>
        </r>
        <r>
          <rPr>
            <sz val="9"/>
            <color indexed="81"/>
            <rFont val="Tahoma"/>
            <charset val="1"/>
          </rPr>
          <t xml:space="preserve">
Manual</t>
        </r>
      </text>
    </comment>
    <comment ref="AG41" authorId="1" shapeId="0" xr:uid="{6A565E6D-D4D2-4532-9EDF-BBC005C1BE65}">
      <text>
        <r>
          <rPr>
            <b/>
            <sz val="9"/>
            <color indexed="81"/>
            <rFont val="Tahoma"/>
            <charset val="1"/>
          </rPr>
          <t>Cullen, Phil:</t>
        </r>
        <r>
          <rPr>
            <sz val="9"/>
            <color indexed="81"/>
            <rFont val="Tahoma"/>
            <charset val="1"/>
          </rPr>
          <t xml:space="preserve">
Manual</t>
        </r>
      </text>
    </comment>
    <comment ref="I55" authorId="0" shapeId="0" xr:uid="{77C57816-D57C-4843-B306-A7378D0624B8}">
      <text>
        <r>
          <rPr>
            <b/>
            <sz val="9"/>
            <color indexed="81"/>
            <rFont val="Tahoma"/>
            <family val="2"/>
          </rPr>
          <t xml:space="preserve">ND: </t>
        </r>
        <r>
          <rPr>
            <sz val="9"/>
            <color indexed="81"/>
            <rFont val="Tahoma"/>
            <family val="2"/>
          </rPr>
          <t xml:space="preserve">inser value if req'd
</t>
        </r>
      </text>
    </comment>
    <comment ref="AE61" authorId="1" shapeId="0" xr:uid="{9AD6DB5F-1A65-42D6-8597-4C3E691C066C}">
      <text>
        <r>
          <rPr>
            <b/>
            <sz val="9"/>
            <color indexed="81"/>
            <rFont val="Tahoma"/>
            <charset val="1"/>
          </rPr>
          <t>Cullen, Phil:</t>
        </r>
        <r>
          <rPr>
            <sz val="9"/>
            <color indexed="81"/>
            <rFont val="Tahoma"/>
            <charset val="1"/>
          </rPr>
          <t xml:space="preserve">
Manual Entry</t>
        </r>
      </text>
    </comment>
    <comment ref="AF61" authorId="1" shapeId="0" xr:uid="{FAFFB608-3B61-4566-B98A-24DBA1E76D06}">
      <text>
        <r>
          <rPr>
            <b/>
            <sz val="9"/>
            <color indexed="81"/>
            <rFont val="Tahoma"/>
            <charset val="1"/>
          </rPr>
          <t>Cullen, Phil:</t>
        </r>
        <r>
          <rPr>
            <sz val="9"/>
            <color indexed="81"/>
            <rFont val="Tahoma"/>
            <charset val="1"/>
          </rPr>
          <t xml:space="preserve">
Manual</t>
        </r>
      </text>
    </comment>
    <comment ref="AG61" authorId="1" shapeId="0" xr:uid="{DDEA4118-7E84-4459-B70A-13CB0591EFB2}">
      <text>
        <r>
          <rPr>
            <b/>
            <sz val="9"/>
            <color indexed="81"/>
            <rFont val="Tahoma"/>
            <charset val="1"/>
          </rPr>
          <t>Cullen, Phil:</t>
        </r>
        <r>
          <rPr>
            <sz val="9"/>
            <color indexed="81"/>
            <rFont val="Tahoma"/>
            <charset val="1"/>
          </rPr>
          <t xml:space="preserve">
Manual</t>
        </r>
      </text>
    </comment>
    <comment ref="AE62" authorId="1" shapeId="0" xr:uid="{A889BBEF-23B5-4E71-8F03-3199790E8C4B}">
      <text>
        <r>
          <rPr>
            <b/>
            <sz val="9"/>
            <color indexed="81"/>
            <rFont val="Tahoma"/>
            <charset val="1"/>
          </rPr>
          <t>Cullen, Phil:</t>
        </r>
        <r>
          <rPr>
            <sz val="9"/>
            <color indexed="81"/>
            <rFont val="Tahoma"/>
            <charset val="1"/>
          </rPr>
          <t xml:space="preserve">
manual</t>
        </r>
      </text>
    </comment>
    <comment ref="AF62" authorId="1" shapeId="0" xr:uid="{88E3AD19-5E77-4FEE-A6B9-3481B19EB57D}">
      <text>
        <r>
          <rPr>
            <b/>
            <sz val="9"/>
            <color indexed="81"/>
            <rFont val="Tahoma"/>
            <charset val="1"/>
          </rPr>
          <t>Cullen, Phil:</t>
        </r>
        <r>
          <rPr>
            <sz val="9"/>
            <color indexed="81"/>
            <rFont val="Tahoma"/>
            <charset val="1"/>
          </rPr>
          <t xml:space="preserve">
Manual</t>
        </r>
      </text>
    </comment>
    <comment ref="AG62" authorId="1" shapeId="0" xr:uid="{28A1C3F0-1FA2-4FF5-BF67-3F6FC1C8BA6E}">
      <text>
        <r>
          <rPr>
            <b/>
            <sz val="9"/>
            <color indexed="81"/>
            <rFont val="Tahoma"/>
            <charset val="1"/>
          </rPr>
          <t>Cullen, Phil:</t>
        </r>
        <r>
          <rPr>
            <sz val="9"/>
            <color indexed="81"/>
            <rFont val="Tahoma"/>
            <charset val="1"/>
          </rPr>
          <t xml:space="preserve">
Manual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NDepezay</author>
    <author>Cullen, Phil</author>
  </authors>
  <commentList>
    <comment ref="D26" authorId="0" shapeId="0" xr:uid="{0C72DFFC-BAF8-45AA-9423-BBD201745C88}">
      <text>
        <r>
          <rPr>
            <b/>
            <sz val="9"/>
            <color indexed="81"/>
            <rFont val="Tahoma"/>
            <family val="2"/>
          </rPr>
          <t>NDepezay:</t>
        </r>
        <r>
          <rPr>
            <sz val="9"/>
            <color indexed="81"/>
            <rFont val="Tahoma"/>
            <family val="2"/>
          </rPr>
          <t xml:space="preserve">
Check ref to Items (used / not used</t>
        </r>
      </text>
    </comment>
    <comment ref="I29" authorId="0" shapeId="0" xr:uid="{25E09AC9-99FF-416E-8F45-D0F85386E8AD}">
      <text>
        <r>
          <rPr>
            <b/>
            <sz val="9"/>
            <color indexed="81"/>
            <rFont val="Tahoma"/>
            <family val="2"/>
          </rPr>
          <t>NDepezay:</t>
        </r>
        <r>
          <rPr>
            <sz val="9"/>
            <color indexed="81"/>
            <rFont val="Tahoma"/>
            <family val="2"/>
          </rPr>
          <t xml:space="preserve">
INSERT value if req'd
</t>
        </r>
      </text>
    </comment>
    <comment ref="H34" authorId="1" shapeId="0" xr:uid="{06E2CE90-0CEB-4612-9E28-5927784E74B1}">
      <text>
        <r>
          <rPr>
            <b/>
            <sz val="9"/>
            <color indexed="81"/>
            <rFont val="Tahoma"/>
            <family val="2"/>
          </rPr>
          <t>Cullen, Phil:</t>
        </r>
        <r>
          <rPr>
            <sz val="9"/>
            <color indexed="81"/>
            <rFont val="Tahoma"/>
            <family val="2"/>
          </rPr>
          <t xml:space="preserve">
Assumed nominal value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NDepezay</author>
  </authors>
  <commentList>
    <comment ref="I16" authorId="0" shapeId="0" xr:uid="{B3BE817D-9A8C-47DE-A1C2-466DAA54A1C1}">
      <text>
        <r>
          <rPr>
            <b/>
            <sz val="9"/>
            <color indexed="81"/>
            <rFont val="Tahoma"/>
            <family val="2"/>
          </rPr>
          <t xml:space="preserve">ND: </t>
        </r>
        <r>
          <rPr>
            <sz val="9"/>
            <color indexed="10"/>
            <rFont val="Tahoma"/>
            <family val="2"/>
          </rPr>
          <t>say U in 75% of BH 50% thick 25% thin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Cullen, Phil</author>
  </authors>
  <commentList>
    <comment ref="AA14" authorId="0" shapeId="0" xr:uid="{BCD1B265-2577-4128-BE22-FFB91FF80BA4}">
      <text>
        <r>
          <rPr>
            <b/>
            <sz val="9"/>
            <color indexed="81"/>
            <rFont val="Tahoma"/>
            <family val="2"/>
          </rPr>
          <t>Cullen, Phil:</t>
        </r>
        <r>
          <rPr>
            <sz val="9"/>
            <color indexed="81"/>
            <rFont val="Tahoma"/>
            <family val="2"/>
          </rPr>
          <t xml:space="preserve">
Manual</t>
        </r>
      </text>
    </comment>
    <comment ref="AC14" authorId="0" shapeId="0" xr:uid="{DE20526E-B5DE-4CB3-9990-F71CFE895C8A}">
      <text>
        <r>
          <rPr>
            <b/>
            <sz val="9"/>
            <color indexed="81"/>
            <rFont val="Tahoma"/>
            <family val="2"/>
          </rPr>
          <t>Cullen, Phil:</t>
        </r>
        <r>
          <rPr>
            <sz val="9"/>
            <color indexed="81"/>
            <rFont val="Tahoma"/>
            <family val="2"/>
          </rPr>
          <t xml:space="preserve">
Manual</t>
        </r>
      </text>
    </comment>
    <comment ref="AF14" authorId="0" shapeId="0" xr:uid="{66C4A76B-BB94-45BC-92BD-00052AFA0A94}">
      <text>
        <r>
          <rPr>
            <b/>
            <sz val="9"/>
            <color indexed="81"/>
            <rFont val="Tahoma"/>
            <family val="2"/>
          </rPr>
          <t>Cullen, Phil:</t>
        </r>
        <r>
          <rPr>
            <sz val="9"/>
            <color indexed="81"/>
            <rFont val="Tahoma"/>
            <family val="2"/>
          </rPr>
          <t xml:space="preserve">
Manual</t>
        </r>
      </text>
    </comment>
    <comment ref="AG14" authorId="0" shapeId="0" xr:uid="{93A84C6E-4CD3-4675-8617-643621032C72}">
      <text>
        <r>
          <rPr>
            <b/>
            <sz val="9"/>
            <color indexed="81"/>
            <rFont val="Tahoma"/>
            <family val="2"/>
          </rPr>
          <t>Cullen, Phil:</t>
        </r>
        <r>
          <rPr>
            <sz val="9"/>
            <color indexed="81"/>
            <rFont val="Tahoma"/>
            <family val="2"/>
          </rPr>
          <t xml:space="preserve">
Manual</t>
        </r>
      </text>
    </comment>
    <comment ref="AH14" authorId="0" shapeId="0" xr:uid="{18F16FEF-019C-48CD-8B79-F4A2D9C129ED}">
      <text>
        <r>
          <rPr>
            <b/>
            <sz val="9"/>
            <color indexed="81"/>
            <rFont val="Tahoma"/>
            <family val="2"/>
          </rPr>
          <t>Cullen, Phil:</t>
        </r>
        <r>
          <rPr>
            <sz val="9"/>
            <color indexed="81"/>
            <rFont val="Tahoma"/>
            <family val="2"/>
          </rPr>
          <t xml:space="preserve">
Manual</t>
        </r>
      </text>
    </comment>
    <comment ref="AI14" authorId="0" shapeId="0" xr:uid="{412EFF74-7A99-4710-8DEB-1BB2C45CA005}">
      <text>
        <r>
          <rPr>
            <b/>
            <sz val="9"/>
            <color indexed="81"/>
            <rFont val="Tahoma"/>
            <family val="2"/>
          </rPr>
          <t>Cullen, Phil:</t>
        </r>
        <r>
          <rPr>
            <sz val="9"/>
            <color indexed="81"/>
            <rFont val="Tahoma"/>
            <family val="2"/>
          </rPr>
          <t xml:space="preserve">
Manual</t>
        </r>
      </text>
    </comment>
    <comment ref="AA16" authorId="0" shapeId="0" xr:uid="{5460365C-A8F3-4162-8623-931FB3AF9793}">
      <text>
        <r>
          <rPr>
            <b/>
            <sz val="9"/>
            <color indexed="81"/>
            <rFont val="Tahoma"/>
            <family val="2"/>
          </rPr>
          <t>Cullen, Phil:</t>
        </r>
        <r>
          <rPr>
            <sz val="9"/>
            <color indexed="81"/>
            <rFont val="Tahoma"/>
            <family val="2"/>
          </rPr>
          <t xml:space="preserve">
Manual</t>
        </r>
      </text>
    </comment>
    <comment ref="AC16" authorId="0" shapeId="0" xr:uid="{791E0314-65D4-4206-A263-CE92E61C016F}">
      <text>
        <r>
          <rPr>
            <b/>
            <sz val="9"/>
            <color indexed="81"/>
            <rFont val="Tahoma"/>
            <family val="2"/>
          </rPr>
          <t>Cullen, Phil:</t>
        </r>
        <r>
          <rPr>
            <sz val="9"/>
            <color indexed="81"/>
            <rFont val="Tahoma"/>
            <family val="2"/>
          </rPr>
          <t xml:space="preserve">
Manual</t>
        </r>
      </text>
    </comment>
    <comment ref="AF16" authorId="0" shapeId="0" xr:uid="{9F89D56E-BA66-4893-9577-ABA17B3042D1}">
      <text>
        <r>
          <rPr>
            <b/>
            <sz val="9"/>
            <color indexed="81"/>
            <rFont val="Tahoma"/>
            <family val="2"/>
          </rPr>
          <t>Cullen, Phil:</t>
        </r>
        <r>
          <rPr>
            <sz val="9"/>
            <color indexed="81"/>
            <rFont val="Tahoma"/>
            <family val="2"/>
          </rPr>
          <t xml:space="preserve">
Manual</t>
        </r>
      </text>
    </comment>
    <comment ref="AG16" authorId="0" shapeId="0" xr:uid="{C6B11D0A-4E05-4216-B780-0DD947AEFF4F}">
      <text>
        <r>
          <rPr>
            <b/>
            <sz val="9"/>
            <color indexed="81"/>
            <rFont val="Tahoma"/>
            <family val="2"/>
          </rPr>
          <t>Cullen, Phil:</t>
        </r>
        <r>
          <rPr>
            <sz val="9"/>
            <color indexed="81"/>
            <rFont val="Tahoma"/>
            <family val="2"/>
          </rPr>
          <t xml:space="preserve">
Manual</t>
        </r>
      </text>
    </comment>
    <comment ref="AH16" authorId="0" shapeId="0" xr:uid="{2B24CB17-42A0-4FFD-B2C6-3DD98A09F4C0}">
      <text>
        <r>
          <rPr>
            <b/>
            <sz val="9"/>
            <color indexed="81"/>
            <rFont val="Tahoma"/>
            <family val="2"/>
          </rPr>
          <t>Cullen, Phil:</t>
        </r>
        <r>
          <rPr>
            <sz val="9"/>
            <color indexed="81"/>
            <rFont val="Tahoma"/>
            <family val="2"/>
          </rPr>
          <t xml:space="preserve">
Manual</t>
        </r>
      </text>
    </comment>
    <comment ref="AI16" authorId="0" shapeId="0" xr:uid="{93B007C6-93E6-4E02-8196-FA0FCFADC163}">
      <text>
        <r>
          <rPr>
            <b/>
            <sz val="9"/>
            <color indexed="81"/>
            <rFont val="Tahoma"/>
            <family val="2"/>
          </rPr>
          <t>Cullen, Phil:</t>
        </r>
        <r>
          <rPr>
            <sz val="9"/>
            <color indexed="81"/>
            <rFont val="Tahoma"/>
            <family val="2"/>
          </rPr>
          <t xml:space="preserve">
Manual</t>
        </r>
      </text>
    </comment>
  </commentList>
</comments>
</file>

<file path=xl/sharedStrings.xml><?xml version="1.0" encoding="utf-8"?>
<sst xmlns="http://schemas.openxmlformats.org/spreadsheetml/2006/main" count="2728" uniqueCount="1440">
  <si>
    <t>Number</t>
  </si>
  <si>
    <t>Item description</t>
  </si>
  <si>
    <t>Unit</t>
  </si>
  <si>
    <t>Quantity</t>
  </si>
  <si>
    <t>Rate</t>
  </si>
  <si>
    <t>Amount</t>
  </si>
  <si>
    <t>€</t>
  </si>
  <si>
    <t>A</t>
  </si>
  <si>
    <t>General items, provisional services and additional items</t>
  </si>
  <si>
    <t>A1</t>
  </si>
  <si>
    <t>Offices and stores for the Contractor</t>
  </si>
  <si>
    <t>sum</t>
  </si>
  <si>
    <t>A2</t>
  </si>
  <si>
    <t>Establish on site all plant, equipment and services for a Green Category site</t>
  </si>
  <si>
    <t>A2.1</t>
  </si>
  <si>
    <t xml:space="preserve">Establish on site cable percussion ('shell l auger') boring plant and equipment for a Green Category site  </t>
  </si>
  <si>
    <t>A2.2</t>
  </si>
  <si>
    <t xml:space="preserve">Establish on site rotary drilling plant and equipment for a Green Category site  </t>
  </si>
  <si>
    <t>A2.3</t>
  </si>
  <si>
    <t>Establish on site Geobor S rotary drilling plant and equipment for a Green Category site (PROVISIONAL)</t>
  </si>
  <si>
    <t>A2.4</t>
  </si>
  <si>
    <t xml:space="preserve">Establish on site trial pitting and trenching plant and equipment for a Green Category site  </t>
  </si>
  <si>
    <t>A2.5</t>
  </si>
  <si>
    <t xml:space="preserve">Establish on site in situ test and sampling equipment for a Green Category site  </t>
  </si>
  <si>
    <t>A2.6</t>
  </si>
  <si>
    <t xml:space="preserve">Establish on site cone penetration testing (CPT) plant and equipment for a Green Category site  </t>
  </si>
  <si>
    <t>A2.7</t>
  </si>
  <si>
    <t xml:space="preserve">Establish on site dynamic sampling and probing plant and equipment for a Green Category site  </t>
  </si>
  <si>
    <t>A2.8</t>
  </si>
  <si>
    <t>Establish on site geophysical survey equipment for a Green Category site</t>
  </si>
  <si>
    <t>A2.9</t>
  </si>
  <si>
    <t>Establish on site instrumentation equipment as required for a Green Category site</t>
  </si>
  <si>
    <t>A3.1</t>
  </si>
  <si>
    <t>A3.2</t>
  </si>
  <si>
    <t>As Item A3.1 but for a Red Category site</t>
  </si>
  <si>
    <t>A4.1</t>
  </si>
  <si>
    <t>Maintain on site all site safety equipment for a Yellow Category site (PROVISIONAL)</t>
  </si>
  <si>
    <t>per week</t>
  </si>
  <si>
    <t>A4.2</t>
  </si>
  <si>
    <t>Maintain on site all site safety equipment for a Red Category site</t>
  </si>
  <si>
    <t>A5.1</t>
  </si>
  <si>
    <t>Decontamination of equipment during and at end of intrusive investigation for a Yellow Category site (PROVISIONAL)</t>
  </si>
  <si>
    <t>A5.2</t>
  </si>
  <si>
    <t>Decontamination of equipment during and at end of intrusive investigation for a Red Category site</t>
  </si>
  <si>
    <t>A6</t>
  </si>
  <si>
    <t>provisional sum</t>
  </si>
  <si>
    <t>A6.1</t>
  </si>
  <si>
    <t>Contractor's uplift on Item A6</t>
  </si>
  <si>
    <t>%</t>
  </si>
  <si>
    <t>A7</t>
  </si>
  <si>
    <t xml:space="preserve">Provide professional attendance to meet the contract requirements </t>
  </si>
  <si>
    <t>A7.1</t>
  </si>
  <si>
    <t>Provide Technician</t>
  </si>
  <si>
    <t>per day</t>
  </si>
  <si>
    <t>Included in A7</t>
  </si>
  <si>
    <t>A7.2</t>
  </si>
  <si>
    <t>Provide Engineer / Geologist (as per item 2.3 of Specification)</t>
  </si>
  <si>
    <t>A7.3</t>
  </si>
  <si>
    <t>Provide Chartered Engineer / Professional Geologist (as item 2.3 of Specification)</t>
  </si>
  <si>
    <t>A7.4</t>
  </si>
  <si>
    <t>Provide Chartered Engineer / Professional Geologist (+10 years experience post charter)</t>
  </si>
  <si>
    <t>A7.5</t>
  </si>
  <si>
    <t>Provide Chartered Engineer / Professional Geologist (+20 years experience post charter)</t>
  </si>
  <si>
    <t>A8</t>
  </si>
  <si>
    <t>Set out the location at each exploratory hole or point</t>
  </si>
  <si>
    <t>Nr</t>
  </si>
  <si>
    <t>A8.1</t>
  </si>
  <si>
    <t>Establish the location and elevation (X, Y, Z) of the ground at each 'as-built' exploratory hole or point</t>
  </si>
  <si>
    <t>nr</t>
  </si>
  <si>
    <t>A9</t>
  </si>
  <si>
    <t>Preparation of Health and Safety documentation and Safety Risk Assessment</t>
  </si>
  <si>
    <t>A10</t>
  </si>
  <si>
    <t>Facilities for the Investigation Supervisor</t>
  </si>
  <si>
    <t>A11</t>
  </si>
  <si>
    <t>Vehicle(s) for the Investigation Supervisor</t>
  </si>
  <si>
    <t>vehicle wk</t>
  </si>
  <si>
    <t>A11.1</t>
  </si>
  <si>
    <t>Provision of fuel and tolls for A11 (to be reimbursed under the contract)</t>
  </si>
  <si>
    <t>A11.2</t>
  </si>
  <si>
    <t>Contractors uplift on item A11 and A11.1</t>
  </si>
  <si>
    <t>% uplift</t>
  </si>
  <si>
    <t>A12</t>
  </si>
  <si>
    <t>Provision of phone and internet for the Investigation Supervisor (to be reimbursed under the contract)</t>
  </si>
  <si>
    <t>A12.1</t>
  </si>
  <si>
    <t>Contractors Uplift on item A12</t>
  </si>
  <si>
    <t>A13</t>
  </si>
  <si>
    <t>Deliver selected cores and samples specified Client address (address to be advised)</t>
  </si>
  <si>
    <t>A14</t>
  </si>
  <si>
    <t>Special additional testing and sampling required by Investigation Supervisor</t>
  </si>
  <si>
    <t>A15</t>
  </si>
  <si>
    <t xml:space="preserve">Traffic safety and management to include preparation of traffic management drawings for investigations on roads or pavement areas   </t>
  </si>
  <si>
    <t>A16</t>
  </si>
  <si>
    <t>A17</t>
  </si>
  <si>
    <t>Contractors uplift on items A15 and A16</t>
  </si>
  <si>
    <t>A18</t>
  </si>
  <si>
    <t xml:space="preserve">One master copy of Desk Study Report </t>
  </si>
  <si>
    <t>Not Required </t>
  </si>
  <si>
    <t>A18.1</t>
  </si>
  <si>
    <t xml:space="preserve">Additional hard copy of Desk Study Report </t>
  </si>
  <si>
    <t>A18.2</t>
  </si>
  <si>
    <t>Electronic copy of Desk Study Report (PDF)</t>
  </si>
  <si>
    <t>A19</t>
  </si>
  <si>
    <t>One master copy of the Ground Investigation Report (Factual)</t>
  </si>
  <si>
    <t>A19.1</t>
  </si>
  <si>
    <t>Additional copy of the Ground Investigation Report (Factual)</t>
  </si>
  <si>
    <t>A19.2</t>
  </si>
  <si>
    <t xml:space="preserve">Electronic copy of Ground Investigation Report </t>
  </si>
  <si>
    <t>A20</t>
  </si>
  <si>
    <t>One master copy of Geophysical Report</t>
  </si>
  <si>
    <t>A20.1</t>
  </si>
  <si>
    <t xml:space="preserve">Additional hard copy of Geophysical Report </t>
  </si>
  <si>
    <t>A20.2</t>
  </si>
  <si>
    <t>Electronic copy of Geophysical Report (PDF)</t>
  </si>
  <si>
    <t>A21</t>
  </si>
  <si>
    <t xml:space="preserve">One master copy of Geotechnical Interpretive Report </t>
  </si>
  <si>
    <t>A21.1</t>
  </si>
  <si>
    <t>Additional copy of Geotechnical Interpretive Report</t>
  </si>
  <si>
    <t>A21.2</t>
  </si>
  <si>
    <t xml:space="preserve">Electronic copy of Geotechnical Interpretive Report </t>
  </si>
  <si>
    <t>A22</t>
  </si>
  <si>
    <t>A23</t>
  </si>
  <si>
    <t>A24</t>
  </si>
  <si>
    <t>Digital copy of trial pit, slit trench or core photographs</t>
  </si>
  <si>
    <t>A25</t>
  </si>
  <si>
    <t>wk</t>
  </si>
  <si>
    <t>A26</t>
  </si>
  <si>
    <t xml:space="preserve">Storage of core boxes following completion of fieldworks </t>
  </si>
  <si>
    <t>A27</t>
  </si>
  <si>
    <t>Provision of water supply for the fieldworks</t>
  </si>
  <si>
    <t>A28</t>
  </si>
  <si>
    <t>Provision of Insurances</t>
  </si>
  <si>
    <t>A29</t>
  </si>
  <si>
    <t>Provision of Performance Bond</t>
  </si>
  <si>
    <t>A30</t>
  </si>
  <si>
    <t xml:space="preserve">A31 </t>
  </si>
  <si>
    <t>Contractor liaison with external bodies to obtain road opening licence, foreshore licence for marine investigations etc. (specify)</t>
  </si>
  <si>
    <t>Additional Items</t>
  </si>
  <si>
    <t>Total Section A carried to summary:</t>
  </si>
  <si>
    <t>B</t>
  </si>
  <si>
    <t>B1</t>
  </si>
  <si>
    <t>Move boring plant and equipment to the site of each exploratory hole and set up (cable percussive only)</t>
  </si>
  <si>
    <t>B2</t>
  </si>
  <si>
    <t>Extra over Item B1 for setting up on a slope of gradient greater than 20%</t>
  </si>
  <si>
    <t>B3</t>
  </si>
  <si>
    <t>Hand digging and CAT scan at borehole location to confirm absence of utility ducts (maximum depth of 1.2m or lesser if ground is assessed as potentially unstable)</t>
  </si>
  <si>
    <t>B4</t>
  </si>
  <si>
    <t>Advance borehole between existing ground level and 10 m depth</t>
  </si>
  <si>
    <t>m</t>
  </si>
  <si>
    <t>B5</t>
  </si>
  <si>
    <t>As Item B4 but between 10 m and 20 m depth</t>
  </si>
  <si>
    <t>B6</t>
  </si>
  <si>
    <t>As Item B4 but between 20 m and 30 m depth</t>
  </si>
  <si>
    <t>B7</t>
  </si>
  <si>
    <t>As Item B4 but between 30 m and 40 m depth</t>
  </si>
  <si>
    <t>B8</t>
  </si>
  <si>
    <t>As Item B4 but between 40 m and 50 m depth</t>
  </si>
  <si>
    <t>B9</t>
  </si>
  <si>
    <t>Advance borehole through hard stratum or obstruction</t>
  </si>
  <si>
    <t>h</t>
  </si>
  <si>
    <t>B10</t>
  </si>
  <si>
    <t>Provide aquifer protection measures at a single aquiclude/aquifer boundary or cross-contamination control measures at a single soil boundary in a borehole</t>
  </si>
  <si>
    <t>B11</t>
  </si>
  <si>
    <t>Backfill borehole with cement/bentonite grout or bentonite pellets (where standpipe piezometer is not installed)</t>
  </si>
  <si>
    <t>m³</t>
  </si>
  <si>
    <t>B12</t>
  </si>
  <si>
    <t>Standing time for borehole plant, equipment and crew</t>
  </si>
  <si>
    <t>Dynamic sampling (Windowless Sampling)</t>
  </si>
  <si>
    <t>B13</t>
  </si>
  <si>
    <t>Move dynamic sampling equipment to the site of each exploratory hole and set up</t>
  </si>
  <si>
    <t>B14</t>
  </si>
  <si>
    <t>Extra over Item B13 for setting up on a slope of gradient greater than 20%</t>
  </si>
  <si>
    <t>B15</t>
  </si>
  <si>
    <t>B16</t>
  </si>
  <si>
    <t>Break out surface obstruction where present</t>
  </si>
  <si>
    <t>B17</t>
  </si>
  <si>
    <t>Advance dynamic sample hole between existing ground level and 5 m depth</t>
  </si>
  <si>
    <t>B18</t>
  </si>
  <si>
    <t>As Item B15 but between 5 and 10 m depth</t>
  </si>
  <si>
    <t>B19</t>
  </si>
  <si>
    <t>Dynamic sample=ing &gt;10m as instructed by the Investigation Supervisor</t>
  </si>
  <si>
    <t>B20</t>
  </si>
  <si>
    <t>Standing time for dynamic sampling equipment and crew</t>
  </si>
  <si>
    <t>hr</t>
  </si>
  <si>
    <t>B21</t>
  </si>
  <si>
    <t>Backfill dynamic sample borehole with cement/bentonite grout or bentonite pellets (where standpipe or piezometer is not installed)</t>
  </si>
  <si>
    <t>Reinstatement of Cable Percussive Borehole and Dynamic Sample Borehole</t>
  </si>
  <si>
    <t>B22</t>
  </si>
  <si>
    <t>Reinstatement of gravel hardstanding</t>
  </si>
  <si>
    <t>m²</t>
  </si>
  <si>
    <t>B23</t>
  </si>
  <si>
    <t>Reinstatement of asphalt / bituminous pavement</t>
  </si>
  <si>
    <t>B24</t>
  </si>
  <si>
    <t>Reinstatement of grass areas</t>
  </si>
  <si>
    <t>B25</t>
  </si>
  <si>
    <t>Provision of stock proof fencing to borehole or dynamic sample work area</t>
  </si>
  <si>
    <t>B26</t>
  </si>
  <si>
    <t>Disposal of excess or surplus inert arisings from cable percussion boring or dynamic sampling (where standpipe or piezometer is not installed)</t>
  </si>
  <si>
    <t>Total Section B carried to summary:</t>
  </si>
  <si>
    <t>Rotary drilling</t>
  </si>
  <si>
    <t>Hand augering</t>
  </si>
  <si>
    <t>C1</t>
  </si>
  <si>
    <t>Bring hand auger equipment to the position of each exploratory hole</t>
  </si>
  <si>
    <t>C2</t>
  </si>
  <si>
    <t>Bore with hand auger from existing ground level to 2m depth</t>
  </si>
  <si>
    <t>C3</t>
  </si>
  <si>
    <t>As Item C2 but between 2 and 4m depth</t>
  </si>
  <si>
    <t>C4</t>
  </si>
  <si>
    <t>Standing time for hand auger equipment and crew</t>
  </si>
  <si>
    <t>C5</t>
  </si>
  <si>
    <t>Provision of hand augering equipment and crew for augering as directed by the Investigation Supervisor maximum depth 4m</t>
  </si>
  <si>
    <t>day</t>
  </si>
  <si>
    <t>C6</t>
  </si>
  <si>
    <t>Backfill hand auger hole with cement/bentonite grout or bentonite pellets</t>
  </si>
  <si>
    <t>Continuous flight and hollow-stem flight augering</t>
  </si>
  <si>
    <t>C7</t>
  </si>
  <si>
    <t>C7.1</t>
  </si>
  <si>
    <t>C8</t>
  </si>
  <si>
    <t>Extra over Item C7 for setting up on a slope of gradient greater than 20%</t>
  </si>
  <si>
    <t>C9</t>
  </si>
  <si>
    <t>C10</t>
  </si>
  <si>
    <t>C11</t>
  </si>
  <si>
    <t>C12</t>
  </si>
  <si>
    <t>C13</t>
  </si>
  <si>
    <t>C14</t>
  </si>
  <si>
    <t>Backfill auger hole with cement/bentonite grout or bentonite pellets (PROVISIONAL)</t>
  </si>
  <si>
    <t>C15</t>
  </si>
  <si>
    <t>C16</t>
  </si>
  <si>
    <t>C17</t>
  </si>
  <si>
    <t>Extra over Item C15 for setting up drilling plant for inclined drillhole</t>
  </si>
  <si>
    <t>C18</t>
  </si>
  <si>
    <t>C19</t>
  </si>
  <si>
    <t>C20</t>
  </si>
  <si>
    <t>Provide aquifer protection measures at a single aquiclude/aquifer boundary in a drillhole</t>
  </si>
  <si>
    <t>Drilling without cores</t>
  </si>
  <si>
    <t>C21</t>
  </si>
  <si>
    <t>C22</t>
  </si>
  <si>
    <t>C23</t>
  </si>
  <si>
    <t>As Item C21 but between 20 and 30m depth</t>
  </si>
  <si>
    <t>C24</t>
  </si>
  <si>
    <t>As Item C21 but between 30 and 40m depth</t>
  </si>
  <si>
    <t>C25</t>
  </si>
  <si>
    <t>As Item C21 but between 40 and 50m depth</t>
  </si>
  <si>
    <t>C26</t>
  </si>
  <si>
    <t>Extra over Items C21 to C25 for inclined rotary drillhole</t>
  </si>
  <si>
    <t>C27</t>
  </si>
  <si>
    <t>C28</t>
  </si>
  <si>
    <t>C29</t>
  </si>
  <si>
    <t>As Item C27 but between 20 and 30m depth</t>
  </si>
  <si>
    <t>C30</t>
  </si>
  <si>
    <t>As Item C27 but between 30 and 40m depth</t>
  </si>
  <si>
    <t>C31</t>
  </si>
  <si>
    <t>As Item C27 but between 40 and 50m depth</t>
  </si>
  <si>
    <t>C32</t>
  </si>
  <si>
    <t>Extra over Items C27 to C31 for inclined drillhole</t>
  </si>
  <si>
    <t>C33</t>
  </si>
  <si>
    <t>Drilling to obtain cores</t>
  </si>
  <si>
    <t>C34</t>
  </si>
  <si>
    <t>C35</t>
  </si>
  <si>
    <t>C36</t>
  </si>
  <si>
    <t>As Item C34 but between 20 and 30m depth</t>
  </si>
  <si>
    <t>C37</t>
  </si>
  <si>
    <t>As Item C34 but between 30 and 40m depth</t>
  </si>
  <si>
    <t>C38</t>
  </si>
  <si>
    <t>As Item C34 but between 40 and 50m depth</t>
  </si>
  <si>
    <t>C39</t>
  </si>
  <si>
    <t>Extra over Items C34 to C38 for use of semi-rigid core liner</t>
  </si>
  <si>
    <t>C40</t>
  </si>
  <si>
    <t>Extra over Items C34 to C38 for coring inclined rotary drillhole</t>
  </si>
  <si>
    <t>C41</t>
  </si>
  <si>
    <t>C42</t>
  </si>
  <si>
    <t>C43</t>
  </si>
  <si>
    <t>As Item C41 but between 20 and 30m depth</t>
  </si>
  <si>
    <t>C44</t>
  </si>
  <si>
    <t>As Item C41 but between 30 and 40m depth</t>
  </si>
  <si>
    <t>C45</t>
  </si>
  <si>
    <t>As Item C41 but between 40 and 50m depth</t>
  </si>
  <si>
    <t>C46</t>
  </si>
  <si>
    <t>Extra over Items C41 to C45 for use of semi-rigid liner</t>
  </si>
  <si>
    <t>C47</t>
  </si>
  <si>
    <t>Extra over Items C41 to C45 for coring inclined rotary drillhole</t>
  </si>
  <si>
    <t>C48</t>
  </si>
  <si>
    <t>Backfill rotary drillhole with cement/bentonite grout or bentonite pellets (where standpipe or piezometer is not installed)</t>
  </si>
  <si>
    <t>C49</t>
  </si>
  <si>
    <t>Core box to be retained by the client</t>
  </si>
  <si>
    <t>C50</t>
  </si>
  <si>
    <t>Move rotary percussive drilling plant and equipment to the site of each drill hole and set up</t>
  </si>
  <si>
    <t>C51</t>
  </si>
  <si>
    <t>Extra over Item C50 for setting up on a slope of gradient greater than 20%</t>
  </si>
  <si>
    <t>C52</t>
  </si>
  <si>
    <t>Rotary percussive drill at the specified diameter in any material between existing ground level and 10m depth</t>
  </si>
  <si>
    <t>C53</t>
  </si>
  <si>
    <t>As Item C52 but between 10 and 20m depth</t>
  </si>
  <si>
    <t>C54</t>
  </si>
  <si>
    <t>As Item C52 but between 20 and 30m depth</t>
  </si>
  <si>
    <t>C55</t>
  </si>
  <si>
    <t>As Item C52 but between 30 and 40m depth</t>
  </si>
  <si>
    <t>C56</t>
  </si>
  <si>
    <t>As Item C52 but between 40 and 50m depth</t>
  </si>
  <si>
    <t>C57</t>
  </si>
  <si>
    <t>Standing time for rotary percussive drilling plant, equipment and crew</t>
  </si>
  <si>
    <t>C58</t>
  </si>
  <si>
    <t>Backfill rotary percussive drillhole with cement/bentonite grout or bentonite pellets (where standpipe or piezometer is not installed)</t>
  </si>
  <si>
    <t xml:space="preserve">Geobor S Rotary Drilling </t>
  </si>
  <si>
    <t>C59</t>
  </si>
  <si>
    <t>C60</t>
  </si>
  <si>
    <t>C61</t>
  </si>
  <si>
    <t>Provision of biodegradable polymer gel (drilling fluid) for Geobor S coring</t>
  </si>
  <si>
    <t>C62</t>
  </si>
  <si>
    <t>C63</t>
  </si>
  <si>
    <t>Geobor S Rotary Coring (to produce 102mm diameter cores)</t>
  </si>
  <si>
    <t>C64</t>
  </si>
  <si>
    <t>C65</t>
  </si>
  <si>
    <t>C66</t>
  </si>
  <si>
    <t>C67</t>
  </si>
  <si>
    <t>As Item C65 but between 20 and 30m depth</t>
  </si>
  <si>
    <t>C68</t>
  </si>
  <si>
    <t>As Item C65 but between 30 and 40m depth</t>
  </si>
  <si>
    <t>C69</t>
  </si>
  <si>
    <t>As Item C65 but between 40 and 50m depth</t>
  </si>
  <si>
    <t>C70</t>
  </si>
  <si>
    <t>Rotary drilling using Geobor S equipment to recover cores in bedrock formation(s) using polymer gel/mud drilling fluid in depth range 0 to 10m</t>
  </si>
  <si>
    <t>C71</t>
  </si>
  <si>
    <t>As Item C65 but between 10 and 20m depth</t>
  </si>
  <si>
    <t>C72</t>
  </si>
  <si>
    <t>C73</t>
  </si>
  <si>
    <t>C74</t>
  </si>
  <si>
    <t>C75</t>
  </si>
  <si>
    <t>Extra over items C64 to C74 for inclined Geobor S drillhole (maximum of 20 degrees from the vertical)</t>
  </si>
  <si>
    <t xml:space="preserve">Geobor S Rotary Drilling - Additional Items </t>
  </si>
  <si>
    <t>C76</t>
  </si>
  <si>
    <t>C77</t>
  </si>
  <si>
    <t>C78</t>
  </si>
  <si>
    <t>Provision of core boxes (2m of Geobor S per core box)</t>
  </si>
  <si>
    <t>C79</t>
  </si>
  <si>
    <t>Disposal of Geobor S drilling supernatant flush returns (contained in the recirculation tanks) where permitted on site. Note disposal areas / locations to be recorded and photographed by contractor</t>
  </si>
  <si>
    <t>C80</t>
  </si>
  <si>
    <t>Disposal of Geobor S drilling supernatant flush returns (contained in the recirculation tanks) to landfill by tanker where on site disposal is not permitted. Note tanker delivery dockets to be retained by the Contractor.</t>
  </si>
  <si>
    <t>Reinstatement of Rotary Boreholes</t>
  </si>
  <si>
    <t>C81</t>
  </si>
  <si>
    <t>C82</t>
  </si>
  <si>
    <t>C83</t>
  </si>
  <si>
    <t>C84</t>
  </si>
  <si>
    <t>Provision of stock proof fencing to rotary drilling works area</t>
  </si>
  <si>
    <t>C85</t>
  </si>
  <si>
    <t>D</t>
  </si>
  <si>
    <t>Pitting and trenching</t>
  </si>
  <si>
    <t>D1</t>
  </si>
  <si>
    <t>D2</t>
  </si>
  <si>
    <t>Trial pits and trenches (non paved areas)</t>
  </si>
  <si>
    <t>D3</t>
  </si>
  <si>
    <t>D4</t>
  </si>
  <si>
    <t>Extra over Item D3 for setting up on a slope of gradient greater than 20%</t>
  </si>
  <si>
    <t>D5</t>
  </si>
  <si>
    <t>Extra over Item D3 for trial pit or trench between 4.5 and 6m depth</t>
  </si>
  <si>
    <t>D6</t>
  </si>
  <si>
    <t>D7</t>
  </si>
  <si>
    <t>D8</t>
  </si>
  <si>
    <t>As Item D6 but between 4.5 and 6m depth</t>
  </si>
  <si>
    <t>D9</t>
  </si>
  <si>
    <t>Excavate trial trench between existing ground level and 3.0m depth</t>
  </si>
  <si>
    <t>D10</t>
  </si>
  <si>
    <t>As Item D9 between 3.0 and 4.5m in depth</t>
  </si>
  <si>
    <t>D11</t>
  </si>
  <si>
    <t>As Item D9 between 4.5 and 6m depth</t>
  </si>
  <si>
    <t>Trial pits and trenches (paved areas)</t>
  </si>
  <si>
    <t>D12</t>
  </si>
  <si>
    <t>Set up trial pit in road area to include erection of traffic management systems (works supervised by Engineer/ Geologist with valid CSCS Card for signing, lighting and guarding at roadworks)</t>
  </si>
  <si>
    <t>D13</t>
  </si>
  <si>
    <t>Set up slit trench in road area to include erection of traffic management systems (works supervised by Engineer/ Geologist with valid CSCS Card for signing, lighting and guarding at roadworks)</t>
  </si>
  <si>
    <t>D14</t>
  </si>
  <si>
    <t>Saw cut paved areas in advance of the works</t>
  </si>
  <si>
    <t>linear m</t>
  </si>
  <si>
    <t>D15</t>
  </si>
  <si>
    <t>Breaking out hard material or surface obstructions</t>
  </si>
  <si>
    <t>D16</t>
  </si>
  <si>
    <t>Excavate trial pit in paved areas between ground level and 1.20m depth (works by either hand excavation or hand assisted machine excavation)</t>
  </si>
  <si>
    <t>m depth</t>
  </si>
  <si>
    <t>D17</t>
  </si>
  <si>
    <t>As D16 but depth in range 1.2m to 3.0m</t>
  </si>
  <si>
    <t>D18</t>
  </si>
  <si>
    <t>Excavate slit trench in paved areas between ground level and 1.2m depth (works by either hand excavation or hand assisted machine excavation)</t>
  </si>
  <si>
    <t>D19</t>
  </si>
  <si>
    <t>D20</t>
  </si>
  <si>
    <t>Observation pits and trenches</t>
  </si>
  <si>
    <t>D21</t>
  </si>
  <si>
    <t>Move equipment to the site of each observation pit or trench of not greater than 4.5m depth</t>
  </si>
  <si>
    <t>D22</t>
  </si>
  <si>
    <t>Extra over Item D21 for setting up on a slope of gradient greater than 20%</t>
  </si>
  <si>
    <t>D23</t>
  </si>
  <si>
    <t>Extra over Item D21 for trial pit or trench between 4.5 and 6m depth</t>
  </si>
  <si>
    <t>D24</t>
  </si>
  <si>
    <t>Excavate observation pit between existing ground level and 3.0m depth</t>
  </si>
  <si>
    <t>D25</t>
  </si>
  <si>
    <t>As Item D24 but between 3.0 and 4.5m depth</t>
  </si>
  <si>
    <t>D26</t>
  </si>
  <si>
    <t>As Item D24 but between 4.5 and 6m depth</t>
  </si>
  <si>
    <t>D27</t>
  </si>
  <si>
    <t>Extra over Item D24 for hand excavation</t>
  </si>
  <si>
    <t>D28</t>
  </si>
  <si>
    <t>Excavate observation trench between existing ground level and 3.0m depth</t>
  </si>
  <si>
    <t>D29</t>
  </si>
  <si>
    <t>As Item D28 but between 3.0 and 4.5m depth</t>
  </si>
  <si>
    <t>D30</t>
  </si>
  <si>
    <t>As Item D28 but between 4.5 and 6m depth</t>
  </si>
  <si>
    <t>D31</t>
  </si>
  <si>
    <t>Extra over Item D28 for hand excavation</t>
  </si>
  <si>
    <t>D32</t>
  </si>
  <si>
    <t>Extra over Items D24 to D26  for breaking out hard strata or obstructions</t>
  </si>
  <si>
    <t>D33</t>
  </si>
  <si>
    <t>Extra over Items D28 to D30 for breaking out hard strata or obstructions</t>
  </si>
  <si>
    <t>D34</t>
  </si>
  <si>
    <t>Standing time for excavation plant, equipment and crew for machine dug observation pit or trench</t>
  </si>
  <si>
    <t>D35</t>
  </si>
  <si>
    <t>Standing time for excavation plant, equipment and crew for hand dug observation pit or trench</t>
  </si>
  <si>
    <t>Daily provision of pitting crew and equipment</t>
  </si>
  <si>
    <t>D36</t>
  </si>
  <si>
    <t>Provision of excavation plant equipment and crew for machine dug trial pits or trenches as directed by the Investigation Supervisor, maximum depth 3.0m</t>
  </si>
  <si>
    <t>D37</t>
  </si>
  <si>
    <t>As Item D36 but between 3.0 and 4.5m depth</t>
  </si>
  <si>
    <t>D38</t>
  </si>
  <si>
    <t>As Item D36 but between 4.5 and 6.0m depth</t>
  </si>
  <si>
    <t>D39</t>
  </si>
  <si>
    <t>Provision of excavation plant, equipment and crew for machine-dug observation pit or trench as directed by the Investigation Supervisor, maximum depth 3.0m</t>
  </si>
  <si>
    <t>D40</t>
  </si>
  <si>
    <t>As Item D39 but between 3.0 and 4.5m depth</t>
  </si>
  <si>
    <t>D41</t>
  </si>
  <si>
    <t>As Item D39 but between 4.5 and 6.0m depth</t>
  </si>
  <si>
    <t>D42</t>
  </si>
  <si>
    <t>As Item D39 but for hand excavation</t>
  </si>
  <si>
    <t>D43</t>
  </si>
  <si>
    <t>Extra over Items D36 to D38 and D39 to D41 for breaking out hard strata or obstructions</t>
  </si>
  <si>
    <t>General</t>
  </si>
  <si>
    <t>D44</t>
  </si>
  <si>
    <t>Bring pump to the position of each exploratory pit or trench</t>
  </si>
  <si>
    <t>D45</t>
  </si>
  <si>
    <t>Pump water from pit or trench</t>
  </si>
  <si>
    <t>D46</t>
  </si>
  <si>
    <t>Extra over Item D38 for temporary storage, treatment and disposal of contaminated groundwater from trial pit or trench</t>
  </si>
  <si>
    <t>Provisional Sum</t>
  </si>
  <si>
    <t>D47</t>
  </si>
  <si>
    <t>Leave open observation pit or trench</t>
  </si>
  <si>
    <t>D48</t>
  </si>
  <si>
    <t>Leave open trial pit or trench</t>
  </si>
  <si>
    <t>Trail pit / slit trench backfill &amp; reinstatement works</t>
  </si>
  <si>
    <t>D49</t>
  </si>
  <si>
    <t>D50</t>
  </si>
  <si>
    <t>D50.2</t>
  </si>
  <si>
    <t>Laying Turf Along Access Routes to Exploratory Holes</t>
  </si>
  <si>
    <t>D51</t>
  </si>
  <si>
    <t>D52</t>
  </si>
  <si>
    <t>D53</t>
  </si>
  <si>
    <t>D54</t>
  </si>
  <si>
    <t>Repair of road markings</t>
  </si>
  <si>
    <t>D55</t>
  </si>
  <si>
    <t>Disposal of excess or surplus inert arisings from trial pits or trenches (where imported granular fill or lean mix concrete is used as backfill)</t>
  </si>
  <si>
    <t>Total Section D carried to summary:</t>
  </si>
  <si>
    <t>E</t>
  </si>
  <si>
    <t>Sampling and monitoring during intrusive investigation</t>
  </si>
  <si>
    <t>Samples for geotechnical purposes</t>
  </si>
  <si>
    <t>E1</t>
  </si>
  <si>
    <t>Jar sample</t>
  </si>
  <si>
    <t>E2</t>
  </si>
  <si>
    <t>Tub sample</t>
  </si>
  <si>
    <t>E3</t>
  </si>
  <si>
    <t>Bulk sample</t>
  </si>
  <si>
    <t>E4</t>
  </si>
  <si>
    <t>Large bulk disturbed sample</t>
  </si>
  <si>
    <t>E5</t>
  </si>
  <si>
    <t>Open tube- thick walled sample (0 to 10m depth)</t>
  </si>
  <si>
    <t>E6</t>
  </si>
  <si>
    <t>Open tube- thin walled sample (0 to 10m depth)</t>
  </si>
  <si>
    <t>E7</t>
  </si>
  <si>
    <t>Piston sample (0 to 10m depth)</t>
  </si>
  <si>
    <t>E8.1</t>
  </si>
  <si>
    <t xml:space="preserve">Extra over rate for item E5 in depth range 10m to 20m </t>
  </si>
  <si>
    <t>E8.2</t>
  </si>
  <si>
    <t xml:space="preserve">Extra over rate for item E6 in depth range 10m to 20m </t>
  </si>
  <si>
    <t>E8.3</t>
  </si>
  <si>
    <t xml:space="preserve">Extra over rate for item E7 in depth range 10m to 20m </t>
  </si>
  <si>
    <t>E9</t>
  </si>
  <si>
    <t>Groundwater sample</t>
  </si>
  <si>
    <t>E10</t>
  </si>
  <si>
    <t>Ground Gas sample</t>
  </si>
  <si>
    <t>E11</t>
  </si>
  <si>
    <t xml:space="preserve">Cut, prepare and protect core sub-sample </t>
  </si>
  <si>
    <t>Samples for environmental / contamination analysis</t>
  </si>
  <si>
    <t>E12</t>
  </si>
  <si>
    <t>Environmental / contamination sample for Suite E</t>
  </si>
  <si>
    <t>E13</t>
  </si>
  <si>
    <t>Environmental / contamination sample for Suite F</t>
  </si>
  <si>
    <t>E14</t>
  </si>
  <si>
    <t>Ground gas sample for Suite G</t>
  </si>
  <si>
    <t>E15</t>
  </si>
  <si>
    <t>Environmental / contamination sample for Suite H (PROVISIONAL)</t>
  </si>
  <si>
    <t>E16</t>
  </si>
  <si>
    <t>E17</t>
  </si>
  <si>
    <t>(Note sample rate includes provision of specialist containers)</t>
  </si>
  <si>
    <t>Total Section E carried to summary:</t>
  </si>
  <si>
    <t>Total Section F carried to summary:</t>
  </si>
  <si>
    <t>F</t>
  </si>
  <si>
    <t>Probing and cone penetration testing</t>
  </si>
  <si>
    <t>Dynamic probing (DPH)</t>
  </si>
  <si>
    <t>F1</t>
  </si>
  <si>
    <t>Bring dynamic probe (DPH) equipment to the site of each test location</t>
  </si>
  <si>
    <t>F2</t>
  </si>
  <si>
    <t>Extra over Item F1 for setting up on a slope of gradient greater than 20%</t>
  </si>
  <si>
    <t>F3</t>
  </si>
  <si>
    <t>Carry out dynamic probe test from existing ground level to 5m depth</t>
  </si>
  <si>
    <t>F4</t>
  </si>
  <si>
    <t>As Item F3 but between 5 and 10m depth</t>
  </si>
  <si>
    <t>F5</t>
  </si>
  <si>
    <t>As Item F3 but between 10 and 15m depth</t>
  </si>
  <si>
    <t>F6</t>
  </si>
  <si>
    <t>Standing time for dynamic probe test equipment and crew</t>
  </si>
  <si>
    <t>F7</t>
  </si>
  <si>
    <t>Provision of dynamic probing equipment and crew for probing as directed by the Investigation Supervisor; maximum depth 15m</t>
  </si>
  <si>
    <t>Cone penetration testing</t>
  </si>
  <si>
    <t>F8</t>
  </si>
  <si>
    <t>Bring static cone penetration test equipment to the site of each test location</t>
  </si>
  <si>
    <t>F9</t>
  </si>
  <si>
    <t>Extra over Item F8 for setting up on a slope of gradient greater than 20%</t>
  </si>
  <si>
    <t>F10</t>
  </si>
  <si>
    <t>Carry out static cone penetration test measuring both cone and sleeve resistance from existing ground level to 10m depth</t>
  </si>
  <si>
    <t>F11</t>
  </si>
  <si>
    <t>As Item F10 but between 10 and 20m depth</t>
  </si>
  <si>
    <t>F12</t>
  </si>
  <si>
    <t>As Item F10 but between 20 and 30m depth</t>
  </si>
  <si>
    <t>F13</t>
  </si>
  <si>
    <t>As Item F10 but between 30 and 40m depth</t>
  </si>
  <si>
    <t>F14</t>
  </si>
  <si>
    <t>Extra over Items F10 to F13 for use of piezocone</t>
  </si>
  <si>
    <t>F15</t>
  </si>
  <si>
    <t>Extra over Items F10 to F13 for interpretation of CPT/CPTU data</t>
  </si>
  <si>
    <t>F16</t>
  </si>
  <si>
    <t>Carry out dissipation test up to 1 hour duration</t>
  </si>
  <si>
    <t>F17</t>
  </si>
  <si>
    <t>Extra over Item F16 for test duration exceeding 1 hour</t>
  </si>
  <si>
    <t>F18</t>
  </si>
  <si>
    <t>Standing time for static cone penetration test equipment and crew</t>
  </si>
  <si>
    <t>F19</t>
  </si>
  <si>
    <t>Extra over Items F10 to F13 for use of seismic cone</t>
  </si>
  <si>
    <t>F20</t>
  </si>
  <si>
    <t>Carry out seismic cone test</t>
  </si>
  <si>
    <t>F21</t>
  </si>
  <si>
    <t>Extra over Item F20  for interpretation of seismic cone data</t>
  </si>
  <si>
    <t>F22</t>
  </si>
  <si>
    <t>Standing time for seismic cone test equipment and crew</t>
  </si>
  <si>
    <t>G</t>
  </si>
  <si>
    <t>Geophysical testing</t>
  </si>
  <si>
    <t>Land-based mapping techniques</t>
  </si>
  <si>
    <t>G1</t>
  </si>
  <si>
    <t>G2</t>
  </si>
  <si>
    <t>Conduct and process electro magnetic conductivity (EMC) profiles</t>
  </si>
  <si>
    <t>G3</t>
  </si>
  <si>
    <t>Conduct and process electrical resistivity tomography (ERT) profiles</t>
  </si>
  <si>
    <t>G4</t>
  </si>
  <si>
    <t>Conduct and process seismic refraction spreads (P or S wave)</t>
  </si>
  <si>
    <t>G5</t>
  </si>
  <si>
    <t>Conduct and [rocess surface wave spreads (1D or 2D MASW)</t>
  </si>
  <si>
    <t>Borehole geophysical surveying</t>
  </si>
  <si>
    <t>G6</t>
  </si>
  <si>
    <t>Establish down-hole geophysical logging equipment and personnel to the site of each exploratory hole and set up at each location</t>
  </si>
  <si>
    <t>G7</t>
  </si>
  <si>
    <t>Conduct and process down the hole calliper, natural gamma, resistivity, sonic, fluid, temperature, conductivity, and fluid flow logging</t>
  </si>
  <si>
    <t>G8</t>
  </si>
  <si>
    <t xml:space="preserve">Conduct and process cross-hole seismic readings at specified intervals </t>
  </si>
  <si>
    <t xml:space="preserve">Marine (overwater) geophysical surveying </t>
  </si>
  <si>
    <t>G9</t>
  </si>
  <si>
    <t>Establish geophysical personnel and field equipment and demobilisation on completion</t>
  </si>
  <si>
    <t>G10</t>
  </si>
  <si>
    <t>conduct and process echo sounding, side scan sonar, magnetic, sub-bottom profile surveying</t>
  </si>
  <si>
    <t>Contract specific additional bill items</t>
  </si>
  <si>
    <t>Total Section G carried to summary:</t>
  </si>
  <si>
    <t>H</t>
  </si>
  <si>
    <t>In situ testing</t>
  </si>
  <si>
    <t>H1.1</t>
  </si>
  <si>
    <t>Standard penetration test in percussive borehole, depth range 0 to 10m</t>
  </si>
  <si>
    <t>H1.2</t>
  </si>
  <si>
    <t>Standard penetration test in percussive borehole, depth range 10 to 20m</t>
  </si>
  <si>
    <t>H1.3</t>
  </si>
  <si>
    <t>Standard penetration test in percussive borehole, depth range 20 to 30m</t>
  </si>
  <si>
    <t>H1.4</t>
  </si>
  <si>
    <t>Standard penetration test in percussive borehole, depth range 30 to 40m</t>
  </si>
  <si>
    <t>H2.1</t>
  </si>
  <si>
    <t>H2.2</t>
  </si>
  <si>
    <t>Standard penetration test in rotary drillhole, depth range 10 to 20m</t>
  </si>
  <si>
    <t>H2.3</t>
  </si>
  <si>
    <t>Standard penetration test in rotary drillhole, depth range 20 to 30m</t>
  </si>
  <si>
    <t>H2.4</t>
  </si>
  <si>
    <t>Standard penetration test in rotary drillhole, depth range 30 to 40m</t>
  </si>
  <si>
    <t>H3</t>
  </si>
  <si>
    <t xml:space="preserve">In-situ density testing </t>
  </si>
  <si>
    <t>H3.1</t>
  </si>
  <si>
    <t>Small pouring cylinder method</t>
  </si>
  <si>
    <t>H3.2</t>
  </si>
  <si>
    <t>Large pouring cylinder method</t>
  </si>
  <si>
    <t>H3.3</t>
  </si>
  <si>
    <t>Water replacement method</t>
  </si>
  <si>
    <t>H3.4</t>
  </si>
  <si>
    <t>Core cutter method</t>
  </si>
  <si>
    <t>H3.5</t>
  </si>
  <si>
    <t>Nuclear gauge method</t>
  </si>
  <si>
    <t>H4</t>
  </si>
  <si>
    <t>California Bearing Ratio by plate bearing test by plunger method</t>
  </si>
  <si>
    <t>H4.1</t>
  </si>
  <si>
    <t>H5</t>
  </si>
  <si>
    <t>Vane shear strength test in borehole / trial pit / trench</t>
  </si>
  <si>
    <t>H7</t>
  </si>
  <si>
    <t>Hand penetrometer test (set of 3 readings)</t>
  </si>
  <si>
    <t>H8</t>
  </si>
  <si>
    <t>Other tests</t>
  </si>
  <si>
    <t>H9</t>
  </si>
  <si>
    <t>In situ geophysical techniques (resistivity and redox potential) for earthing analysis</t>
  </si>
  <si>
    <t>Permeability testing</t>
  </si>
  <si>
    <t>H10</t>
  </si>
  <si>
    <t>Set up, execute and dismantle variable head permeability test in cable percussive borehole</t>
  </si>
  <si>
    <t>H11</t>
  </si>
  <si>
    <t>Set up, execute and dismantle constant head permeability test in cable percussive borehole</t>
  </si>
  <si>
    <t>H12</t>
  </si>
  <si>
    <t>Set up, execute and dismantle variable head permeability test in rotary drillhole</t>
  </si>
  <si>
    <t>H13</t>
  </si>
  <si>
    <t>Set up, execute and dismantle constant head permeability test in rotary drillhole</t>
  </si>
  <si>
    <t>H14</t>
  </si>
  <si>
    <t>Set up, execute and dismantle variable head permeability test in standpipe or standpipe piezometer (rising or falling head test)</t>
  </si>
  <si>
    <t>H15</t>
  </si>
  <si>
    <t>Set up and execute constant head permeability test in standpipe or standpipe piezometer</t>
  </si>
  <si>
    <t>H16</t>
  </si>
  <si>
    <t>Set up and execute packer permeability test in rotary borehole (0 to 10m)</t>
  </si>
  <si>
    <t>H17</t>
  </si>
  <si>
    <t>Set up and execute packer permeability test in rotary borehole (10 to 20m)</t>
  </si>
  <si>
    <t>Note: rates for permeability test in boreholes or rotary holes to include standing time rate for plant and equipment</t>
  </si>
  <si>
    <t>Soil infiltration test (BRE Digest 365)</t>
  </si>
  <si>
    <t>H18</t>
  </si>
  <si>
    <t>Set up at each test location, excavate trial hole and prepare test area</t>
  </si>
  <si>
    <t>H19</t>
  </si>
  <si>
    <t>Backfill test hole with clean imported gravel where excavation side walls are unstable</t>
  </si>
  <si>
    <t>H20</t>
  </si>
  <si>
    <t>Install 50mm standpipe in H18 to allow for monitoring of water levels</t>
  </si>
  <si>
    <t>H21</t>
  </si>
  <si>
    <t>Carry out pre-soaking of test areas</t>
  </si>
  <si>
    <t>H22</t>
  </si>
  <si>
    <t>Carry out soakaway tests in accordance with BRE Digest 365 (3 cycles)</t>
  </si>
  <si>
    <t>H23</t>
  </si>
  <si>
    <t>Provision of water supply for infiltration testing</t>
  </si>
  <si>
    <t>H24</t>
  </si>
  <si>
    <t>Protection and temporary fencing of works area as instructed by Investigation Supervisor</t>
  </si>
  <si>
    <t>H25</t>
  </si>
  <si>
    <t>Calculation of infiltration rate for each test location</t>
  </si>
  <si>
    <t>Soil infiltration test (EPA Percolation test)</t>
  </si>
  <si>
    <t>H26</t>
  </si>
  <si>
    <t>H27</t>
  </si>
  <si>
    <t>Carry out infiltration tests in accordance with EPA Guidelines (test to be carried out by an approved Engineer / Geologist in accordance with EPA requirements)</t>
  </si>
  <si>
    <t>H28</t>
  </si>
  <si>
    <t>Provide report on percolation test (by Chartered Engineer or Professional Geologist)</t>
  </si>
  <si>
    <t xml:space="preserve">Plate Bearing Test </t>
  </si>
  <si>
    <t>H29</t>
  </si>
  <si>
    <t>Set up at each plate test location to include kentledge / reaction weight and carry out plate test using a 300mm diameter plate. Test in accordance with NRA SRW CL642</t>
  </si>
  <si>
    <t>H30</t>
  </si>
  <si>
    <t>Set up at each plate test location to include kentledge / reaction weight and carry out plate test using a 450mm diameter plate. Test in accordance with NRA SRW CL642</t>
  </si>
  <si>
    <t>H31</t>
  </si>
  <si>
    <t>Set up at each plate test location to include kentledge / reaction weight and carry out plate test using a 600mm diameter plate. Test in accordance with NRA SRW CL642</t>
  </si>
  <si>
    <t>H32</t>
  </si>
  <si>
    <t>Extra over Items H29-H31 for test durations in excess of 2 hours per location</t>
  </si>
  <si>
    <t>H33</t>
  </si>
  <si>
    <t>Provide plate test report with load steelement plot and calculation of Ks and CBR valu to HD 25-26/10</t>
  </si>
  <si>
    <t>Other specialist tests</t>
  </si>
  <si>
    <t>H34</t>
  </si>
  <si>
    <t>Reading of free product level in borehole using an interface probe</t>
  </si>
  <si>
    <t>H35</t>
  </si>
  <si>
    <t>Provide contamination screening test kits (per sample)</t>
  </si>
  <si>
    <t>H36</t>
  </si>
  <si>
    <t>Carry out headspace testing on sample by FID or PID methods (PROVISIONAL)</t>
  </si>
  <si>
    <t>H37</t>
  </si>
  <si>
    <t>Self boring pressuremeter</t>
  </si>
  <si>
    <t>H38</t>
  </si>
  <si>
    <t>high pressure dilatometer</t>
  </si>
  <si>
    <t>H39</t>
  </si>
  <si>
    <t>Menard Presuremeter</t>
  </si>
  <si>
    <t>I</t>
  </si>
  <si>
    <t>Instrumentation</t>
  </si>
  <si>
    <t>Standpipes and piezometers</t>
  </si>
  <si>
    <t>I1</t>
  </si>
  <si>
    <t xml:space="preserve">Backfill exploratory hole with cement/bentonite grout or bentonite pellets </t>
  </si>
  <si>
    <t>I2</t>
  </si>
  <si>
    <t>Provide and install 19mm casagrande piezometer tip</t>
  </si>
  <si>
    <t>I3</t>
  </si>
  <si>
    <t>Provide and install sand cell to I2</t>
  </si>
  <si>
    <t>I4</t>
  </si>
  <si>
    <t>Provide and install 19mm casing/piezometer plain pipe</t>
  </si>
  <si>
    <t>I5</t>
  </si>
  <si>
    <t>Provide and install bentonite seals to I4</t>
  </si>
  <si>
    <t>I6</t>
  </si>
  <si>
    <t xml:space="preserve">Provide and install propietary slotted standpipe (50mm internal diameter) </t>
  </si>
  <si>
    <t>I7</t>
  </si>
  <si>
    <t>Provide and install gravel pack to I6</t>
  </si>
  <si>
    <t>I8</t>
  </si>
  <si>
    <t>Provide and install propietary casing / plain standpipe (50mm internal diameter)</t>
  </si>
  <si>
    <t>I9</t>
  </si>
  <si>
    <t>Provide and install bentonite seals to I8</t>
  </si>
  <si>
    <t>I10</t>
  </si>
  <si>
    <t>Provide and install slotted propietary standpipe (100mm internal diameter)</t>
  </si>
  <si>
    <t>I11</t>
  </si>
  <si>
    <t>Provide and install gravel pack to I10</t>
  </si>
  <si>
    <t>I12</t>
  </si>
  <si>
    <t>Provide and install casing/plain standpipe (100mm internal diameter)</t>
  </si>
  <si>
    <t>I13</t>
  </si>
  <si>
    <t>Provide and install bentonite seals to I12</t>
  </si>
  <si>
    <t>I14</t>
  </si>
  <si>
    <t>Provide an install end caps to I6 or I10</t>
  </si>
  <si>
    <t>I15</t>
  </si>
  <si>
    <t>Provide and install quick release gas valve to I6 or I10</t>
  </si>
  <si>
    <t>I16</t>
  </si>
  <si>
    <t>Provide and install protective cover (flush)</t>
  </si>
  <si>
    <t>I17</t>
  </si>
  <si>
    <t>Provide and install protective cover (raised)</t>
  </si>
  <si>
    <t>I18</t>
  </si>
  <si>
    <t>Extra over item I16 for heavy duty cover in pavements or highways</t>
  </si>
  <si>
    <t>I19</t>
  </si>
  <si>
    <t>Supply and erect protective stock proof fencing around standpipe or piezometer installation</t>
  </si>
  <si>
    <t>I20</t>
  </si>
  <si>
    <t>Supply and erect 1.5m high marker posts (3 x 1.5m)</t>
  </si>
  <si>
    <t>Standpipe and piezometer development / purging</t>
  </si>
  <si>
    <t>I21</t>
  </si>
  <si>
    <t>Supply equipment and personnel to carry out purging</t>
  </si>
  <si>
    <t>Not Required</t>
  </si>
  <si>
    <t>I22</t>
  </si>
  <si>
    <t>Develop standpipe or piezometer by purging (3 well volumes)</t>
  </si>
  <si>
    <t>I23</t>
  </si>
  <si>
    <t>As item I22 but by airlift pumping</t>
  </si>
  <si>
    <t>I24</t>
  </si>
  <si>
    <t>As item I22 but by over pumping</t>
  </si>
  <si>
    <t>I25</t>
  </si>
  <si>
    <t>As item I22 but by jetting</t>
  </si>
  <si>
    <t>I26</t>
  </si>
  <si>
    <t>Disposal of purged water</t>
  </si>
  <si>
    <t>litre</t>
  </si>
  <si>
    <t>Inclinometer</t>
  </si>
  <si>
    <t>I27</t>
  </si>
  <si>
    <t>Supply and install inclinometer tubing in exploratory hole (not including forming/drilling of borehole)</t>
  </si>
  <si>
    <t>I28</t>
  </si>
  <si>
    <t>Grout in place inclinometer in cable percussive or rotary borehole</t>
  </si>
  <si>
    <t>I29</t>
  </si>
  <si>
    <t xml:space="preserve">Provision of calibrated inclinometer read out unit for monitoring during investigation </t>
  </si>
  <si>
    <t>I30</t>
  </si>
  <si>
    <t>Carry out base  set of inclinometer readings in inclinometer and process</t>
  </si>
  <si>
    <t>I31</t>
  </si>
  <si>
    <t>Slip Indicator</t>
  </si>
  <si>
    <t>I32</t>
  </si>
  <si>
    <t>Provdie and install protective cover (raised) slip indicators</t>
  </si>
  <si>
    <t>I33</t>
  </si>
  <si>
    <t xml:space="preserve">Supply and install slip indicator in exploratory borehole, including brass probe (not including forming/drilling of borehole) </t>
  </si>
  <si>
    <t>I34</t>
  </si>
  <si>
    <t>I35</t>
  </si>
  <si>
    <t xml:space="preserve">Provide and install protective headwork cover (upraight) </t>
  </si>
  <si>
    <t>Total Section I carried to summary:</t>
  </si>
  <si>
    <t>J</t>
  </si>
  <si>
    <t>Installation monitoring and sampling (during Fieldwork Period)</t>
  </si>
  <si>
    <t>J1</t>
  </si>
  <si>
    <t>Reading of water level in standpipe or standpipe piezometer during fieldwork period</t>
  </si>
  <si>
    <t>J2</t>
  </si>
  <si>
    <t>Ground gas measurement in gas monitoring standpipe during fieldwork period</t>
  </si>
  <si>
    <t>J3</t>
  </si>
  <si>
    <t>Provide Engineer or Geologist to take inclinometer readings as directed by Investigation Supervisor (per installation)</t>
  </si>
  <si>
    <t>J4</t>
  </si>
  <si>
    <t>Provide Engineer or Geologist to take measurement of slip indicator (per installation)</t>
  </si>
  <si>
    <t>J5</t>
  </si>
  <si>
    <t>Provide Engineer/Geologist to take water sample from standpipe or standpipe piezometer (rate not including puriging or micro purging)</t>
  </si>
  <si>
    <t>J6</t>
  </si>
  <si>
    <t>Extra over Item J5 for purging or micro-purging in excess of 3 well volumes</t>
  </si>
  <si>
    <t>J7</t>
  </si>
  <si>
    <t>Provide Engineer / Geologist to recover ground gas samplefrom gas monitoring standpipe</t>
  </si>
  <si>
    <t>J8</t>
  </si>
  <si>
    <t>Provide Engineer / Geologist to read free product level in standpipe using an interface probe</t>
  </si>
  <si>
    <t>Installation monitoring and sampling (post Fieldwork Period)</t>
  </si>
  <si>
    <t>J9</t>
  </si>
  <si>
    <t>Return visit to site following completion of fieldwork for field instrumentation</t>
  </si>
  <si>
    <t>J10</t>
  </si>
  <si>
    <t>Extra over Item J9 for groundwater measurements in standpipe or standpipe piezometer during return visit</t>
  </si>
  <si>
    <t>J11</t>
  </si>
  <si>
    <t>Extra over Item J9 for ground gas measurements in standpipe during return visit</t>
  </si>
  <si>
    <t>J12</t>
  </si>
  <si>
    <t>Extra over Item J9 for set of inclinometer readings per installation during return visit and report results</t>
  </si>
  <si>
    <t>J13</t>
  </si>
  <si>
    <t>Extra over Item J9 to check for ground slippage in slip indicator installation during return visit to site</t>
  </si>
  <si>
    <t>J14</t>
  </si>
  <si>
    <t>Extra over Item J9 for water sample from standpipe or standpipe piezometer during return visit to site, including purging 3 volumes or micro-purging up to 3.0 hours</t>
  </si>
  <si>
    <t>J15</t>
  </si>
  <si>
    <t>Extra over Item J14 for purging or micro-purging in excess of 3.0 hours</t>
  </si>
  <si>
    <t>J16</t>
  </si>
  <si>
    <t>Extra over Item J9 for ground gas sample from gas monitoring standpipe during return visit to site</t>
  </si>
  <si>
    <t>J17</t>
  </si>
  <si>
    <t>Extra over Item J9 for reading of free product level in standpipe using an interface probe during return visit to site</t>
  </si>
  <si>
    <t>J18</t>
  </si>
  <si>
    <t>Provision of equipment to facilitate measuring of free product in Item J17</t>
  </si>
  <si>
    <t>J19</t>
  </si>
  <si>
    <t>Provide and install data logger to measure groundwater levels in standpipes</t>
  </si>
  <si>
    <t>J20</t>
  </si>
  <si>
    <t>Provide baro logger to monitor air pressure for item J19</t>
  </si>
  <si>
    <t>J21</t>
  </si>
  <si>
    <t>Provide Engineer / Geologist to visit site to download and process data logger and baro logger</t>
  </si>
  <si>
    <t>Surface water body sampling and testing</t>
  </si>
  <si>
    <t>J22</t>
  </si>
  <si>
    <t>Surface water body sample taken during fieldwork period</t>
  </si>
  <si>
    <t>J23</t>
  </si>
  <si>
    <t>Surface water body sample taken during return visit to site</t>
  </si>
  <si>
    <t>J24</t>
  </si>
  <si>
    <t>Determination of dissolved oxygen, conductivity, pH and temperature of surface water body during fieldwork period</t>
  </si>
  <si>
    <t>J25</t>
  </si>
  <si>
    <t>Determination of dissolved oxygen, conductivity, pH and temperature of surface water body during return visit to site</t>
  </si>
  <si>
    <t>Total Section J carried to summary:</t>
  </si>
  <si>
    <t>K</t>
  </si>
  <si>
    <t>Geotechnical laboratory testing</t>
  </si>
  <si>
    <t>K1</t>
  </si>
  <si>
    <t xml:space="preserve">Classification </t>
  </si>
  <si>
    <t>K1.1</t>
  </si>
  <si>
    <t>Moisture content</t>
  </si>
  <si>
    <t>K1.2</t>
  </si>
  <si>
    <t>Liquid limit, plastic limit and plasticity index</t>
  </si>
  <si>
    <t>K1.3</t>
  </si>
  <si>
    <t>Volumetric shrinkage</t>
  </si>
  <si>
    <t>K1.4</t>
  </si>
  <si>
    <t>Linear shrinkage</t>
  </si>
  <si>
    <t>K1.5</t>
  </si>
  <si>
    <t>Density by linear measurement</t>
  </si>
  <si>
    <t>K1.6</t>
  </si>
  <si>
    <t>Density by immersion in water or water displacement</t>
  </si>
  <si>
    <t>K1.7</t>
  </si>
  <si>
    <t>Dry density and saturation moisture content for chalk</t>
  </si>
  <si>
    <t>K1.8</t>
  </si>
  <si>
    <t>Particle density by gas jar or pycnometer</t>
  </si>
  <si>
    <t>K1.9</t>
  </si>
  <si>
    <t>Particle size distribution by wet sieving</t>
  </si>
  <si>
    <t>K1.10</t>
  </si>
  <si>
    <t>Particle size distribution by dry sieving</t>
  </si>
  <si>
    <t>K1.11</t>
  </si>
  <si>
    <t>Sedimentation by pipette</t>
  </si>
  <si>
    <t>K1.12</t>
  </si>
  <si>
    <t>Sedimentation by hydrometer</t>
  </si>
  <si>
    <t>K2</t>
  </si>
  <si>
    <r>
      <t>Chemical and electrochemical</t>
    </r>
    <r>
      <rPr>
        <sz val="10"/>
        <color theme="1"/>
        <rFont val="Arial"/>
        <family val="2"/>
      </rPr>
      <t xml:space="preserve"> </t>
    </r>
  </si>
  <si>
    <t>K2.1</t>
  </si>
  <si>
    <t>Organic matter content</t>
  </si>
  <si>
    <t>K2.2</t>
  </si>
  <si>
    <t>Mass loss on ignition</t>
  </si>
  <si>
    <t>K2.3</t>
  </si>
  <si>
    <t>Sulphate content of acid extract from soil</t>
  </si>
  <si>
    <t>K2.4</t>
  </si>
  <si>
    <t>Sulphate content of water extract from soil</t>
  </si>
  <si>
    <t>K2.5</t>
  </si>
  <si>
    <t>Sulphate content of groundwater</t>
  </si>
  <si>
    <t>K2.6</t>
  </si>
  <si>
    <t>Carbonate content by rapid titration</t>
  </si>
  <si>
    <t>K2.7</t>
  </si>
  <si>
    <t>Carbonate content by gravimetric method</t>
  </si>
  <si>
    <t>K2.8</t>
  </si>
  <si>
    <t>Water soluble chloride content</t>
  </si>
  <si>
    <t>K2.9</t>
  </si>
  <si>
    <t>Acid soluble chloride content</t>
  </si>
  <si>
    <t>K2.10</t>
  </si>
  <si>
    <t>Total sulphur content</t>
  </si>
  <si>
    <t>K2.11</t>
  </si>
  <si>
    <t>Total dissolved solids</t>
  </si>
  <si>
    <t>K2.12</t>
  </si>
  <si>
    <t>pH value</t>
  </si>
  <si>
    <t>K2.13</t>
  </si>
  <si>
    <t>Resistivity</t>
  </si>
  <si>
    <t>K2.14</t>
  </si>
  <si>
    <t>Redox potential</t>
  </si>
  <si>
    <t>K3</t>
  </si>
  <si>
    <t>Compaction related</t>
  </si>
  <si>
    <t>K3.1</t>
  </si>
  <si>
    <t>Dry density/moisture content relationship using 2.5 kg rammer</t>
  </si>
  <si>
    <t>K3.2</t>
  </si>
  <si>
    <t>Dry density/moisture content relationship using 4.5 kg rammer</t>
  </si>
  <si>
    <t>K3.3</t>
  </si>
  <si>
    <t>Dry density/moisture content relationship using vibrating hammer</t>
  </si>
  <si>
    <t>K3.4</t>
  </si>
  <si>
    <t>Extra over Items K3.1, K3.2 and K3.3 for use of CBR mould</t>
  </si>
  <si>
    <t>K3.6</t>
  </si>
  <si>
    <t>Moisture Condition Value at natural moisture content</t>
  </si>
  <si>
    <t>K3.7</t>
  </si>
  <si>
    <t>Moisture Condition Value/moisture content relationship (five points)</t>
  </si>
  <si>
    <t>K3.8</t>
  </si>
  <si>
    <t>Chalk crushing value</t>
  </si>
  <si>
    <t>K3.9</t>
  </si>
  <si>
    <t>California Bearing Ratio on re-compacted disturbed sample</t>
  </si>
  <si>
    <t>K3.9.1</t>
  </si>
  <si>
    <t>Extra over for recompacting a soil sample to a specified moisture content</t>
  </si>
  <si>
    <t>K3.10</t>
  </si>
  <si>
    <t>Extra over Item K3.9 for soaking</t>
  </si>
  <si>
    <t>K4</t>
  </si>
  <si>
    <r>
      <t>Compressibility, permeability and durability</t>
    </r>
    <r>
      <rPr>
        <sz val="10"/>
        <color theme="1"/>
        <rFont val="Arial"/>
        <family val="2"/>
      </rPr>
      <t xml:space="preserve"> </t>
    </r>
  </si>
  <si>
    <t>K4.1</t>
  </si>
  <si>
    <t>One-dimensional consolidation properties, test period 5 days</t>
  </si>
  <si>
    <t>K4.2</t>
  </si>
  <si>
    <t>Extra over Item K4.1 for test period in excess of 5 days</t>
  </si>
  <si>
    <t>K4.3</t>
  </si>
  <si>
    <t>Measurements of swelling pressure, test period 2 days</t>
  </si>
  <si>
    <t>K4.4</t>
  </si>
  <si>
    <t>Measurement of swelling, test period 2 days</t>
  </si>
  <si>
    <t>K4.5</t>
  </si>
  <si>
    <t>Measurement of settlement on saturation, test period 1 day</t>
  </si>
  <si>
    <t>K4.6</t>
  </si>
  <si>
    <t>Extra over Items K4.3 to K4.5 for test period in excess of 2 or 1 day (s)</t>
  </si>
  <si>
    <t>K4.7</t>
  </si>
  <si>
    <t>Permeability by constant head method</t>
  </si>
  <si>
    <t>K4.8</t>
  </si>
  <si>
    <t>Dispersibility by pinhole method</t>
  </si>
  <si>
    <t>K4.9</t>
  </si>
  <si>
    <t>Dispersibility by crumb method</t>
  </si>
  <si>
    <t>K4.10</t>
  </si>
  <si>
    <t>Dispersibility by dispersion method</t>
  </si>
  <si>
    <t>K4.11</t>
  </si>
  <si>
    <t>Frost heave of soil</t>
  </si>
  <si>
    <t>K5</t>
  </si>
  <si>
    <t>K5.1</t>
  </si>
  <si>
    <t>Consolidation properties of a 76mm diameter specimen using a hydraulic cell, test period 4 days</t>
  </si>
  <si>
    <t>K5.2</t>
  </si>
  <si>
    <t>As Item K5.1 but using a 100mm diameter specimen</t>
  </si>
  <si>
    <t>K5.3</t>
  </si>
  <si>
    <t>As Item K5.1 but using a 150mm diameter specimen</t>
  </si>
  <si>
    <t>K5.4</t>
  </si>
  <si>
    <t>As Item K5.1 but using a 250mm diameter specimen</t>
  </si>
  <si>
    <t>K5.5</t>
  </si>
  <si>
    <t>Extra over Items K5. 1 to K5.4 for test period in excess of 4 days</t>
  </si>
  <si>
    <t>K5.6</t>
  </si>
  <si>
    <t>Permeability of a 76mm diameter specimen in hydraulic consolidation cell, test period 4 days</t>
  </si>
  <si>
    <t>K5.7</t>
  </si>
  <si>
    <t>As Item K5.6 but using a 100mm diameter specimen</t>
  </si>
  <si>
    <t>K5.8</t>
  </si>
  <si>
    <t>As Item K5.6 but using a 150mm diameter specimen</t>
  </si>
  <si>
    <t>K5.9</t>
  </si>
  <si>
    <t>As Item K5.6 but using a 250mm diameter specimen</t>
  </si>
  <si>
    <t>K5.10</t>
  </si>
  <si>
    <t>Extra over Items K5.6 to K5.9 for test period in excess of 4 days</t>
  </si>
  <si>
    <t>K5.11</t>
  </si>
  <si>
    <t>Isotropic consolidation properties in a triaxial cell, test period 4 days</t>
  </si>
  <si>
    <t>K5.12</t>
  </si>
  <si>
    <t>Extra over Item K5.11 for test periods in excess of 4 days</t>
  </si>
  <si>
    <t>K5.13</t>
  </si>
  <si>
    <t>Permeability in a triaxial cell, test period 4 days</t>
  </si>
  <si>
    <t>K5.14</t>
  </si>
  <si>
    <t>Extra over Item K5.13 for test period in excess of 4 days</t>
  </si>
  <si>
    <t>K6</t>
  </si>
  <si>
    <t>Shear strength (total stress)</t>
  </si>
  <si>
    <t>K6.1</t>
  </si>
  <si>
    <t>Shear strength by the laboratory vane method (set of 3)</t>
  </si>
  <si>
    <t>K6.2</t>
  </si>
  <si>
    <t>Shear strength by hand vane (set of 3)</t>
  </si>
  <si>
    <t>K6.3</t>
  </si>
  <si>
    <t>Shear strength by hand penetrometer (set of 3)</t>
  </si>
  <si>
    <t>K6.4</t>
  </si>
  <si>
    <t>K6.5</t>
  </si>
  <si>
    <t>Extra over Item K6.4 for test durations in excess of 1 day per specimen</t>
  </si>
  <si>
    <t>sp.day</t>
  </si>
  <si>
    <t>K6.6</t>
  </si>
  <si>
    <t>K6.7</t>
  </si>
  <si>
    <t>Extra over Item K6.6 for test durations in excess of 1 day</t>
  </si>
  <si>
    <t>K6.8</t>
  </si>
  <si>
    <t>Residual shear strength of a set of three 60mm × 60mm square specimens by direct shear, test duration not exceeding 4 days per specimen</t>
  </si>
  <si>
    <t>K6.9</t>
  </si>
  <si>
    <t>Extra over Item K6.8 for test durations in excess of 4 days per specimen</t>
  </si>
  <si>
    <t>K6.10</t>
  </si>
  <si>
    <t>Residual shear strength of a 300mm square specimen by direct shear, test duration not exceeding 4 days</t>
  </si>
  <si>
    <t>K6.11</t>
  </si>
  <si>
    <t>Extra over Item K6. 10 for test duration in excess day of 4 days</t>
  </si>
  <si>
    <t>K6.12</t>
  </si>
  <si>
    <t>Residual shear strength using the small ring shear apparatus at three normal pressures, test duration not exceeding 4 days</t>
  </si>
  <si>
    <t>K6.13</t>
  </si>
  <si>
    <t>Extra over Item K6.12 for test duration in excess of 4 days</t>
  </si>
  <si>
    <t>K6.14</t>
  </si>
  <si>
    <t>Unconfined compressive strength of 38mm diameter specimen</t>
  </si>
  <si>
    <t>K6.15</t>
  </si>
  <si>
    <t>K6.16</t>
  </si>
  <si>
    <t>K6.17</t>
  </si>
  <si>
    <t>K7</t>
  </si>
  <si>
    <t>Shear strength (effective stress)</t>
  </si>
  <si>
    <t>K7.1</t>
  </si>
  <si>
    <t>Consolidated undrained triaxial compression test with measurement of pore pressure (set of three 38mm specimens), test duration not exceeding 4 days per specimen</t>
  </si>
  <si>
    <t>K7.2</t>
  </si>
  <si>
    <t>As K7.1 but single-stage or multi-stage test using 100mm diameter specimen</t>
  </si>
  <si>
    <t>K7.3</t>
  </si>
  <si>
    <t>Consolidated drained triaxial compression test with measurement of volume change (set of three 38mm specimens), test duration not exceeding 4 days per specimen</t>
  </si>
  <si>
    <t>K7.4</t>
  </si>
  <si>
    <t>As Item K7.3 but single-stage or multi-stage test using 100mm diameter specimen, test duration not exceeding 4 days</t>
  </si>
  <si>
    <t>K7.5</t>
  </si>
  <si>
    <t>Extra over Items K7.1 and K7.3 for test duration in excess of 4 days per specimen</t>
  </si>
  <si>
    <t>K7.6</t>
  </si>
  <si>
    <t>Extra over Items K7.2 and K7.4 for test duration in excess of 4 days</t>
  </si>
  <si>
    <t>K8</t>
  </si>
  <si>
    <t>Rock testing</t>
  </si>
  <si>
    <t>K8.1</t>
  </si>
  <si>
    <t>Natural water content of rock sample</t>
  </si>
  <si>
    <t>K8.2</t>
  </si>
  <si>
    <t>Porosity/density using saturation and calliper techniques</t>
  </si>
  <si>
    <t>K8.3</t>
  </si>
  <si>
    <t>Porosity/density using saturation and buoyancy</t>
  </si>
  <si>
    <t>K8.4</t>
  </si>
  <si>
    <t>Slake durability index</t>
  </si>
  <si>
    <t>K8.5</t>
  </si>
  <si>
    <t>Soundness by magnesium sulphate</t>
  </si>
  <si>
    <t>K8.6</t>
  </si>
  <si>
    <t>Magnesium sulphate test</t>
  </si>
  <si>
    <t>K8.7</t>
  </si>
  <si>
    <t>Shore scleroscope</t>
  </si>
  <si>
    <t>K8.8</t>
  </si>
  <si>
    <t>Schmidt rebound hardness</t>
  </si>
  <si>
    <t>K8.9</t>
  </si>
  <si>
    <t>Resistance to fragmentation</t>
  </si>
  <si>
    <t>K8.10</t>
  </si>
  <si>
    <t>Aggregate abrasion value</t>
  </si>
  <si>
    <t>K8.11</t>
  </si>
  <si>
    <t>Polished stone value</t>
  </si>
  <si>
    <t>K8.12</t>
  </si>
  <si>
    <t>Aggregate frost heave</t>
  </si>
  <si>
    <t>K8.13</t>
  </si>
  <si>
    <t>Resistance to freezing and thawing</t>
  </si>
  <si>
    <t>K8.14</t>
  </si>
  <si>
    <t>Uniaxial compressive strength</t>
  </si>
  <si>
    <t>K8.15</t>
  </si>
  <si>
    <t>Deformability in uniaxial compression</t>
  </si>
  <si>
    <t>K8.16</t>
  </si>
  <si>
    <t>Indirect tensile strength by Brazilian test</t>
  </si>
  <si>
    <t>K8.17</t>
  </si>
  <si>
    <t>Triaxial compression without measurements of porewater pressure</t>
  </si>
  <si>
    <t>K8.18</t>
  </si>
  <si>
    <t>Point Load Strength Index on rock core (axial or diametral)</t>
  </si>
  <si>
    <t>K8.19</t>
  </si>
  <si>
    <t>Point load strength index on irregular lump sample (set of ten individiual determinations)</t>
  </si>
  <si>
    <t>K8.20</t>
  </si>
  <si>
    <t>Swelling pressure test</t>
  </si>
  <si>
    <t>K8.21</t>
  </si>
  <si>
    <t>Direct shear strength of single specimen</t>
  </si>
  <si>
    <t xml:space="preserve">Special tests on rock core or trial pit samples to assess potential for pyrite induced expansion or swelling </t>
  </si>
  <si>
    <t>K9.1</t>
  </si>
  <si>
    <t>Geological classification / simplified petrography on rock core or bulk samples to IS EN 933 ( by Professional Geologist)</t>
  </si>
  <si>
    <t>K9.2</t>
  </si>
  <si>
    <t>Chemical analysis on rock core or bulk sample (test methods to TRL 447 and test suite to include Total Sulphur, Acid Soluble Sulphate &amp; Water Soluble Sulphate and derivation of Oxidisable Sulphide &amp; Equivalent Pyrite Content)</t>
  </si>
  <si>
    <t>K9.3</t>
  </si>
  <si>
    <t>Thin section petrography and XRD analysis on rock core or bulk sample. Analysis to be carried out by Professional Geologist or experienced Petrographer competant in evaluating potential for pyrite induced swelling. Note the rate should include for thin section preparation and XRD analysis on one lithology.</t>
  </si>
  <si>
    <t>Total Section K carried to summary:</t>
  </si>
  <si>
    <t>L</t>
  </si>
  <si>
    <t>Geoenvironmental laboratory testing</t>
  </si>
  <si>
    <t>Contamination testing of soil, groundwater, gas and fill material)</t>
  </si>
  <si>
    <t>L.1</t>
  </si>
  <si>
    <t>Tests Suite E</t>
  </si>
  <si>
    <t>L.2</t>
  </si>
  <si>
    <t>Tests Suite F</t>
  </si>
  <si>
    <t>L.3</t>
  </si>
  <si>
    <t>Tests Suite G</t>
  </si>
  <si>
    <t>L.4</t>
  </si>
  <si>
    <t>Tests Suite H</t>
  </si>
  <si>
    <t>L.5</t>
  </si>
  <si>
    <t>Tests Suite I</t>
  </si>
  <si>
    <t>L.6</t>
  </si>
  <si>
    <t>Tests Suite J</t>
  </si>
  <si>
    <t>Total Section L carried to summary:</t>
  </si>
  <si>
    <t>Summary of Bill of Quantities</t>
  </si>
  <si>
    <t>A.</t>
  </si>
  <si>
    <t>B.</t>
  </si>
  <si>
    <t>Percussion boring</t>
  </si>
  <si>
    <t>C.</t>
  </si>
  <si>
    <t>D.</t>
  </si>
  <si>
    <t>E.</t>
  </si>
  <si>
    <t>F.</t>
  </si>
  <si>
    <t>G.</t>
  </si>
  <si>
    <t>H.</t>
  </si>
  <si>
    <t>I.</t>
  </si>
  <si>
    <t>J.</t>
  </si>
  <si>
    <t>Installation monitoring and sampling</t>
  </si>
  <si>
    <t>K.</t>
  </si>
  <si>
    <t>L.</t>
  </si>
  <si>
    <t>Total Tender</t>
  </si>
  <si>
    <t>Appendix A. Rates for Ground Practitioners and other Personnel</t>
  </si>
  <si>
    <t>Item</t>
  </si>
  <si>
    <t>Technician</t>
  </si>
  <si>
    <t>Engineer / Geologist</t>
  </si>
  <si>
    <t>Chartered Engineer / Professional Geologist</t>
  </si>
  <si>
    <t>Chartered Engineer / Professional Geologist (10 years’ experience post charter)</t>
  </si>
  <si>
    <t>Chartered Engineer / Professional Geologist (20 years’ experience post charter)</t>
  </si>
  <si>
    <t>Expenses incurred by staff on site visits or who are resident by agreement with the Investigation Supervisor</t>
  </si>
  <si>
    <t>Rate per kilometre from Contractor's premises and return for Items 1 and 2</t>
  </si>
  <si>
    <t>km</t>
  </si>
  <si>
    <t>As above but for items 3, 4 and 5</t>
  </si>
  <si>
    <t>All other expenses incurred in conjunction with a site visit where a return journey is made on the same day for Items 1 and 2</t>
  </si>
  <si>
    <t>visit</t>
  </si>
  <si>
    <t>All other expenses incurred in connection with visit where an overnight stay is necessary for Items 1and 2</t>
  </si>
  <si>
    <t>overnight</t>
  </si>
  <si>
    <t>As above but for Items 3, 4, and 5</t>
  </si>
  <si>
    <t>Appendix B. Long-term sample storage</t>
  </si>
  <si>
    <t>Rate/month</t>
  </si>
  <si>
    <t>Geotechnical samples</t>
  </si>
  <si>
    <t>Cable percussive borehole or dynamic sample</t>
  </si>
  <si>
    <t>Rotary drilling core (core box)</t>
  </si>
  <si>
    <t>Rotary drilling core sub-sample</t>
  </si>
  <si>
    <t>Large bulk sample</t>
  </si>
  <si>
    <t>Open-tube samples (thick-wall sampler)</t>
  </si>
  <si>
    <t>Open-tube samples (thin-wall sampler)</t>
  </si>
  <si>
    <t xml:space="preserve">Piston sample </t>
  </si>
  <si>
    <t>Hardcore aggregate bulk sample (not including drying at 40 degrees)</t>
  </si>
  <si>
    <t>Contamination samples</t>
  </si>
  <si>
    <t>Soil sample in plastic tub</t>
  </si>
  <si>
    <t>Soil sample in glass jar</t>
  </si>
  <si>
    <t>Gas sample</t>
  </si>
  <si>
    <t>Where samples comprise more than one container, the rate entered shall be per container.</t>
  </si>
  <si>
    <t> Not Required</t>
  </si>
  <si>
    <t>As Item C41 but between 10 and 20m depth</t>
  </si>
  <si>
    <t>Backfill Geobor S drillhole with cement/bentonite grout or bentonite pellets (where standpipe or piezometer is not installed)</t>
  </si>
  <si>
    <t>Provision of semi rigid core liner for items C64 - C75</t>
  </si>
  <si>
    <t>Total section C carried to summary:</t>
  </si>
  <si>
    <t xml:space="preserve">Not required  </t>
  </si>
  <si>
    <t>Not required   </t>
  </si>
  <si>
    <t>Total H carried to summary:</t>
  </si>
  <si>
    <t>Digital field/engineering logs in AGS  transfer format</t>
  </si>
  <si>
    <t>Digital laboratory test data in AGS  transfer files</t>
  </si>
  <si>
    <r>
      <t>m</t>
    </r>
    <r>
      <rPr>
        <vertAlign val="superscript"/>
        <sz val="10"/>
        <rFont val="Arial"/>
        <family val="2"/>
      </rPr>
      <t>3</t>
    </r>
  </si>
  <si>
    <t>Conduct and process Ground Penetrating Radar (GPR) profiles to PAS 128 QL B1P as per the specification</t>
  </si>
  <si>
    <r>
      <t>m</t>
    </r>
    <r>
      <rPr>
        <sz val="10"/>
        <color theme="0" tint="-0.34998626667073579"/>
        <rFont val="Calibri"/>
        <family val="2"/>
      </rPr>
      <t>³</t>
    </r>
  </si>
  <si>
    <t>ln m</t>
  </si>
  <si>
    <t>Extra over item A2.1 - A2.9 for a yellow category site (Provisional)</t>
  </si>
  <si>
    <t>Not required</t>
  </si>
  <si>
    <t xml:space="preserve">Storage of all samples following completion of fieldworks </t>
  </si>
  <si>
    <t>included in A2</t>
  </si>
  <si>
    <t>Excavate slit trench in paved areas between 1.2m to 3.0m depth (works by either hand excavation or hand assisted machine excavation)</t>
  </si>
  <si>
    <t>Standing time for excavation plant, equipment and crew for machine dug trial pit or trench</t>
  </si>
  <si>
    <t>To be included in item D13 to D15</t>
  </si>
  <si>
    <t xml:space="preserve">Backfill trial pit or trench excavation with arisings/excavated materials </t>
  </si>
  <si>
    <t>To be included in item D51 and D52</t>
  </si>
  <si>
    <t xml:space="preserve">Environmental / contamination sample for Suite I </t>
  </si>
  <si>
    <t>Excavate inspection pit by hand to 1.2m depth.</t>
  </si>
  <si>
    <t>Extra over Item D1 for breaking out surface obstructions.</t>
  </si>
  <si>
    <t>Excavate trial pit between existing ground level and 3m depth</t>
  </si>
  <si>
    <t xml:space="preserve">Hand vane test (set of 3 readings) </t>
  </si>
  <si>
    <t>California Bearing Ratio by TRL DCP method</t>
  </si>
  <si>
    <t>take as = (No of trenches x 2.5m assumed depth x 5m average length)</t>
  </si>
  <si>
    <t>assume only 25% of ST's to be excavated to this depth in carriageway/footway</t>
  </si>
  <si>
    <t>Reinstate grassed surface to include replacing of sod</t>
  </si>
  <si>
    <t>take as = (No of trenches x 250mm assumed surface x (3x1)sqm )</t>
  </si>
  <si>
    <t>take as = (No. paved area trenches x (3x1)sqm x 180mm sub-base)</t>
  </si>
  <si>
    <t>take as = (No. paved area trenches x (3x1)sqm)</t>
  </si>
  <si>
    <t>not required for construction but included if protection required to services</t>
  </si>
  <si>
    <r>
      <t>m</t>
    </r>
    <r>
      <rPr>
        <sz val="10"/>
        <color theme="2" tint="-0.249977111117893"/>
        <rFont val="Calibri"/>
        <family val="2"/>
      </rPr>
      <t>²</t>
    </r>
  </si>
  <si>
    <t>Appropriate storage, transport and off-site disposal of excess contaminated arising’s from borehole, trial pit or slit trench to EPA regulated landfill site (includes any PPE equipment but excludes laboratory testing on suspected contaminated materials). Note item to be remeasured with delivery dockets and records maintained by the Contractor [PROVISIONAL]</t>
  </si>
  <si>
    <t>assumed equal to Suite F (both from Schedule 1.20.5)</t>
  </si>
  <si>
    <t>Taken from Spec Schedule 2 ("Contam", S1.20.3)</t>
  </si>
  <si>
    <t>Taken from Spec Schedule 2 ("WAC", S1.20.5)</t>
  </si>
  <si>
    <t xml:space="preserve">check item description </t>
  </si>
  <si>
    <t>WAC but not required as suite I is "better" (Check with ND)</t>
  </si>
  <si>
    <t>F is water</t>
  </si>
  <si>
    <t>No</t>
  </si>
  <si>
    <t>W</t>
  </si>
  <si>
    <t>Vol</t>
  </si>
  <si>
    <t>was 1200</t>
  </si>
  <si>
    <t>ST</t>
  </si>
  <si>
    <t>TP</t>
  </si>
  <si>
    <t>was5.25</t>
  </si>
  <si>
    <t>1.2m-0.25=0.95m</t>
  </si>
  <si>
    <t>??</t>
  </si>
  <si>
    <t>plus a bit?</t>
  </si>
  <si>
    <t>usually sum of width of ST's x No oflines</t>
  </si>
  <si>
    <t>plus TP</t>
  </si>
  <si>
    <t>minus ST road</t>
  </si>
  <si>
    <t>spec say 1.5m depth</t>
  </si>
  <si>
    <t>photo before after</t>
  </si>
  <si>
    <t>Holes</t>
  </si>
  <si>
    <t>Total</t>
  </si>
  <si>
    <t>Delete row if not required -was added- if it is, should be "included in item D3" and say in preamble to BoQ</t>
  </si>
  <si>
    <t>N/A</t>
  </si>
  <si>
    <t>IF more than one copy, to be included here (or everything to be provided to Client, future contractors etc on PDF?</t>
  </si>
  <si>
    <t>Assumed none needed? IF a GIR is required, need to discuss pros/cons of GIR by the contractor or atkins</t>
  </si>
  <si>
    <t>Phot/TP</t>
  </si>
  <si>
    <t>photo/BH</t>
  </si>
  <si>
    <t>BH (m)</t>
  </si>
  <si>
    <t>CP (m)</t>
  </si>
  <si>
    <t>Rot</t>
  </si>
  <si>
    <t>per CP</t>
  </si>
  <si>
    <t>m dia</t>
  </si>
  <si>
    <t>per BH</t>
  </si>
  <si>
    <t>added item &amp; includes reinstatement  check preamble</t>
  </si>
  <si>
    <t>B2.1</t>
  </si>
  <si>
    <t>Extra over Item B1.1 for setting up on a slope of gradient greater than 20%</t>
  </si>
  <si>
    <t>B2.2</t>
  </si>
  <si>
    <t>Extra over Item B1.2 for setting up on a slope of gradient greater than 20%</t>
  </si>
  <si>
    <t>Included in B1.1 &amp; B1.2</t>
  </si>
  <si>
    <t>Included in D53</t>
  </si>
  <si>
    <t>check preamble</t>
  </si>
  <si>
    <t>check preamble &amp; D53</t>
  </si>
  <si>
    <t>volume BH (less samples)</t>
  </si>
  <si>
    <t>CALC</t>
  </si>
  <si>
    <t>Totals</t>
  </si>
  <si>
    <r>
      <t>Move boring plant and equipment to the site of each exploratory hole, set up, dismantle on completion and reinstate (</t>
    </r>
    <r>
      <rPr>
        <b/>
        <sz val="10"/>
        <rFont val="Arial"/>
        <family val="2"/>
      </rPr>
      <t>cable percussive only)</t>
    </r>
  </si>
  <si>
    <r>
      <t>Move boring plant and equipment to the site of each exploratory hole, set up, dismantle on completion and reinstate (where borehole is to be</t>
    </r>
    <r>
      <rPr>
        <b/>
        <sz val="10"/>
        <rFont val="Arial"/>
        <family val="2"/>
      </rPr>
      <t xml:space="preserve"> followed on with rotary drilling)</t>
    </r>
  </si>
  <si>
    <t xml:space="preserve">Refer to items  B1.1 and B1.2 </t>
  </si>
  <si>
    <t>Refer to items B2.1 and B2.2</t>
  </si>
  <si>
    <t>Hand digging and CAT scan at dynamic sampling location to confirm absence of utility ducts (maximum depth of 1.2m or lesser if ground is assessed as potentially unstable)</t>
  </si>
  <si>
    <t>Move mechanical augering plant and equipment to the site of each exploratory hole and set up.</t>
  </si>
  <si>
    <t>Hand digging and CAT scan at rotary drillhole location to confirm absence of utility ducts ( maximum depth of 1.2m or lesser if ground is assessed as potentially unstable).</t>
  </si>
  <si>
    <t>Standing time for rotary auger equipment and crew.</t>
  </si>
  <si>
    <t>Auger in materials other than hard strata at the specified diameter between existing ground level and 10m depth.</t>
  </si>
  <si>
    <t>As Item C11 but between 10 and 20m depth.</t>
  </si>
  <si>
    <t>As Item C11 but between 20 and 30m depth.</t>
  </si>
  <si>
    <t>Move rotary drilling plant and equipment to the site of each exploratory drillhole and set up.</t>
  </si>
  <si>
    <t>of each exploratory hole, set up, dismantle on completion and reinstate (cable percussive only)</t>
  </si>
  <si>
    <t>Hand digging and CAT scan at rotary drillhole location to confirm absence of utility ducts ( maximum depth of 1.2m or lesser if ground is assessed as potentially unstable) for rotary only borehole</t>
  </si>
  <si>
    <t>C15.3</t>
  </si>
  <si>
    <t>Refer to C15.1 and C15.2 &amp; C15.3</t>
  </si>
  <si>
    <t>As Item C21 but between 10 and 20m depth.</t>
  </si>
  <si>
    <t>Rotary drill in hard strata at the specified diameter, from which cores are not required, between existing ground level and 10m depth.</t>
  </si>
  <si>
    <t>As Item C27 but between 10 and 20m depth</t>
  </si>
  <si>
    <t>Backfill rotary drillhole with cement/bentonite grout or bentonite pellets (where standpipe or piezometer is not installed).</t>
  </si>
  <si>
    <t>Rotary percussive drilling (Odex / Symmetrix)</t>
  </si>
  <si>
    <t>Rotary drilling with and without core recovery</t>
  </si>
  <si>
    <t xml:space="preserve">Included in Items C21 to C33 </t>
  </si>
  <si>
    <r>
      <t xml:space="preserve">Rotary drill in materials other than hard strata at the specified diameter, from which </t>
    </r>
    <r>
      <rPr>
        <b/>
        <u/>
        <sz val="10"/>
        <rFont val="Arial"/>
        <family val="2"/>
      </rPr>
      <t>cores are not required</t>
    </r>
    <r>
      <rPr>
        <u/>
        <sz val="10"/>
        <rFont val="Arial"/>
        <family val="2"/>
      </rPr>
      <t>,</t>
    </r>
    <r>
      <rPr>
        <sz val="10"/>
        <rFont val="Arial"/>
        <family val="2"/>
      </rPr>
      <t xml:space="preserve"> between existing ground level and 10m depth (PROVISIONAL)</t>
    </r>
  </si>
  <si>
    <t>Included in C15 to C15.2</t>
  </si>
  <si>
    <t>Disposal of excess or surplus inert arisings from rotary drilling operations (where standpipe or piezometer is not installed) PROVISIONAL</t>
  </si>
  <si>
    <r>
      <t>Rotary drill</t>
    </r>
    <r>
      <rPr>
        <b/>
        <u/>
        <sz val="10"/>
        <rFont val="Arial"/>
        <family val="2"/>
      </rPr>
      <t xml:space="preserve"> in hard strata </t>
    </r>
    <r>
      <rPr>
        <sz val="10"/>
        <rFont val="Arial"/>
        <family val="2"/>
      </rPr>
      <t xml:space="preserve">to </t>
    </r>
    <r>
      <rPr>
        <b/>
        <u/>
        <sz val="10"/>
        <rFont val="Arial"/>
        <family val="2"/>
      </rPr>
      <t>obtain cores</t>
    </r>
    <r>
      <rPr>
        <sz val="10"/>
        <rFont val="Arial"/>
        <family val="2"/>
      </rPr>
      <t xml:space="preserve"> of the specified diameter between existing ground level and 10m depth</t>
    </r>
  </si>
  <si>
    <t xml:space="preserve">Hand digging and CAT scan at rotary drillhole location to confirm absence of utility ducts ( maximum depth of 1.2m or lesser if ground is assessed as potentially unstable) </t>
  </si>
  <si>
    <t>Standing time for Geobor S drilling plant, equipment and crew</t>
  </si>
  <si>
    <t>Rotary openhole drilling without core recover to install casing prior to Geobor coring (nominally 1.5m)</t>
  </si>
  <si>
    <t>Rotary drilling with Geobor S equipment to recover cores of overburden material using polymer gel/mud drilling fluid in depth range 0 to 10m</t>
  </si>
  <si>
    <t xml:space="preserve">As Item C65 but between 10 and 20m depth </t>
  </si>
  <si>
    <t>nominal as OH</t>
  </si>
  <si>
    <t xml:space="preserve">Break out surface obstructions where present at exploratory drillhole </t>
  </si>
  <si>
    <r>
      <t xml:space="preserve">Standing time for rotary drilling plant, equipment and crew </t>
    </r>
    <r>
      <rPr>
        <u/>
        <sz val="10"/>
        <rFont val="Arial"/>
        <family val="2"/>
      </rPr>
      <t>(PROVISIONAL)</t>
    </r>
  </si>
  <si>
    <t>Extra over Item C15 for setting up on a slope of gradient greater than 20%.</t>
  </si>
  <si>
    <t>assume AVG per rot</t>
  </si>
  <si>
    <t>B3.1</t>
  </si>
  <si>
    <t>nominal</t>
  </si>
  <si>
    <t>based on X No ST's in carriageway/footway</t>
  </si>
  <si>
    <t>was hrs: change to m3</t>
  </si>
  <si>
    <t>No of ST</t>
  </si>
  <si>
    <t xml:space="preserve">per m </t>
  </si>
  <si>
    <t>CP</t>
  </si>
  <si>
    <t>of holes</t>
  </si>
  <si>
    <t>Contam on SOIL</t>
  </si>
  <si>
    <t>Contam on WATER</t>
  </si>
  <si>
    <t>WAC  "better" than Suite F (Check with ND)</t>
  </si>
  <si>
    <t>Other specialist environmental / contamination sampling as specified by Investigation Supervisor (Suite J)</t>
  </si>
  <si>
    <t>per m</t>
  </si>
  <si>
    <t>length</t>
  </si>
  <si>
    <t>m spacing in OH</t>
  </si>
  <si>
    <t>Standard penetration test in rotary drillhole, depth range 0 to 10m (PROVISIONAL)</t>
  </si>
  <si>
    <t>per TP/ST</t>
  </si>
  <si>
    <t>per Rot</t>
  </si>
  <si>
    <t>as all SO4</t>
  </si>
  <si>
    <t>assumed</t>
  </si>
  <si>
    <r>
      <t xml:space="preserve">Shear strength of a set of three 60mm × 60mm square specimens by </t>
    </r>
    <r>
      <rPr>
        <b/>
        <sz val="10"/>
        <color theme="0" tint="-0.34998626667073579"/>
        <rFont val="Arial"/>
        <family val="2"/>
      </rPr>
      <t>direct shear</t>
    </r>
    <r>
      <rPr>
        <sz val="10"/>
        <color theme="0" tint="-0.34998626667073579"/>
        <rFont val="Arial"/>
        <family val="2"/>
      </rPr>
      <t>, test duration not exceeding 1 day per specimen</t>
    </r>
  </si>
  <si>
    <r>
      <t xml:space="preserve">Shear strength of a single 300mm × 300mm square specimen by </t>
    </r>
    <r>
      <rPr>
        <b/>
        <sz val="10"/>
        <color theme="0" tint="-0.34998626667073579"/>
        <rFont val="Arial"/>
        <family val="2"/>
      </rPr>
      <t>direct shea</t>
    </r>
    <r>
      <rPr>
        <sz val="10"/>
        <color theme="0" tint="-0.34998626667073579"/>
        <rFont val="Arial"/>
        <family val="2"/>
      </rPr>
      <t>r, test duration not exceeding 1 day</t>
    </r>
  </si>
  <si>
    <r>
      <t xml:space="preserve">Undrained strength of a </t>
    </r>
    <r>
      <rPr>
        <b/>
        <sz val="10"/>
        <color theme="0" tint="-0.34998626667073579"/>
        <rFont val="Arial"/>
        <family val="2"/>
      </rPr>
      <t>single 100mm diameter specimen in triaxia</t>
    </r>
    <r>
      <rPr>
        <sz val="10"/>
        <color theme="0" tint="-0.34998626667073579"/>
        <rFont val="Arial"/>
        <family val="2"/>
      </rPr>
      <t>l compression without the measurement of pore pressure</t>
    </r>
  </si>
  <si>
    <r>
      <t xml:space="preserve">Undrained shear strength of a set of three </t>
    </r>
    <r>
      <rPr>
        <b/>
        <sz val="10"/>
        <rFont val="Arial"/>
        <family val="2"/>
      </rPr>
      <t>38mm diameter specimens in triaxia</t>
    </r>
    <r>
      <rPr>
        <sz val="10"/>
        <rFont val="Arial"/>
        <family val="2"/>
      </rPr>
      <t>l compression without the measurement of pore pressure</t>
    </r>
  </si>
  <si>
    <r>
      <t>Undrained shear strength of a</t>
    </r>
    <r>
      <rPr>
        <b/>
        <sz val="10"/>
        <rFont val="Arial"/>
        <family val="2"/>
      </rPr>
      <t xml:space="preserve"> single 100mm diameter specimen in triaxial </t>
    </r>
    <r>
      <rPr>
        <sz val="10"/>
        <rFont val="Arial"/>
        <family val="2"/>
      </rPr>
      <t>compression with multi-stage loading and without measurement of pore pressure</t>
    </r>
  </si>
  <si>
    <t>CRASH BARRIER</t>
  </si>
  <si>
    <t>B1.1.1</t>
  </si>
  <si>
    <t>B1.2.1</t>
  </si>
  <si>
    <t>B1.1.2</t>
  </si>
  <si>
    <t>B1.2.2</t>
  </si>
  <si>
    <r>
      <t xml:space="preserve">Move boring plant and equipment to the site of each exploratory hole </t>
    </r>
    <r>
      <rPr>
        <b/>
        <sz val="10"/>
        <rFont val="Arial"/>
        <family val="2"/>
      </rPr>
      <t>over safety barrier or other fence or wall,</t>
    </r>
    <r>
      <rPr>
        <sz val="10"/>
        <rFont val="Arial"/>
        <family val="2"/>
      </rPr>
      <t xml:space="preserve"> set up, dismantle on completion and reinstate (</t>
    </r>
    <r>
      <rPr>
        <b/>
        <sz val="10"/>
        <rFont val="Arial"/>
        <family val="2"/>
      </rPr>
      <t>cable percussive only</t>
    </r>
    <r>
      <rPr>
        <sz val="10"/>
        <rFont val="Arial"/>
        <family val="2"/>
      </rPr>
      <t>)</t>
    </r>
  </si>
  <si>
    <r>
      <t xml:space="preserve">Move boring plant and equipment to the site of each exploratory hole </t>
    </r>
    <r>
      <rPr>
        <b/>
        <sz val="10"/>
        <rFont val="Arial"/>
        <family val="2"/>
      </rPr>
      <t>over safety barrier or other fence or wall,</t>
    </r>
    <r>
      <rPr>
        <sz val="10"/>
        <rFont val="Arial"/>
        <family val="2"/>
      </rPr>
      <t xml:space="preserve"> set up, dismantle on completion and reinstate (where borehole is to be</t>
    </r>
    <r>
      <rPr>
        <b/>
        <sz val="10"/>
        <rFont val="Arial"/>
        <family val="2"/>
      </rPr>
      <t xml:space="preserve"> followed on with rotary drilling)</t>
    </r>
  </si>
  <si>
    <t>C59.1</t>
  </si>
  <si>
    <t xml:space="preserve">Move drilling plant and equipment to the site of each exploratory drillhole and set up equipment (including recirculation tanks) over safety barrier or other fence or wall, set up, dismantle on completion and reinstate </t>
  </si>
  <si>
    <t xml:space="preserve">Move drilling plant and equipment to the site of each exploratory drillhole and set up equipment (including recirculation tanks), dismantle on completion and reinstate </t>
  </si>
  <si>
    <t>D3.1</t>
  </si>
  <si>
    <t>Move equipment to the site of each trial pit or trench dismantle on completion and reinstate.</t>
  </si>
  <si>
    <t>TRIAL PITS</t>
  </si>
  <si>
    <t>SLOPE</t>
  </si>
  <si>
    <t>Paved Area</t>
  </si>
  <si>
    <t>Included in Item D3 &amp; D3.1</t>
  </si>
  <si>
    <t>formula works</t>
  </si>
  <si>
    <r>
      <t>m thick x1m</t>
    </r>
    <r>
      <rPr>
        <vertAlign val="superscript"/>
        <sz val="10"/>
        <color theme="1"/>
        <rFont val="Arial"/>
        <family val="2"/>
      </rPr>
      <t>2</t>
    </r>
  </si>
  <si>
    <t>verge</t>
  </si>
  <si>
    <r>
      <t>IF(</t>
    </r>
    <r>
      <rPr>
        <sz val="10"/>
        <color rgb="FFFF0000"/>
        <rFont val="Arial"/>
        <family val="2"/>
      </rPr>
      <t>AK$2&gt;0</t>
    </r>
    <r>
      <rPr>
        <sz val="10"/>
        <color theme="1"/>
        <rFont val="Arial"/>
        <family val="2"/>
      </rPr>
      <t>,</t>
    </r>
    <r>
      <rPr>
        <sz val="10"/>
        <color rgb="FF00B0F0"/>
        <rFont val="Arial"/>
        <family val="2"/>
      </rPr>
      <t>IF</t>
    </r>
    <r>
      <rPr>
        <sz val="10"/>
        <color rgb="FFFF0000"/>
        <rFont val="Arial"/>
        <family val="2"/>
      </rPr>
      <t>(AK$4&gt;0</t>
    </r>
    <r>
      <rPr>
        <sz val="10"/>
        <color theme="1"/>
        <rFont val="Arial"/>
        <family val="2"/>
      </rPr>
      <t>,</t>
    </r>
    <r>
      <rPr>
        <sz val="10"/>
        <color rgb="FF00B0F0"/>
        <rFont val="Arial"/>
        <family val="2"/>
      </rPr>
      <t>0</t>
    </r>
    <r>
      <rPr>
        <sz val="10"/>
        <color theme="1"/>
        <rFont val="Arial"/>
        <family val="2"/>
      </rPr>
      <t>,</t>
    </r>
    <r>
      <rPr>
        <sz val="11"/>
        <color rgb="FF00B0F0"/>
        <rFont val="Arial"/>
        <family val="2"/>
      </rPr>
      <t>IF</t>
    </r>
    <r>
      <rPr>
        <sz val="10"/>
        <color theme="1"/>
        <rFont val="Arial"/>
        <family val="2"/>
      </rPr>
      <t>(AK$5=0,1,0)),0)</t>
    </r>
  </si>
  <si>
    <t>IF(AK$2&gt;0</t>
  </si>
  <si>
    <t>IF(AK$5=0</t>
  </si>
  <si>
    <t>IF(AK$3&gt;0</t>
  </si>
  <si>
    <t>(soil,GW and rock)</t>
  </si>
  <si>
    <t>CP only</t>
  </si>
  <si>
    <t>RC follow on + only</t>
  </si>
  <si>
    <r>
      <t xml:space="preserve">Move rotary drilling plant and equipment to the site of each exploratory drillhole, set up, dismantle on completion and reinstate </t>
    </r>
    <r>
      <rPr>
        <b/>
        <sz val="10"/>
        <rFont val="Arial"/>
        <family val="2"/>
      </rPr>
      <t>(rotary follow-on).</t>
    </r>
  </si>
  <si>
    <r>
      <t xml:space="preserve">Move rotary drilling plant and equipment to the site of each exploratory drillhole, set up, dismantle on completion and reinstate </t>
    </r>
    <r>
      <rPr>
        <b/>
        <sz val="10"/>
        <rFont val="Arial"/>
        <family val="2"/>
      </rPr>
      <t>(rotary only)</t>
    </r>
    <r>
      <rPr>
        <sz val="10"/>
        <rFont val="Arial"/>
        <family val="2"/>
      </rPr>
      <t>.</t>
    </r>
  </si>
  <si>
    <t>Rot BH No</t>
  </si>
  <si>
    <t>No TP photos</t>
  </si>
  <si>
    <t>No core photos</t>
  </si>
  <si>
    <t>locations</t>
  </si>
  <si>
    <t>contract reqt</t>
  </si>
  <si>
    <r>
      <t>Extra over item D3 for setting to the site of exploratory hole</t>
    </r>
    <r>
      <rPr>
        <b/>
        <sz val="10"/>
        <rFont val="Arial"/>
        <family val="2"/>
      </rPr>
      <t xml:space="preserve"> over safety barrier or other fence or wall,</t>
    </r>
    <r>
      <rPr>
        <sz val="10"/>
        <rFont val="Arial"/>
        <family val="2"/>
      </rPr>
      <t xml:space="preserve"> set up, dismantle on completion and reinstate.</t>
    </r>
  </si>
  <si>
    <t>Nominal</t>
  </si>
  <si>
    <t>not required</t>
  </si>
  <si>
    <t>E=soil</t>
  </si>
  <si>
    <t>G=Gas</t>
  </si>
  <si>
    <t>H=WAC</t>
  </si>
  <si>
    <t>I=WAC</t>
  </si>
  <si>
    <t xml:space="preserve"> 1 client + 1 atkins other prints from PDF</t>
  </si>
  <si>
    <t>Cable Percussion Boring (cable tool or percussive boring using minimum of 200mm diameter casing)</t>
  </si>
  <si>
    <t>Break out obstructions where present when hand digging at exploratory hole location for Item B3.</t>
  </si>
  <si>
    <t>Break out obstructions where present when hand digging at auger hole location for Item C7.1.</t>
  </si>
  <si>
    <r>
      <t xml:space="preserve">Move rotary drilling plant and equipment to the site of each exploratory drillhole over safety barrier or other fence or wall, set up, dismantle on completion and reinstate </t>
    </r>
    <r>
      <rPr>
        <b/>
        <sz val="10"/>
        <rFont val="Arial"/>
        <family val="2"/>
      </rPr>
      <t>(rotary follow-on).</t>
    </r>
  </si>
  <si>
    <r>
      <t xml:space="preserve">Move rotary drilling plant and equipment to the site of each exploratory drillhole, over safety barrier or other fence or wall, set up, dismantle on completion and reinstate </t>
    </r>
    <r>
      <rPr>
        <b/>
        <sz val="10"/>
        <rFont val="Arial"/>
        <family val="2"/>
      </rPr>
      <t>(rotary only)</t>
    </r>
    <r>
      <rPr>
        <sz val="10"/>
        <rFont val="Arial"/>
        <family val="2"/>
      </rPr>
      <t>.</t>
    </r>
  </si>
  <si>
    <t>Break out obstructions where present when hand digging at exploratory hole location for C15.3.</t>
  </si>
  <si>
    <t>Refer to C15.1.1 to C15.2.2 &amp; C15.3</t>
  </si>
  <si>
    <t>C15.1.1</t>
  </si>
  <si>
    <t>C15.1.2</t>
  </si>
  <si>
    <t>C15.2.1</t>
  </si>
  <si>
    <t>C15.2.2</t>
  </si>
  <si>
    <t>ST No</t>
  </si>
  <si>
    <t>Insp P No</t>
  </si>
  <si>
    <t>total TP No</t>
  </si>
  <si>
    <t>TP off verge (slope)</t>
  </si>
  <si>
    <t>BH on verge</t>
  </si>
  <si>
    <t>BH on paved</t>
  </si>
  <si>
    <t>slope</t>
  </si>
  <si>
    <t>area</t>
  </si>
  <si>
    <t>vol 804</t>
  </si>
  <si>
    <t>Add area CBGM: 150 all sides</t>
  </si>
  <si>
    <t>vol CBGM</t>
  </si>
  <si>
    <t>Area insp pit 1m x 1m</t>
  </si>
  <si>
    <t>total vol CBGM</t>
  </si>
  <si>
    <t>pavt add area: 500 each side</t>
  </si>
  <si>
    <t>area pvt</t>
  </si>
  <si>
    <t>total pvt area</t>
  </si>
  <si>
    <t>Reinstatement of asphalt/bituminous pavement in accordance with TII's CC-SPW-04007.</t>
  </si>
  <si>
    <t>Backfill trenches, trial pits and inspection pits at exploratory hole locations in paved areas with imported granular fill (CL 804 sub-base)</t>
  </si>
  <si>
    <t>Backfill trenches, trial pits and inspection pits at exploratory hole locations in paved areas with CBGMB as Fig.A4.0 Method A of TII's CC-SPW-04007</t>
  </si>
  <si>
    <t xml:space="preserve">per BH avg </t>
  </si>
  <si>
    <t>RC only</t>
  </si>
  <si>
    <t>NEW</t>
  </si>
  <si>
    <t>SITE-NEW</t>
  </si>
  <si>
    <t>TP Depth</t>
  </si>
  <si>
    <t>Perform the role of PSCS</t>
  </si>
  <si>
    <t>xxx</t>
  </si>
  <si>
    <t>VERGE/Purple Book/ROL</t>
  </si>
  <si>
    <t>TP No =</t>
  </si>
  <si>
    <t>Depth =</t>
  </si>
  <si>
    <r>
      <t xml:space="preserve">CBGM thickness
</t>
    </r>
    <r>
      <rPr>
        <sz val="10"/>
        <color rgb="FF00B0F0"/>
        <rFont val="Arial"/>
        <family val="2"/>
      </rPr>
      <t>(0.3??)</t>
    </r>
  </si>
  <si>
    <r>
      <t>Depth</t>
    </r>
    <r>
      <rPr>
        <sz val="10"/>
        <color rgb="FF00B0F0"/>
        <rFont val="Arial"/>
        <family val="2"/>
      </rPr>
      <t xml:space="preserve"> (1.2 in BH)</t>
    </r>
  </si>
  <si>
    <t xml:space="preserve">As Item D6 but between 3.0 and 4.5m depth </t>
  </si>
  <si>
    <t>of holes (site)</t>
  </si>
  <si>
    <t>TP No DCP</t>
  </si>
  <si>
    <t>per TP minus no DCP</t>
  </si>
  <si>
    <t>Hole</t>
  </si>
  <si>
    <t>per hole plus</t>
  </si>
  <si>
    <t>of Sieves</t>
  </si>
  <si>
    <t>SAY</t>
  </si>
  <si>
    <t>As sulphate</t>
  </si>
  <si>
    <t>per Rot plus</t>
  </si>
  <si>
    <t>samples</t>
  </si>
  <si>
    <t>Samples</t>
  </si>
  <si>
    <t>Provisional sum</t>
  </si>
  <si>
    <t>Not full time sup</t>
  </si>
  <si>
    <t>Provision of road opening licences and road damage bonds</t>
  </si>
  <si>
    <t>Included in A2, A2.4, D3 to D19</t>
  </si>
  <si>
    <t>none</t>
  </si>
  <si>
    <t>nominal for E/W</t>
  </si>
  <si>
    <t>take away for OH/Core as obstruct</t>
  </si>
  <si>
    <t>Deducted from S/A minus OH</t>
  </si>
  <si>
    <t>As Item C34 but between 10 and 20m depth.</t>
  </si>
  <si>
    <t>CBR</t>
  </si>
  <si>
    <t>INSTRUMENT</t>
  </si>
  <si>
    <t>Depth</t>
  </si>
  <si>
    <r>
      <rPr>
        <b/>
        <sz val="10"/>
        <color rgb="FFFF0000"/>
        <rFont val="Arial"/>
        <family val="2"/>
      </rPr>
      <t>P</t>
    </r>
    <r>
      <rPr>
        <sz val="10"/>
        <color rgb="FFFF0000"/>
        <rFont val="Arial"/>
        <family val="2"/>
      </rPr>
      <t>iezo/</t>
    </r>
    <r>
      <rPr>
        <b/>
        <sz val="10"/>
        <color rgb="FFFF0000"/>
        <rFont val="Arial"/>
        <family val="2"/>
      </rPr>
      <t>S</t>
    </r>
    <r>
      <rPr>
        <sz val="10"/>
        <color rgb="FFFF0000"/>
        <rFont val="Arial"/>
        <family val="2"/>
      </rPr>
      <t>tandp</t>
    </r>
  </si>
  <si>
    <t>P</t>
  </si>
  <si>
    <t>S</t>
  </si>
  <si>
    <t>seal below</t>
  </si>
  <si>
    <t>m/Piezo</t>
  </si>
  <si>
    <t>m above P</t>
  </si>
  <si>
    <t>Depth P/SP minus seal below</t>
  </si>
  <si>
    <t>m from top</t>
  </si>
  <si>
    <t>as slotted pipe</t>
  </si>
  <si>
    <t>depth minus slotted</t>
  </si>
  <si>
    <t>m above slotted</t>
  </si>
  <si>
    <t>all instrum</t>
  </si>
  <si>
    <t>Piezo</t>
  </si>
  <si>
    <t>Standpipe</t>
  </si>
  <si>
    <t>Total Instrum</t>
  </si>
  <si>
    <t>SAY (1/struct)</t>
  </si>
  <si>
    <t>SAY 1/STRUC</t>
  </si>
  <si>
    <t>TOTAL</t>
  </si>
  <si>
    <t>BOQ</t>
  </si>
  <si>
    <t>TAKE SAY</t>
  </si>
  <si>
    <t>Well</t>
  </si>
  <si>
    <t>take as = [ No of trenches x (2No sides x 3m) + (2No sides x 1m) ]</t>
  </si>
  <si>
    <t>Open Hole</t>
  </si>
  <si>
    <t>TPs in Paved Areas</t>
  </si>
  <si>
    <t>No. Slit Trenches</t>
  </si>
  <si>
    <t>Pit Volume</t>
  </si>
  <si>
    <t>Slit Trench Area</t>
  </si>
  <si>
    <t xml:space="preserve">Consolidation and permeability in hydraulic cells </t>
  </si>
  <si>
    <t>Hole Number</t>
  </si>
  <si>
    <t>CP/RC</t>
  </si>
  <si>
    <t>Scheduled</t>
  </si>
  <si>
    <t>Schedule Depth</t>
  </si>
  <si>
    <t>0-10</t>
  </si>
  <si>
    <t>10 to 20</t>
  </si>
  <si>
    <t>20-30</t>
  </si>
  <si>
    <t>RC - CP</t>
  </si>
  <si>
    <t>10-20m</t>
  </si>
  <si>
    <t>Draft Log Received CP/RC or N/A</t>
  </si>
  <si>
    <t>Log Comments Sent CP/RC</t>
  </si>
  <si>
    <t>Lab Schedule Received CP/RC or N/A</t>
  </si>
  <si>
    <t>Lab Schedule Sent CP/RC or N/A</t>
  </si>
  <si>
    <t>Comments</t>
  </si>
  <si>
    <t>BH 1</t>
  </si>
  <si>
    <t>RC</t>
  </si>
  <si>
    <t>BH 2</t>
  </si>
  <si>
    <t>Do Not Delete</t>
  </si>
  <si>
    <t>Total BH</t>
  </si>
  <si>
    <t>Total CP Depth</t>
  </si>
  <si>
    <t>Total RC Depth</t>
  </si>
  <si>
    <t>Total RC</t>
  </si>
  <si>
    <r>
      <t>These will work as long as RC &gt; CP when logged in by human &amp; RC</t>
    </r>
    <r>
      <rPr>
        <b/>
        <sz val="11"/>
        <color theme="1"/>
        <rFont val="Calibri"/>
        <family val="2"/>
      </rPr>
      <t>≤3</t>
    </r>
    <r>
      <rPr>
        <b/>
        <sz val="11"/>
        <color theme="1"/>
        <rFont val="Calibri"/>
        <family val="2"/>
        <scheme val="minor"/>
      </rPr>
      <t>0.</t>
    </r>
  </si>
  <si>
    <t>Trial Pit Number</t>
  </si>
  <si>
    <t>Insitu Tests</t>
  </si>
  <si>
    <t>Recorded TP Depth</t>
  </si>
  <si>
    <t>0-3</t>
  </si>
  <si>
    <t>3 to 4.5</t>
  </si>
  <si>
    <t>Draft TP Log Received</t>
  </si>
  <si>
    <t>Log Comments Sent TP</t>
  </si>
  <si>
    <t>Lab Schedule Received</t>
  </si>
  <si>
    <t>Lab Schedule Sent</t>
  </si>
  <si>
    <t>DCP</t>
  </si>
  <si>
    <t>Yes</t>
  </si>
  <si>
    <t>No DCP log Received</t>
  </si>
  <si>
    <t>Total TP</t>
  </si>
  <si>
    <t>Total TP Depth</t>
  </si>
  <si>
    <t>Important Notes</t>
  </si>
  <si>
    <t>Items requiring manual input</t>
  </si>
  <si>
    <t>U100</t>
  </si>
  <si>
    <t>Standpipes</t>
  </si>
  <si>
    <t>Dynamic Probes</t>
  </si>
  <si>
    <t>Window Samples</t>
  </si>
  <si>
    <t>Scheduled CP Depth</t>
  </si>
  <si>
    <t>Scheduled RC Depth</t>
  </si>
  <si>
    <t>Total Depth</t>
  </si>
  <si>
    <t>CP Scheduled</t>
  </si>
  <si>
    <t>RC Scheduled</t>
  </si>
  <si>
    <r>
      <t>C</t>
    </r>
    <r>
      <rPr>
        <sz val="10"/>
        <rFont val="Arial"/>
        <family val="2"/>
      </rPr>
      <t xml:space="preserve"> </t>
    </r>
  </si>
  <si>
    <r>
      <t xml:space="preserve">Rotary drill in materials </t>
    </r>
    <r>
      <rPr>
        <b/>
        <u/>
        <sz val="10"/>
        <rFont val="Arial"/>
        <family val="2"/>
      </rPr>
      <t xml:space="preserve">other than hard </t>
    </r>
    <r>
      <rPr>
        <sz val="10"/>
        <rFont val="Arial"/>
        <family val="2"/>
      </rPr>
      <t>strata</t>
    </r>
    <r>
      <rPr>
        <b/>
        <u/>
        <sz val="10"/>
        <rFont val="Arial"/>
        <family val="2"/>
      </rPr>
      <t xml:space="preserve"> to obtain cores </t>
    </r>
    <r>
      <rPr>
        <sz val="10"/>
        <rFont val="Arial"/>
        <family val="2"/>
      </rPr>
      <t>of the specified diameter between existing ground level and 10m depth.</t>
    </r>
  </si>
  <si>
    <r>
      <t xml:space="preserve">Inspection pits
</t>
    </r>
    <r>
      <rPr>
        <u/>
        <sz val="10"/>
        <rFont val="Arial"/>
        <family val="2"/>
      </rPr>
      <t>Included for each exploratory hole: refer hand digging and CAT scan items at exploratory hole locations</t>
    </r>
  </si>
  <si>
    <t>TP 02</t>
  </si>
  <si>
    <t>TP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</si>
</sst>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quot;€&quot;#,##0.00"/>
    <numFmt numFmtId="166" formatCode="0.0"/>
  </numFmts>
  <fonts count="67" x14ac:knownFonts="1">
    <font>
      <sz val="10"/>
      <color theme="1"/>
      <name val="Arial"/>
      <family val="2"/>
    </font>
    <font>
      <sz val="11"/>
      <color theme="1"/>
      <name val="Calibri"/>
      <family val="2"/>
      <scheme val="minor"/>
    </font>
    <font>
      <sz val="10"/>
      <color theme="1"/>
      <name val="Arial"/>
      <family val="2"/>
    </font>
    <font>
      <b/>
      <sz val="10"/>
      <color theme="1"/>
      <name val="Arial"/>
      <family val="2"/>
    </font>
    <font>
      <sz val="10"/>
      <color theme="1"/>
      <name val="Times New Roman"/>
      <family val="1"/>
    </font>
    <font>
      <b/>
      <sz val="9"/>
      <color rgb="FF000000"/>
      <name val="Arial"/>
      <family val="2"/>
    </font>
    <font>
      <b/>
      <sz val="10"/>
      <color rgb="FF000000"/>
      <name val="Arial"/>
      <family val="2"/>
    </font>
    <font>
      <sz val="10"/>
      <color rgb="FF000000"/>
      <name val="Arial"/>
      <family val="2"/>
    </font>
    <font>
      <u/>
      <sz val="10"/>
      <color theme="1"/>
      <name val="Arial"/>
      <family val="2"/>
    </font>
    <font>
      <vertAlign val="superscript"/>
      <sz val="10"/>
      <color theme="1"/>
      <name val="Arial"/>
      <family val="2"/>
    </font>
    <font>
      <u/>
      <sz val="10"/>
      <color rgb="FF000000"/>
      <name val="Arial"/>
      <family val="2"/>
    </font>
    <font>
      <b/>
      <u/>
      <sz val="10"/>
      <color theme="1"/>
      <name val="Arial"/>
      <family val="2"/>
    </font>
    <font>
      <b/>
      <u/>
      <sz val="10"/>
      <color rgb="FF000000"/>
      <name val="Arial"/>
      <family val="2"/>
    </font>
    <font>
      <sz val="11"/>
      <color rgb="FF000000"/>
      <name val="Calibri"/>
      <family val="2"/>
    </font>
    <font>
      <sz val="10"/>
      <name val="Arial"/>
      <family val="2"/>
    </font>
    <font>
      <sz val="10"/>
      <color theme="0" tint="-0.34998626667073579"/>
      <name val="Arial"/>
      <family val="2"/>
    </font>
    <font>
      <sz val="10"/>
      <color theme="0" tint="-0.34998626667073579"/>
      <name val="Times New Roman"/>
      <family val="1"/>
    </font>
    <font>
      <b/>
      <sz val="10"/>
      <color theme="0" tint="-0.34998626667073579"/>
      <name val="Arial"/>
      <family val="2"/>
    </font>
    <font>
      <u/>
      <sz val="10"/>
      <color theme="0" tint="-0.34998626667073579"/>
      <name val="Arial"/>
      <family val="2"/>
    </font>
    <font>
      <vertAlign val="superscript"/>
      <sz val="10"/>
      <name val="Arial"/>
      <family val="2"/>
    </font>
    <font>
      <sz val="10"/>
      <color theme="0" tint="-0.34998626667073579"/>
      <name val="Calibri"/>
      <family val="2"/>
    </font>
    <font>
      <sz val="10"/>
      <color theme="2" tint="-0.249977111117893"/>
      <name val="Arial"/>
      <family val="2"/>
    </font>
    <font>
      <sz val="10"/>
      <color rgb="FFC00000"/>
      <name val="Arial"/>
      <family val="2"/>
    </font>
    <font>
      <sz val="10"/>
      <color theme="2" tint="-0.249977111117893"/>
      <name val="Calibri"/>
      <family val="2"/>
    </font>
    <font>
      <u/>
      <sz val="10"/>
      <name val="Arial"/>
      <family val="2"/>
    </font>
    <font>
      <sz val="10"/>
      <color rgb="FFFF0000"/>
      <name val="Arial"/>
      <family val="2"/>
    </font>
    <font>
      <b/>
      <sz val="10"/>
      <color rgb="FFFF0000"/>
      <name val="Arial"/>
      <family val="2"/>
    </font>
    <font>
      <sz val="11"/>
      <color rgb="FF3F3F76"/>
      <name val="Calibri"/>
      <family val="2"/>
      <scheme val="minor"/>
    </font>
    <font>
      <b/>
      <sz val="11"/>
      <color rgb="FFFA7D00"/>
      <name val="Calibri"/>
      <family val="2"/>
      <scheme val="minor"/>
    </font>
    <font>
      <sz val="10"/>
      <color rgb="FFFF0000"/>
      <name val="Times New Roman"/>
      <family val="1"/>
    </font>
    <font>
      <b/>
      <sz val="11"/>
      <color rgb="FFFF0000"/>
      <name val="Calibri"/>
      <family val="2"/>
      <scheme val="minor"/>
    </font>
    <font>
      <b/>
      <sz val="10"/>
      <name val="Arial"/>
      <family val="2"/>
    </font>
    <font>
      <b/>
      <u/>
      <sz val="10"/>
      <name val="Arial"/>
      <family val="2"/>
    </font>
    <font>
      <sz val="10"/>
      <color rgb="FF00B050"/>
      <name val="Arial"/>
      <family val="2"/>
    </font>
    <font>
      <b/>
      <u/>
      <sz val="10"/>
      <color rgb="FFFF0000"/>
      <name val="Arial"/>
      <family val="2"/>
    </font>
    <font>
      <sz val="10"/>
      <color rgb="FF00B0F0"/>
      <name val="Arial"/>
      <family val="2"/>
    </font>
    <font>
      <sz val="11"/>
      <color rgb="FF00B0F0"/>
      <name val="Arial"/>
      <family val="2"/>
    </font>
    <font>
      <b/>
      <sz val="9"/>
      <color rgb="FFFF0000"/>
      <name val="Arial"/>
      <family val="2"/>
    </font>
    <font>
      <sz val="11"/>
      <color rgb="FF006100"/>
      <name val="Calibri"/>
      <family val="2"/>
      <scheme val="minor"/>
    </font>
    <font>
      <sz val="11"/>
      <color rgb="FF9C0006"/>
      <name val="Calibri"/>
      <family val="2"/>
      <scheme val="minor"/>
    </font>
    <font>
      <b/>
      <sz val="11"/>
      <color rgb="FF9C0006"/>
      <name val="Calibri"/>
      <family val="2"/>
      <scheme val="minor"/>
    </font>
    <font>
      <b/>
      <sz val="10"/>
      <color rgb="FF00B050"/>
      <name val="Arial"/>
      <family val="2"/>
    </font>
    <font>
      <b/>
      <sz val="11"/>
      <color rgb="FF00B050"/>
      <name val="Calibri"/>
      <family val="2"/>
      <scheme val="minor"/>
    </font>
    <font>
      <b/>
      <sz val="10"/>
      <color indexed="17"/>
      <name val="Arial"/>
      <family val="2"/>
    </font>
    <font>
      <b/>
      <sz val="11"/>
      <color indexed="17"/>
      <name val="Calibri"/>
      <family val="2"/>
      <scheme val="minor"/>
    </font>
    <font>
      <sz val="9"/>
      <color indexed="81"/>
      <name val="Tahoma"/>
      <family val="2"/>
    </font>
    <font>
      <b/>
      <sz val="9"/>
      <color indexed="81"/>
      <name val="Tahoma"/>
      <family val="2"/>
    </font>
    <font>
      <sz val="10"/>
      <color rgb="FF002060"/>
      <name val="Arial"/>
      <family val="2"/>
    </font>
    <font>
      <b/>
      <sz val="10"/>
      <color rgb="FF002060"/>
      <name val="Arial"/>
      <family val="2"/>
    </font>
    <font>
      <sz val="9"/>
      <color indexed="10"/>
      <name val="Tahoma"/>
      <family val="2"/>
    </font>
    <font>
      <sz val="10"/>
      <color theme="0" tint="-0.249977111117893"/>
      <name val="Arial"/>
      <family val="2"/>
    </font>
    <font>
      <sz val="11"/>
      <color rgb="FFFF0000"/>
      <name val="Calibri"/>
      <family val="2"/>
      <scheme val="minor"/>
    </font>
    <font>
      <b/>
      <sz val="11"/>
      <name val="Calibri"/>
      <family val="2"/>
      <scheme val="minor"/>
    </font>
    <font>
      <sz val="10"/>
      <color theme="0" tint="-0.499984740745262"/>
      <name val="Arial"/>
      <family val="2"/>
    </font>
    <font>
      <b/>
      <sz val="11"/>
      <color theme="0" tint="-0.499984740745262"/>
      <name val="Calibri"/>
      <family val="2"/>
      <scheme val="minor"/>
    </font>
    <font>
      <sz val="11"/>
      <color theme="0" tint="-0.499984740745262"/>
      <name val="Calibri"/>
      <family val="2"/>
      <scheme val="minor"/>
    </font>
    <font>
      <b/>
      <sz val="11"/>
      <color theme="0" tint="-0.249977111117893"/>
      <name val="Calibri"/>
      <family val="2"/>
      <scheme val="minor"/>
    </font>
    <font>
      <sz val="9"/>
      <color indexed="81"/>
      <name val="Tahoma"/>
      <charset val="1"/>
    </font>
    <font>
      <b/>
      <sz val="9"/>
      <color indexed="81"/>
      <name val="Tahoma"/>
      <charset val="1"/>
    </font>
    <font>
      <b/>
      <sz val="11"/>
      <color theme="0" tint="-0.34998626667073579"/>
      <name val="Calibri"/>
      <family val="2"/>
      <scheme val="minor"/>
    </font>
    <font>
      <sz val="10"/>
      <name val="Times New Roman"/>
      <family val="1"/>
    </font>
    <font>
      <sz val="11"/>
      <color rgb="FFFA7D00"/>
      <name val="Calibri"/>
      <family val="2"/>
      <scheme val="minor"/>
    </font>
    <font>
      <b/>
      <sz val="11"/>
      <color theme="1"/>
      <name val="Calibri"/>
      <family val="2"/>
      <scheme val="minor"/>
    </font>
    <font>
      <b/>
      <sz val="11"/>
      <color theme="1"/>
      <name val="Calibri"/>
      <family val="2"/>
    </font>
    <font>
      <b/>
      <sz val="18"/>
      <color theme="1"/>
      <name val="Calibri"/>
      <family val="2"/>
      <scheme val="minor"/>
    </font>
    <font>
      <sz val="11"/>
      <name val="Calibri"/>
      <family val="2"/>
      <scheme val="minor"/>
    </font>
    <font>
      <b/>
      <sz val="11"/>
      <name val="Arial"/>
      <family val="2"/>
    </font>
  </fonts>
  <fills count="22">
    <fill>
      <patternFill patternType="none"/>
    </fill>
    <fill>
      <patternFill patternType="gray125"/>
    </fill>
    <fill>
      <patternFill patternType="solid">
        <fgColor rgb="FFFFFF00"/>
        <bgColor indexed="64"/>
      </patternFill>
    </fill>
    <fill>
      <patternFill patternType="solid">
        <fgColor rgb="FFFFCCFF"/>
        <bgColor indexed="64"/>
      </patternFill>
    </fill>
    <fill>
      <patternFill patternType="solid">
        <fgColor rgb="FFFFCC99"/>
      </patternFill>
    </fill>
    <fill>
      <patternFill patternType="solid">
        <fgColor rgb="FFF2F2F2"/>
      </patternFill>
    </fill>
    <fill>
      <patternFill patternType="solid">
        <fgColor rgb="FF92D050"/>
        <bgColor indexed="64"/>
      </patternFill>
    </fill>
    <fill>
      <patternFill patternType="solid">
        <fgColor rgb="FFFF0000"/>
        <bgColor indexed="64"/>
      </patternFill>
    </fill>
    <fill>
      <patternFill patternType="solid">
        <fgColor rgb="FF85DFFF"/>
        <bgColor indexed="64"/>
      </patternFill>
    </fill>
    <fill>
      <patternFill patternType="solid">
        <fgColor theme="0" tint="-0.14999847407452621"/>
        <bgColor indexed="64"/>
      </patternFill>
    </fill>
    <fill>
      <patternFill patternType="solid">
        <fgColor rgb="FFFFFFCC"/>
        <bgColor indexed="64"/>
      </patternFill>
    </fill>
    <fill>
      <patternFill patternType="solid">
        <fgColor theme="5"/>
        <bgColor indexed="64"/>
      </patternFill>
    </fill>
    <fill>
      <patternFill patternType="solid">
        <fgColor rgb="FFFFC000"/>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6EFCE"/>
      </patternFill>
    </fill>
    <fill>
      <patternFill patternType="solid">
        <fgColor rgb="FFFFC7CE"/>
      </patternFill>
    </fill>
    <fill>
      <patternFill patternType="solid">
        <fgColor theme="0" tint="-4.9989318521683403E-2"/>
        <bgColor indexed="64"/>
      </patternFill>
    </fill>
    <fill>
      <patternFill patternType="solid">
        <fgColor rgb="FFFFFFCC"/>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dotted">
        <color auto="1"/>
      </left>
      <right/>
      <top/>
      <bottom style="dotted">
        <color auto="1"/>
      </bottom>
      <diagonal/>
    </border>
    <border>
      <left style="dotted">
        <color auto="1"/>
      </left>
      <right style="dotted">
        <color auto="1"/>
      </right>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thin">
        <color rgb="FF7F7F7F"/>
      </right>
      <top style="thin">
        <color rgb="FF7F7F7F"/>
      </top>
      <bottom style="thin">
        <color rgb="FF7F7F7F"/>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right style="dotted">
        <color auto="1"/>
      </right>
      <top/>
      <bottom style="dotted">
        <color auto="1"/>
      </bottom>
      <diagonal/>
    </border>
    <border>
      <left style="thin">
        <color rgb="FF7F7F7F"/>
      </left>
      <right style="thin">
        <color rgb="FF7F7F7F"/>
      </right>
      <top style="thin">
        <color rgb="FF7F7F7F"/>
      </top>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bottom style="thin">
        <color indexed="64"/>
      </bottom>
      <diagonal/>
    </border>
    <border>
      <left style="thin">
        <color rgb="FF7F7F7F"/>
      </left>
      <right/>
      <top style="thin">
        <color rgb="FF7F7F7F"/>
      </top>
      <bottom style="thin">
        <color rgb="FF7F7F7F"/>
      </bottom>
      <diagonal/>
    </border>
    <border>
      <left style="thin">
        <color rgb="FF7F7F7F"/>
      </left>
      <right/>
      <top style="thin">
        <color rgb="FF7F7F7F"/>
      </top>
      <bottom/>
      <diagonal/>
    </border>
    <border>
      <left/>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s>
  <cellStyleXfs count="10">
    <xf numFmtId="0" fontId="0" fillId="0" borderId="0"/>
    <xf numFmtId="164" fontId="2" fillId="0" borderId="0" applyFont="0" applyFill="0" applyBorder="0" applyAlignment="0" applyProtection="0"/>
    <xf numFmtId="0" fontId="27" fillId="4" borderId="16" applyNumberFormat="0" applyAlignment="0" applyProtection="0"/>
    <xf numFmtId="0" fontId="28" fillId="5" borderId="16" applyNumberFormat="0" applyAlignment="0" applyProtection="0"/>
    <xf numFmtId="0" fontId="38" fillId="18" borderId="0" applyNumberFormat="0" applyBorder="0" applyAlignment="0" applyProtection="0"/>
    <xf numFmtId="0" fontId="39" fillId="19" borderId="0" applyNumberFormat="0" applyBorder="0" applyAlignment="0" applyProtection="0"/>
    <xf numFmtId="0" fontId="2" fillId="21" borderId="41" applyNumberFormat="0" applyFont="0" applyAlignment="0" applyProtection="0"/>
    <xf numFmtId="0" fontId="61" fillId="0" borderId="42" applyNumberFormat="0" applyFill="0" applyAlignment="0" applyProtection="0"/>
    <xf numFmtId="0" fontId="1" fillId="0" borderId="0"/>
    <xf numFmtId="0" fontId="14" fillId="0" borderId="0"/>
  </cellStyleXfs>
  <cellXfs count="515">
    <xf numFmtId="0" fontId="0" fillId="0" borderId="0" xfId="0"/>
    <xf numFmtId="0" fontId="0" fillId="0" borderId="0" xfId="0" applyAlignment="1">
      <alignment horizontal="center"/>
    </xf>
    <xf numFmtId="0" fontId="6" fillId="0" borderId="1" xfId="0" applyFont="1" applyBorder="1" applyAlignment="1">
      <alignment vertical="center" wrapText="1"/>
    </xf>
    <xf numFmtId="0" fontId="0" fillId="0" borderId="1" xfId="0" applyBorder="1"/>
    <xf numFmtId="0" fontId="0" fillId="0" borderId="1" xfId="0" applyBorder="1" applyAlignment="1">
      <alignment horizont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0" fillId="0" borderId="2" xfId="0" applyBorder="1"/>
    <xf numFmtId="0" fontId="0" fillId="0" borderId="2" xfId="0" applyBorder="1" applyAlignment="1">
      <alignment horizontal="center"/>
    </xf>
    <xf numFmtId="0" fontId="3" fillId="0" borderId="1" xfId="0" applyFont="1" applyBorder="1" applyAlignment="1">
      <alignment vertical="center" wrapText="1"/>
    </xf>
    <xf numFmtId="0" fontId="2" fillId="0" borderId="1" xfId="0" applyFont="1" applyBorder="1" applyAlignment="1">
      <alignment vertical="center" wrapText="1"/>
    </xf>
    <xf numFmtId="0" fontId="8" fillId="0" borderId="1" xfId="0" applyFont="1" applyBorder="1" applyAlignment="1">
      <alignmen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top" wrapText="1"/>
    </xf>
    <xf numFmtId="0" fontId="3" fillId="0" borderId="1" xfId="0" applyFont="1" applyBorder="1" applyAlignment="1">
      <alignment horizontal="center" vertical="center" wrapText="1"/>
    </xf>
    <xf numFmtId="0" fontId="10" fillId="0" borderId="1" xfId="0" applyFont="1" applyBorder="1" applyAlignment="1">
      <alignment vertical="center" wrapText="1"/>
    </xf>
    <xf numFmtId="0" fontId="4" fillId="0" borderId="1" xfId="0" applyFont="1" applyBorder="1" applyAlignment="1">
      <alignment vertical="center" wrapText="1"/>
    </xf>
    <xf numFmtId="0" fontId="11" fillId="0" borderId="1" xfId="0" applyFont="1" applyBorder="1" applyAlignment="1">
      <alignment vertical="center" wrapText="1"/>
    </xf>
    <xf numFmtId="165" fontId="0" fillId="0" borderId="1" xfId="0" applyNumberFormat="1" applyFont="1" applyBorder="1" applyAlignment="1">
      <alignment horizontal="center" vertical="center" wrapText="1"/>
    </xf>
    <xf numFmtId="165" fontId="0" fillId="0" borderId="1" xfId="0" applyNumberFormat="1" applyFont="1" applyBorder="1" applyAlignment="1">
      <alignment horizontal="center"/>
    </xf>
    <xf numFmtId="165" fontId="7" fillId="0" borderId="1" xfId="0" applyNumberFormat="1" applyFont="1" applyBorder="1" applyAlignment="1">
      <alignment horizontal="center" vertical="center" wrapText="1"/>
    </xf>
    <xf numFmtId="165" fontId="3" fillId="0" borderId="1" xfId="1" applyNumberFormat="1" applyFont="1" applyBorder="1" applyAlignment="1">
      <alignment horizontal="center"/>
    </xf>
    <xf numFmtId="0" fontId="11" fillId="0" borderId="1" xfId="0" applyFont="1" applyBorder="1"/>
    <xf numFmtId="0" fontId="12" fillId="0" borderId="1" xfId="0" applyFont="1" applyBorder="1"/>
    <xf numFmtId="0" fontId="3" fillId="0" borderId="2" xfId="0" applyFont="1" applyBorder="1" applyAlignment="1">
      <alignment horizontal="center" vertical="center" wrapText="1"/>
    </xf>
    <xf numFmtId="0" fontId="2" fillId="0" borderId="2" xfId="0" applyFont="1" applyBorder="1" applyAlignment="1">
      <alignment vertical="center" wrapText="1"/>
    </xf>
    <xf numFmtId="0" fontId="3" fillId="0" borderId="2" xfId="0" applyFont="1" applyBorder="1" applyAlignment="1">
      <alignment vertical="center" wrapText="1"/>
    </xf>
    <xf numFmtId="0" fontId="7" fillId="0" borderId="2" xfId="0" applyFont="1" applyBorder="1" applyAlignment="1">
      <alignment horizontal="center" vertical="center" wrapText="1"/>
    </xf>
    <xf numFmtId="0" fontId="0" fillId="0" borderId="0" xfId="0" applyAlignment="1">
      <alignment horizontal="right"/>
    </xf>
    <xf numFmtId="0" fontId="2" fillId="0" borderId="2" xfId="0" applyFont="1" applyBorder="1" applyAlignment="1">
      <alignment horizontal="center" vertical="center" wrapText="1"/>
    </xf>
    <xf numFmtId="0" fontId="7" fillId="0" borderId="2" xfId="0" applyFont="1" applyBorder="1" applyAlignment="1">
      <alignment vertical="center" wrapText="1"/>
    </xf>
    <xf numFmtId="0" fontId="10" fillId="0" borderId="2" xfId="0" applyFont="1" applyBorder="1" applyAlignment="1">
      <alignment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3" fillId="0" borderId="10" xfId="0" applyFont="1" applyBorder="1" applyAlignment="1">
      <alignment horizontal="right"/>
    </xf>
    <xf numFmtId="0" fontId="3" fillId="0" borderId="11" xfId="0" applyFont="1" applyBorder="1" applyAlignment="1">
      <alignment horizontal="right"/>
    </xf>
    <xf numFmtId="0" fontId="2" fillId="0" borderId="1" xfId="0" applyFont="1" applyBorder="1" applyAlignment="1">
      <alignment vertical="center" wrapText="1"/>
    </xf>
    <xf numFmtId="0" fontId="6" fillId="0" borderId="8" xfId="0" applyFont="1" applyBorder="1" applyAlignment="1">
      <alignment horizontal="center" vertical="center" wrapText="1"/>
    </xf>
    <xf numFmtId="0" fontId="6" fillId="0" borderId="6" xfId="0" applyFont="1" applyBorder="1" applyAlignment="1">
      <alignment horizontal="center" vertical="center" wrapText="1"/>
    </xf>
    <xf numFmtId="0" fontId="3" fillId="0" borderId="1" xfId="0" applyFont="1" applyBorder="1" applyAlignment="1">
      <alignment vertical="center" wrapText="1"/>
    </xf>
    <xf numFmtId="0" fontId="8" fillId="0" borderId="1" xfId="0" applyFont="1" applyBorder="1" applyAlignment="1">
      <alignment vertical="center"/>
    </xf>
    <xf numFmtId="0" fontId="2" fillId="0" borderId="1" xfId="0" applyFont="1" applyBorder="1" applyAlignment="1">
      <alignment horizontal="center" vertical="center" wrapText="1"/>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18" fillId="0" borderId="1" xfId="0" applyFont="1" applyBorder="1" applyAlignment="1">
      <alignment vertical="center" wrapText="1"/>
    </xf>
    <xf numFmtId="0" fontId="0" fillId="0" borderId="1" xfId="0" applyFont="1" applyBorder="1" applyAlignment="1">
      <alignment vertical="center" wrapText="1"/>
    </xf>
    <xf numFmtId="0" fontId="15" fillId="0" borderId="2" xfId="0" applyFont="1" applyBorder="1" applyAlignment="1">
      <alignment horizontal="center" vertical="center" wrapText="1"/>
    </xf>
    <xf numFmtId="0" fontId="16" fillId="0" borderId="1" xfId="0" applyFont="1" applyBorder="1" applyAlignment="1">
      <alignment horizontal="center" vertical="top" wrapText="1"/>
    </xf>
    <xf numFmtId="0" fontId="5" fillId="0" borderId="1" xfId="0" applyFont="1" applyBorder="1" applyAlignment="1" applyProtection="1">
      <alignment horizontal="center" vertical="center" wrapText="1"/>
      <protection locked="0"/>
    </xf>
    <xf numFmtId="0" fontId="0" fillId="0" borderId="2" xfId="0" applyBorder="1" applyAlignment="1" applyProtection="1">
      <alignment horizontal="center"/>
      <protection locked="0"/>
    </xf>
    <xf numFmtId="0" fontId="3" fillId="0" borderId="1" xfId="0" applyFont="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0" fillId="0" borderId="0" xfId="0" applyAlignment="1" applyProtection="1">
      <alignment horizontal="center"/>
      <protection locked="0"/>
    </xf>
    <xf numFmtId="0" fontId="2" fillId="0" borderId="2"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4" fillId="0" borderId="1" xfId="0" applyFont="1" applyBorder="1" applyAlignment="1" applyProtection="1">
      <alignment vertical="center" wrapText="1"/>
      <protection locked="0"/>
    </xf>
    <xf numFmtId="0" fontId="7" fillId="0" borderId="2" xfId="0" applyFont="1" applyBorder="1" applyAlignment="1" applyProtection="1">
      <alignment horizontal="center" vertical="center" wrapText="1"/>
      <protection locked="0"/>
    </xf>
    <xf numFmtId="0" fontId="3" fillId="0" borderId="12" xfId="0" applyFont="1" applyBorder="1" applyAlignment="1" applyProtection="1">
      <alignment horizontal="right"/>
      <protection locked="0"/>
    </xf>
    <xf numFmtId="0" fontId="2" fillId="0" borderId="1" xfId="0" applyFont="1" applyBorder="1" applyAlignment="1" applyProtection="1">
      <alignment vertical="center" wrapText="1"/>
      <protection locked="0"/>
    </xf>
    <xf numFmtId="0" fontId="4" fillId="0" borderId="1" xfId="0" applyFont="1" applyBorder="1" applyAlignment="1" applyProtection="1">
      <alignment vertical="top" wrapText="1"/>
      <protection locked="0"/>
    </xf>
    <xf numFmtId="0" fontId="3" fillId="0" borderId="1" xfId="0" applyFont="1" applyBorder="1" applyAlignment="1" applyProtection="1">
      <alignment vertical="center" wrapText="1"/>
      <protection locked="0"/>
    </xf>
    <xf numFmtId="0" fontId="7" fillId="0" borderId="1" xfId="0" applyFont="1" applyBorder="1" applyAlignment="1" applyProtection="1">
      <alignment vertical="center" wrapText="1"/>
      <protection locked="0"/>
    </xf>
    <xf numFmtId="0" fontId="6" fillId="0" borderId="14"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0" fillId="0" borderId="1" xfId="0" applyBorder="1" applyAlignment="1" applyProtection="1">
      <alignment horizontal="center"/>
      <protection locked="0"/>
    </xf>
    <xf numFmtId="0" fontId="15" fillId="0" borderId="1" xfId="0" applyFont="1" applyBorder="1" applyAlignment="1">
      <alignment vertical="center" wrapText="1"/>
    </xf>
    <xf numFmtId="0" fontId="21" fillId="0" borderId="1" xfId="0" applyFont="1" applyBorder="1" applyAlignment="1">
      <alignment vertical="center" wrapText="1"/>
    </xf>
    <xf numFmtId="0" fontId="21" fillId="0" borderId="1" xfId="0" applyFont="1" applyBorder="1" applyAlignment="1">
      <alignment horizontal="center" vertical="center" wrapText="1"/>
    </xf>
    <xf numFmtId="0" fontId="15" fillId="0" borderId="1" xfId="0" applyFont="1" applyBorder="1" applyAlignment="1">
      <alignment vertical="center" wrapText="1"/>
    </xf>
    <xf numFmtId="0" fontId="14" fillId="0" borderId="1" xfId="0" applyFont="1" applyBorder="1" applyAlignment="1" applyProtection="1">
      <alignment horizontal="center" vertical="center" wrapText="1"/>
      <protection locked="0"/>
    </xf>
    <xf numFmtId="0" fontId="14" fillId="0" borderId="0" xfId="0" applyFont="1"/>
    <xf numFmtId="0" fontId="22" fillId="0" borderId="0" xfId="0" applyFont="1"/>
    <xf numFmtId="0" fontId="15" fillId="0" borderId="0" xfId="0" applyFont="1"/>
    <xf numFmtId="0" fontId="6" fillId="0" borderId="3" xfId="0" applyFont="1" applyBorder="1" applyAlignment="1">
      <alignment horizontal="center" vertical="center" wrapText="1"/>
    </xf>
    <xf numFmtId="0" fontId="7"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24" fillId="0" borderId="1" xfId="0" applyFont="1" applyBorder="1" applyAlignment="1">
      <alignment vertical="center" wrapText="1"/>
    </xf>
    <xf numFmtId="0" fontId="0" fillId="0" borderId="2" xfId="0" applyFont="1" applyBorder="1" applyAlignment="1">
      <alignment vertical="center" wrapText="1"/>
    </xf>
    <xf numFmtId="0" fontId="7" fillId="0" borderId="2" xfId="0" applyFont="1" applyBorder="1" applyAlignment="1" applyProtection="1">
      <alignment vertical="center" wrapText="1"/>
      <protection locked="0"/>
    </xf>
    <xf numFmtId="0" fontId="0" fillId="0" borderId="3" xfId="0" applyBorder="1" applyAlignment="1">
      <alignment horizontal="center"/>
    </xf>
    <xf numFmtId="0" fontId="6" fillId="0" borderId="0" xfId="0" applyFont="1" applyBorder="1" applyAlignment="1">
      <alignment horizontal="center" vertical="center" wrapText="1"/>
    </xf>
    <xf numFmtId="0" fontId="7" fillId="0" borderId="0" xfId="0" applyFont="1" applyBorder="1" applyAlignment="1">
      <alignment horizontal="center" vertical="center" wrapText="1"/>
    </xf>
    <xf numFmtId="0" fontId="13" fillId="0" borderId="0" xfId="0" applyFont="1" applyBorder="1" applyAlignment="1">
      <alignment horizontal="center" vertical="center"/>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25" fillId="3" borderId="0" xfId="0" applyFont="1" applyFill="1"/>
    <xf numFmtId="0" fontId="25" fillId="0" borderId="0" xfId="0" applyFont="1"/>
    <xf numFmtId="0" fontId="7" fillId="0" borderId="1" xfId="0" applyFont="1" applyBorder="1" applyAlignment="1">
      <alignment horizontal="center" vertical="center" wrapText="1"/>
    </xf>
    <xf numFmtId="0" fontId="4" fillId="0" borderId="1" xfId="0" applyFont="1" applyBorder="1" applyAlignment="1">
      <alignment horizontal="center" vertical="top" wrapText="1"/>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0" fillId="0" borderId="1" xfId="0" applyFont="1" applyBorder="1" applyAlignment="1">
      <alignment horizontal="center" vertical="center" wrapText="1"/>
    </xf>
    <xf numFmtId="0" fontId="22" fillId="6" borderId="0" xfId="0" applyFont="1" applyFill="1"/>
    <xf numFmtId="0" fontId="0" fillId="0" borderId="21" xfId="0" applyBorder="1"/>
    <xf numFmtId="0" fontId="0" fillId="0" borderId="22" xfId="0" applyBorder="1"/>
    <xf numFmtId="0" fontId="0" fillId="0" borderId="23" xfId="0" applyBorder="1"/>
    <xf numFmtId="0" fontId="0" fillId="0" borderId="0" xfId="0" applyFont="1"/>
    <xf numFmtId="0" fontId="0" fillId="0" borderId="0" xfId="0" applyFont="1" applyAlignment="1">
      <alignment horizontal="center"/>
    </xf>
    <xf numFmtId="0" fontId="0" fillId="0" borderId="21" xfId="0" applyFont="1" applyBorder="1"/>
    <xf numFmtId="0" fontId="0" fillId="0" borderId="20" xfId="0" applyFont="1" applyBorder="1"/>
    <xf numFmtId="0" fontId="0" fillId="9" borderId="0" xfId="0" applyFont="1" applyFill="1" applyBorder="1" applyAlignment="1">
      <alignment horizontal="center" vertical="center" wrapText="1"/>
    </xf>
    <xf numFmtId="0" fontId="3" fillId="9" borderId="0" xfId="0" applyFont="1" applyFill="1" applyBorder="1" applyAlignment="1">
      <alignment horizontal="center" vertical="center" wrapText="1"/>
    </xf>
    <xf numFmtId="0" fontId="3" fillId="0" borderId="0" xfId="0" applyFont="1" applyAlignment="1">
      <alignment wrapText="1"/>
    </xf>
    <xf numFmtId="0" fontId="3" fillId="0" borderId="0" xfId="0" applyFont="1" applyAlignment="1">
      <alignment horizontal="center" wrapText="1"/>
    </xf>
    <xf numFmtId="0" fontId="28" fillId="5" borderId="16" xfId="3" applyAlignment="1">
      <alignment horizontal="center" vertical="center" wrapText="1"/>
    </xf>
    <xf numFmtId="0" fontId="28" fillId="5" borderId="16" xfId="3"/>
    <xf numFmtId="0" fontId="0" fillId="0" borderId="22" xfId="0" applyBorder="1" applyAlignment="1">
      <alignment horizontal="center" vertical="center"/>
    </xf>
    <xf numFmtId="0" fontId="5" fillId="0" borderId="0" xfId="0" applyFont="1" applyBorder="1" applyAlignment="1">
      <alignment horizontal="center" vertical="center" wrapText="1"/>
    </xf>
    <xf numFmtId="0" fontId="0" fillId="0" borderId="0" xfId="0" applyBorder="1" applyAlignment="1">
      <alignment horizontal="center"/>
    </xf>
    <xf numFmtId="0" fontId="28" fillId="5" borderId="16" xfId="3" applyAlignment="1">
      <alignment horizontal="center" vertical="center"/>
    </xf>
    <xf numFmtId="0" fontId="0" fillId="0" borderId="0" xfId="0" applyAlignment="1">
      <alignment horizontal="center" vertical="center"/>
    </xf>
    <xf numFmtId="0" fontId="14" fillId="0" borderId="22" xfId="0" applyFont="1" applyBorder="1"/>
    <xf numFmtId="0" fontId="14" fillId="0" borderId="23" xfId="0" applyFont="1" applyBorder="1"/>
    <xf numFmtId="0" fontId="30" fillId="5" borderId="16" xfId="3" applyFont="1" applyAlignment="1">
      <alignment horizontal="center" vertical="center" wrapText="1"/>
    </xf>
    <xf numFmtId="0" fontId="0" fillId="0" borderId="24" xfId="0" applyBorder="1" applyAlignment="1">
      <alignment horizontal="center" vertical="center"/>
    </xf>
    <xf numFmtId="0" fontId="0" fillId="0" borderId="24" xfId="0" applyNumberFormat="1" applyBorder="1" applyAlignment="1">
      <alignment horizontal="center" vertical="center"/>
    </xf>
    <xf numFmtId="0" fontId="28" fillId="5" borderId="25" xfId="3" applyBorder="1" applyAlignment="1">
      <alignment horizontal="center" vertical="center"/>
    </xf>
    <xf numFmtId="0" fontId="14" fillId="0" borderId="24" xfId="0" applyFont="1" applyBorder="1" applyAlignment="1">
      <alignment horizontal="center" vertical="center"/>
    </xf>
    <xf numFmtId="0" fontId="0" fillId="0" borderId="26" xfId="0" applyBorder="1"/>
    <xf numFmtId="0" fontId="0" fillId="0" borderId="27" xfId="0" applyBorder="1"/>
    <xf numFmtId="0" fontId="0" fillId="8" borderId="27" xfId="0" applyFill="1" applyBorder="1"/>
    <xf numFmtId="0" fontId="27" fillId="4" borderId="27" xfId="2" applyBorder="1" applyAlignment="1">
      <alignment vertical="center"/>
    </xf>
    <xf numFmtId="0" fontId="14" fillId="0" borderId="27" xfId="0" applyFont="1" applyBorder="1"/>
    <xf numFmtId="0" fontId="27" fillId="4" borderId="28" xfId="2" applyBorder="1" applyAlignment="1">
      <alignment vertical="center" wrapText="1"/>
    </xf>
    <xf numFmtId="0" fontId="7" fillId="0" borderId="3" xfId="0" applyFont="1" applyBorder="1" applyAlignment="1">
      <alignment horizontal="center" vertical="center" wrapText="1"/>
    </xf>
    <xf numFmtId="0" fontId="0" fillId="0" borderId="29" xfId="0" applyBorder="1"/>
    <xf numFmtId="0" fontId="0" fillId="0" borderId="24" xfId="0" applyBorder="1"/>
    <xf numFmtId="0" fontId="28" fillId="5" borderId="30" xfId="3" applyBorder="1" applyAlignment="1">
      <alignment horizontal="center" vertical="center" wrapText="1"/>
    </xf>
    <xf numFmtId="0" fontId="0" fillId="0" borderId="28" xfId="0" applyBorder="1"/>
    <xf numFmtId="0" fontId="2" fillId="0" borderId="0" xfId="0" applyFont="1" applyBorder="1" applyAlignment="1">
      <alignment horizontal="center" vertical="center" wrapText="1"/>
    </xf>
    <xf numFmtId="0" fontId="0" fillId="0" borderId="31" xfId="0" applyBorder="1"/>
    <xf numFmtId="0" fontId="0" fillId="0" borderId="32" xfId="0" applyBorder="1"/>
    <xf numFmtId="0" fontId="2" fillId="0" borderId="24" xfId="0" applyFont="1" applyBorder="1" applyAlignment="1">
      <alignment horizontal="center" vertical="center" wrapText="1"/>
    </xf>
    <xf numFmtId="0" fontId="25" fillId="3" borderId="24" xfId="0" applyFont="1" applyFill="1" applyBorder="1" applyAlignment="1">
      <alignment horizontal="left" vertical="center"/>
    </xf>
    <xf numFmtId="0" fontId="25" fillId="8" borderId="24" xfId="0" applyFont="1" applyFill="1" applyBorder="1" applyAlignment="1">
      <alignment horizontal="center" vertical="center" wrapText="1"/>
    </xf>
    <xf numFmtId="0" fontId="27" fillId="4" borderId="24" xfId="2" applyBorder="1" applyAlignment="1">
      <alignment horizontal="center" vertical="center" wrapText="1"/>
    </xf>
    <xf numFmtId="0" fontId="4" fillId="0" borderId="24" xfId="0" applyFont="1" applyBorder="1" applyAlignment="1">
      <alignment horizontal="center" vertical="top" wrapText="1"/>
    </xf>
    <xf numFmtId="0" fontId="14" fillId="0" borderId="24" xfId="0" applyFont="1" applyBorder="1" applyAlignment="1">
      <alignment horizontal="center" vertical="center" wrapText="1"/>
    </xf>
    <xf numFmtId="0" fontId="29" fillId="8" borderId="24" xfId="0" applyFont="1" applyFill="1" applyBorder="1" applyAlignment="1">
      <alignment horizontal="center" vertical="top" wrapText="1"/>
    </xf>
    <xf numFmtId="9" fontId="27" fillId="4" borderId="32" xfId="2" applyNumberFormat="1" applyBorder="1" applyAlignment="1">
      <alignment horizontal="center" vertical="center" wrapText="1"/>
    </xf>
    <xf numFmtId="0" fontId="0" fillId="0" borderId="33" xfId="0" applyBorder="1" applyAlignment="1">
      <alignment horizontal="center"/>
    </xf>
    <xf numFmtId="0" fontId="2" fillId="0" borderId="34" xfId="0" applyFont="1" applyBorder="1" applyAlignment="1">
      <alignment vertical="center" wrapText="1"/>
    </xf>
    <xf numFmtId="0" fontId="7" fillId="0" borderId="34" xfId="0" applyFont="1" applyBorder="1" applyAlignment="1">
      <alignment horizontal="center" vertical="center" wrapText="1"/>
    </xf>
    <xf numFmtId="0" fontId="0" fillId="0" borderId="34" xfId="0" applyBorder="1" applyAlignment="1">
      <alignment horizontal="center"/>
    </xf>
    <xf numFmtId="0" fontId="0" fillId="0" borderId="35" xfId="0" applyBorder="1" applyAlignment="1">
      <alignment horizontal="center"/>
    </xf>
    <xf numFmtId="0" fontId="2" fillId="0" borderId="34" xfId="0" applyFont="1" applyBorder="1" applyAlignment="1">
      <alignment horizontal="center" vertical="center" wrapText="1"/>
    </xf>
    <xf numFmtId="0" fontId="14" fillId="0" borderId="34" xfId="0" applyFont="1" applyBorder="1" applyAlignment="1">
      <alignment horizontal="center" vertical="center" wrapText="1"/>
    </xf>
    <xf numFmtId="0" fontId="0" fillId="11" borderId="0" xfId="0" applyFill="1" applyAlignment="1">
      <alignment horizontal="center"/>
    </xf>
    <xf numFmtId="0" fontId="5" fillId="11" borderId="0" xfId="0" applyFont="1" applyFill="1" applyBorder="1" applyAlignment="1">
      <alignment horizontal="center" vertical="center" wrapText="1"/>
    </xf>
    <xf numFmtId="0" fontId="0" fillId="11" borderId="0" xfId="0" applyFill="1" applyBorder="1" applyAlignment="1">
      <alignment horizontal="center"/>
    </xf>
    <xf numFmtId="0" fontId="2" fillId="11" borderId="0" xfId="0" applyFont="1" applyFill="1" applyBorder="1" applyAlignment="1">
      <alignment vertical="center" wrapText="1"/>
    </xf>
    <xf numFmtId="0" fontId="7" fillId="11" borderId="0" xfId="0" applyFont="1" applyFill="1" applyBorder="1" applyAlignment="1">
      <alignment horizontal="center" vertical="center" wrapText="1"/>
    </xf>
    <xf numFmtId="0" fontId="3" fillId="11" borderId="0" xfId="0" applyFont="1" applyFill="1" applyAlignment="1">
      <alignment horizontal="center" wrapText="1"/>
    </xf>
    <xf numFmtId="0" fontId="0" fillId="11" borderId="0" xfId="0" applyFont="1" applyFill="1" applyAlignment="1">
      <alignment horizontal="center"/>
    </xf>
    <xf numFmtId="0" fontId="2" fillId="11" borderId="0" xfId="0" applyFont="1" applyFill="1" applyBorder="1" applyAlignment="1">
      <alignment horizontal="center" vertical="center" wrapText="1"/>
    </xf>
    <xf numFmtId="0" fontId="4" fillId="11" borderId="0" xfId="0" applyFont="1" applyFill="1" applyBorder="1" applyAlignment="1">
      <alignment horizontal="center" vertical="top" wrapText="1"/>
    </xf>
    <xf numFmtId="0" fontId="14" fillId="11" borderId="0" xfId="0" applyFont="1" applyFill="1" applyBorder="1" applyAlignment="1">
      <alignment horizontal="center" vertical="center" wrapText="1"/>
    </xf>
    <xf numFmtId="0" fontId="0" fillId="0" borderId="0" xfId="0" applyFill="1" applyBorder="1" applyAlignment="1">
      <alignment horizontal="center"/>
    </xf>
    <xf numFmtId="0" fontId="0" fillId="0" borderId="0" xfId="0" applyFill="1" applyAlignment="1">
      <alignment horizontal="center"/>
    </xf>
    <xf numFmtId="0" fontId="7" fillId="11" borderId="17" xfId="0" applyFont="1" applyFill="1" applyBorder="1" applyAlignment="1">
      <alignment horizontal="center" vertical="center" wrapText="1"/>
    </xf>
    <xf numFmtId="0" fontId="0" fillId="0" borderId="34" xfId="0" applyFill="1" applyBorder="1" applyAlignment="1">
      <alignment horizontal="center"/>
    </xf>
    <xf numFmtId="0" fontId="2" fillId="0" borderId="34" xfId="0" applyFont="1" applyFill="1" applyBorder="1" applyAlignment="1">
      <alignment horizontal="center" vertical="center" wrapText="1"/>
    </xf>
    <xf numFmtId="0" fontId="7" fillId="0" borderId="34" xfId="0" applyFont="1" applyFill="1" applyBorder="1" applyAlignment="1">
      <alignment horizontal="center" vertical="center" wrapText="1"/>
    </xf>
    <xf numFmtId="0" fontId="7" fillId="0" borderId="35" xfId="0" applyFont="1" applyFill="1" applyBorder="1" applyAlignment="1">
      <alignment horizontal="center" vertical="center" wrapText="1"/>
    </xf>
    <xf numFmtId="0" fontId="28" fillId="5" borderId="1" xfId="3" applyBorder="1" applyAlignment="1">
      <alignment horizontal="center" vertical="center" wrapText="1"/>
    </xf>
    <xf numFmtId="0" fontId="32" fillId="0" borderId="1" xfId="0" applyFont="1" applyBorder="1" applyAlignment="1">
      <alignment vertical="center" wrapText="1"/>
    </xf>
    <xf numFmtId="0" fontId="14" fillId="0" borderId="1" xfId="0" applyNumberFormat="1" applyFont="1" applyBorder="1" applyAlignment="1">
      <alignment horizontal="center" vertical="center" wrapText="1"/>
    </xf>
    <xf numFmtId="0" fontId="0" fillId="0" borderId="24" xfId="0" applyBorder="1" applyAlignment="1">
      <alignment vertical="center"/>
    </xf>
    <xf numFmtId="0" fontId="0" fillId="0" borderId="27" xfId="0" applyBorder="1" applyAlignment="1">
      <alignment horizontal="center" vertical="center" wrapText="1"/>
    </xf>
    <xf numFmtId="0" fontId="28" fillId="5" borderId="16" xfId="3" applyNumberFormat="1" applyAlignment="1">
      <alignment horizontal="center" vertical="center"/>
    </xf>
    <xf numFmtId="0" fontId="0" fillId="0" borderId="37" xfId="0" applyBorder="1" applyAlignment="1">
      <alignment horizontal="center"/>
    </xf>
    <xf numFmtId="0" fontId="28" fillId="5" borderId="34" xfId="3" applyBorder="1" applyAlignment="1">
      <alignment horizontal="center" vertical="center" wrapText="1"/>
    </xf>
    <xf numFmtId="0" fontId="28" fillId="5" borderId="35" xfId="3" applyBorder="1" applyAlignment="1">
      <alignment horizontal="center" vertical="center" wrapText="1"/>
    </xf>
    <xf numFmtId="0" fontId="25" fillId="6" borderId="1" xfId="0" applyFont="1" applyFill="1" applyBorder="1" applyAlignment="1">
      <alignment horizontal="center"/>
    </xf>
    <xf numFmtId="0" fontId="25" fillId="6" borderId="1" xfId="0" applyFont="1" applyFill="1" applyBorder="1" applyAlignment="1">
      <alignment horizontal="center" wrapText="1"/>
    </xf>
    <xf numFmtId="0" fontId="25" fillId="6" borderId="2" xfId="0" applyFont="1" applyFill="1" applyBorder="1" applyAlignment="1">
      <alignment horizontal="center"/>
    </xf>
    <xf numFmtId="1" fontId="25" fillId="6" borderId="1" xfId="0" applyNumberFormat="1" applyFont="1" applyFill="1" applyBorder="1" applyAlignment="1">
      <alignment horizontal="center"/>
    </xf>
    <xf numFmtId="0" fontId="25" fillId="6" borderId="3" xfId="0" applyFont="1" applyFill="1" applyBorder="1" applyAlignment="1">
      <alignment horizontal="center"/>
    </xf>
    <xf numFmtId="0" fontId="25" fillId="6" borderId="15" xfId="0" applyFont="1" applyFill="1" applyBorder="1" applyAlignment="1">
      <alignment horizontal="center"/>
    </xf>
    <xf numFmtId="0" fontId="25" fillId="6" borderId="0" xfId="0" applyFont="1" applyFill="1"/>
    <xf numFmtId="0" fontId="25" fillId="6" borderId="15" xfId="0" applyFont="1" applyFill="1" applyBorder="1"/>
    <xf numFmtId="0" fontId="0" fillId="0" borderId="0" xfId="0" applyAlignment="1">
      <alignment wrapText="1"/>
    </xf>
    <xf numFmtId="0" fontId="25" fillId="6" borderId="36" xfId="0" applyFont="1" applyFill="1" applyBorder="1" applyAlignment="1">
      <alignment vertical="center"/>
    </xf>
    <xf numFmtId="0" fontId="6" fillId="0" borderId="0" xfId="0" applyFont="1" applyBorder="1" applyAlignment="1">
      <alignment vertical="center" wrapText="1"/>
    </xf>
    <xf numFmtId="0" fontId="7" fillId="0" borderId="0" xfId="0" applyFont="1" applyBorder="1" applyAlignment="1">
      <alignment horizontal="right" vertical="center" wrapText="1"/>
    </xf>
    <xf numFmtId="0" fontId="6" fillId="11" borderId="0" xfId="0" applyFont="1" applyFill="1" applyBorder="1" applyAlignment="1">
      <alignment vertical="center" wrapText="1"/>
    </xf>
    <xf numFmtId="0" fontId="7" fillId="11" borderId="0" xfId="0" applyFont="1" applyFill="1" applyBorder="1" applyAlignment="1">
      <alignment horizontal="right" vertical="center" wrapText="1"/>
    </xf>
    <xf numFmtId="0" fontId="22" fillId="0" borderId="1" xfId="0" applyFont="1" applyBorder="1"/>
    <xf numFmtId="0" fontId="0" fillId="0" borderId="1" xfId="0" applyBorder="1" applyAlignment="1">
      <alignment horizontal="center" vertical="center"/>
    </xf>
    <xf numFmtId="0" fontId="14" fillId="0" borderId="1" xfId="0" applyFont="1" applyBorder="1" applyAlignment="1">
      <alignment horizontal="center" vertical="center"/>
    </xf>
    <xf numFmtId="0" fontId="28" fillId="5" borderId="1" xfId="3" applyBorder="1" applyAlignment="1">
      <alignment horizontal="center" vertical="center"/>
    </xf>
    <xf numFmtId="0" fontId="28" fillId="5" borderId="38" xfId="3" applyBorder="1" applyAlignment="1">
      <alignment horizontal="center" vertical="center" wrapText="1"/>
    </xf>
    <xf numFmtId="9" fontId="7" fillId="0" borderId="1" xfId="0" applyNumberFormat="1" applyFont="1" applyBorder="1" applyAlignment="1">
      <alignment horizontal="center" vertical="center" wrapText="1"/>
    </xf>
    <xf numFmtId="0" fontId="28" fillId="5" borderId="1" xfId="3" applyBorder="1" applyAlignment="1">
      <alignment horizontal="center"/>
    </xf>
    <xf numFmtId="0" fontId="22" fillId="0" borderId="2" xfId="0" applyFont="1" applyBorder="1" applyAlignment="1">
      <alignment horizontal="center"/>
    </xf>
    <xf numFmtId="0" fontId="22" fillId="0" borderId="0" xfId="0" applyFont="1" applyAlignment="1">
      <alignment horizontal="center" vertical="center"/>
    </xf>
    <xf numFmtId="0" fontId="5" fillId="12" borderId="0" xfId="0" applyFont="1" applyFill="1" applyBorder="1" applyAlignment="1">
      <alignment horizontal="center" vertical="center" wrapText="1"/>
    </xf>
    <xf numFmtId="0" fontId="0" fillId="12" borderId="0" xfId="0" applyFill="1" applyBorder="1" applyAlignment="1">
      <alignment horizontal="center"/>
    </xf>
    <xf numFmtId="0" fontId="2" fillId="12" borderId="0" xfId="0" applyFont="1" applyFill="1" applyBorder="1" applyAlignment="1">
      <alignment horizontal="center" vertical="center" wrapText="1"/>
    </xf>
    <xf numFmtId="0" fontId="7" fillId="12" borderId="0" xfId="0" applyFont="1" applyFill="1" applyBorder="1" applyAlignment="1">
      <alignment horizontal="center" vertical="center" wrapText="1"/>
    </xf>
    <xf numFmtId="0" fontId="0" fillId="12" borderId="0" xfId="0" applyFill="1" applyAlignment="1">
      <alignment horizontal="center"/>
    </xf>
    <xf numFmtId="0" fontId="3" fillId="0" borderId="0" xfId="0" applyFont="1" applyBorder="1" applyAlignment="1">
      <alignment horizontal="center" vertical="center" wrapText="1"/>
    </xf>
    <xf numFmtId="0" fontId="2" fillId="0"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3" fillId="10" borderId="0" xfId="0" applyFont="1" applyFill="1" applyBorder="1" applyAlignment="1">
      <alignment horizontal="center"/>
    </xf>
    <xf numFmtId="0" fontId="3" fillId="10" borderId="0" xfId="0" applyFont="1" applyFill="1" applyAlignment="1">
      <alignment horizontal="right"/>
    </xf>
    <xf numFmtId="0" fontId="0" fillId="10" borderId="0" xfId="0" applyFill="1" applyBorder="1" applyAlignment="1">
      <alignment horizontal="center"/>
    </xf>
    <xf numFmtId="0" fontId="0" fillId="7" borderId="27" xfId="0" applyFill="1" applyBorder="1" applyAlignment="1">
      <alignment wrapText="1"/>
    </xf>
    <xf numFmtId="0" fontId="0" fillId="7" borderId="24" xfId="0" applyFill="1" applyBorder="1" applyAlignment="1">
      <alignment horizontal="center" vertical="center"/>
    </xf>
    <xf numFmtId="0" fontId="0" fillId="0" borderId="22" xfId="0" applyBorder="1" applyAlignment="1">
      <alignment horizontal="center"/>
    </xf>
    <xf numFmtId="0" fontId="0" fillId="0" borderId="23" xfId="0" applyBorder="1" applyAlignment="1">
      <alignment horizontal="center"/>
    </xf>
    <xf numFmtId="0" fontId="3" fillId="0" borderId="0" xfId="0" applyFont="1" applyAlignment="1">
      <alignment horizontal="left"/>
    </xf>
    <xf numFmtId="0" fontId="0" fillId="0" borderId="0" xfId="0" applyAlignment="1" applyProtection="1">
      <alignment horizontal="center" vertical="center"/>
      <protection locked="0"/>
    </xf>
    <xf numFmtId="0" fontId="0" fillId="11" borderId="0" xfId="0" applyFill="1" applyAlignment="1">
      <alignment horizontal="center" vertical="center"/>
    </xf>
    <xf numFmtId="0" fontId="0" fillId="0" borderId="0" xfId="0" applyFill="1" applyAlignment="1">
      <alignment horizontal="center" vertical="center"/>
    </xf>
    <xf numFmtId="0" fontId="22" fillId="0" borderId="1" xfId="0" applyFont="1" applyBorder="1" applyAlignment="1">
      <alignment horizontal="center" vertical="center"/>
    </xf>
    <xf numFmtId="0" fontId="0" fillId="0" borderId="0" xfId="0" applyFill="1" applyAlignment="1">
      <alignment horizontal="right" vertical="center"/>
    </xf>
    <xf numFmtId="0" fontId="0" fillId="10" borderId="0" xfId="0" applyFill="1" applyAlignment="1">
      <alignment horizontal="center"/>
    </xf>
    <xf numFmtId="0" fontId="34" fillId="10" borderId="0" xfId="0" applyFont="1" applyFill="1" applyAlignment="1">
      <alignment horizontal="right"/>
    </xf>
    <xf numFmtId="0" fontId="37" fillId="10" borderId="0" xfId="0" applyFont="1" applyFill="1" applyBorder="1" applyAlignment="1">
      <alignment horizontal="right" vertical="center" wrapText="1"/>
    </xf>
    <xf numFmtId="0" fontId="26" fillId="10" borderId="0" xfId="0" applyFont="1" applyFill="1" applyAlignment="1">
      <alignment horizontal="right" vertical="center"/>
    </xf>
    <xf numFmtId="0" fontId="7" fillId="0" borderId="5" xfId="0" applyFont="1" applyBorder="1" applyAlignment="1">
      <alignment horizontal="center" vertical="center" wrapText="1"/>
    </xf>
    <xf numFmtId="0" fontId="2" fillId="11" borderId="0" xfId="0" applyFont="1" applyFill="1" applyBorder="1" applyAlignment="1">
      <alignment horizontal="center" vertical="top" wrapText="1"/>
    </xf>
    <xf numFmtId="0" fontId="2" fillId="0" borderId="34" xfId="0" applyFont="1" applyBorder="1" applyAlignment="1">
      <alignment horizontal="center" vertical="top" wrapText="1"/>
    </xf>
    <xf numFmtId="0" fontId="2" fillId="0" borderId="31" xfId="0" applyFont="1" applyBorder="1" applyAlignment="1">
      <alignment horizontal="center" vertical="top" wrapText="1"/>
    </xf>
    <xf numFmtId="0" fontId="0" fillId="0" borderId="26" xfId="0" applyBorder="1" applyAlignment="1">
      <alignment vertical="top" wrapText="1"/>
    </xf>
    <xf numFmtId="0" fontId="0" fillId="0" borderId="0" xfId="0" applyAlignment="1">
      <alignment vertical="top" wrapText="1"/>
    </xf>
    <xf numFmtId="0" fontId="25" fillId="0" borderId="27" xfId="0" applyFont="1" applyBorder="1" applyAlignment="1">
      <alignment vertical="center"/>
    </xf>
    <xf numFmtId="0" fontId="14" fillId="0" borderId="1" xfId="0" applyFont="1" applyFill="1" applyBorder="1" applyAlignment="1">
      <alignment vertical="center" wrapText="1"/>
    </xf>
    <xf numFmtId="0" fontId="14"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14" fillId="0" borderId="1" xfId="0" applyFont="1" applyBorder="1" applyAlignment="1">
      <alignment horizontal="center"/>
    </xf>
    <xf numFmtId="9" fontId="14" fillId="0" borderId="1" xfId="0" applyNumberFormat="1" applyFont="1" applyBorder="1" applyAlignment="1">
      <alignment horizontal="center"/>
    </xf>
    <xf numFmtId="0" fontId="0" fillId="0" borderId="0" xfId="0" applyFill="1" applyAlignment="1">
      <alignment horizontal="center" wrapText="1"/>
    </xf>
    <xf numFmtId="0" fontId="14" fillId="17" borderId="1" xfId="0" applyFont="1" applyFill="1" applyBorder="1" applyAlignment="1">
      <alignment horizontal="center" vertical="center" wrapText="1"/>
    </xf>
    <xf numFmtId="0" fontId="25" fillId="0" borderId="1" xfId="0" applyFont="1" applyBorder="1" applyAlignment="1">
      <alignment horizontal="center" vertical="center"/>
    </xf>
    <xf numFmtId="0" fontId="25" fillId="0" borderId="3" xfId="0" applyFont="1" applyBorder="1" applyAlignment="1">
      <alignment horizontal="center" vertical="center"/>
    </xf>
    <xf numFmtId="0" fontId="28" fillId="5" borderId="30" xfId="3" applyBorder="1" applyAlignment="1">
      <alignment horizontal="center" vertical="center"/>
    </xf>
    <xf numFmtId="0" fontId="2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xf>
    <xf numFmtId="0" fontId="25" fillId="0" borderId="0" xfId="0" applyFont="1" applyAlignment="1">
      <alignment wrapText="1"/>
    </xf>
    <xf numFmtId="0" fontId="25" fillId="0" borderId="0" xfId="0" applyFont="1" applyAlignment="1">
      <alignment horizontal="center" vertical="center" wrapText="1"/>
    </xf>
    <xf numFmtId="0" fontId="14" fillId="0" borderId="1" xfId="0" applyFont="1" applyBorder="1" applyAlignment="1" applyProtection="1">
      <alignment vertical="center" wrapText="1"/>
      <protection locked="0"/>
    </xf>
    <xf numFmtId="0" fontId="7" fillId="17" borderId="1" xfId="0" applyFont="1" applyFill="1" applyBorder="1" applyAlignment="1">
      <alignment horizontal="center" vertical="center" wrapText="1"/>
    </xf>
    <xf numFmtId="0" fontId="39" fillId="19" borderId="0" xfId="5" applyAlignment="1">
      <alignment horizontal="center" vertical="center"/>
    </xf>
    <xf numFmtId="0" fontId="38" fillId="18" borderId="0" xfId="4" applyAlignment="1">
      <alignment horizontal="center" vertical="center" wrapText="1"/>
    </xf>
    <xf numFmtId="0" fontId="39" fillId="19" borderId="0" xfId="5"/>
    <xf numFmtId="0" fontId="38" fillId="18" borderId="0" xfId="4" applyAlignment="1">
      <alignment wrapText="1"/>
    </xf>
    <xf numFmtId="0" fontId="40" fillId="19" borderId="0" xfId="5" applyFont="1" applyAlignment="1">
      <alignment horizontal="center"/>
    </xf>
    <xf numFmtId="0" fontId="33" fillId="0" borderId="1" xfId="0" applyFont="1" applyBorder="1" applyAlignment="1">
      <alignment horizontal="center" vertical="center"/>
    </xf>
    <xf numFmtId="0" fontId="42" fillId="5" borderId="16" xfId="3" applyFont="1" applyAlignment="1">
      <alignment horizontal="center" vertical="center" wrapText="1"/>
    </xf>
    <xf numFmtId="0" fontId="43" fillId="0" borderId="1" xfId="0" applyFont="1" applyBorder="1" applyAlignment="1">
      <alignment horizontal="center" vertical="center"/>
    </xf>
    <xf numFmtId="0" fontId="44" fillId="5" borderId="16" xfId="3" applyFont="1" applyAlignment="1">
      <alignment horizontal="center" vertical="center" wrapText="1"/>
    </xf>
    <xf numFmtId="0" fontId="41" fillId="5" borderId="16" xfId="3" applyFont="1" applyAlignment="1">
      <alignment horizontal="center" vertical="center" wrapText="1"/>
    </xf>
    <xf numFmtId="0" fontId="43" fillId="0" borderId="0" xfId="0" applyFont="1"/>
    <xf numFmtId="0" fontId="41" fillId="10" borderId="22" xfId="0" applyFont="1" applyFill="1" applyBorder="1" applyAlignment="1">
      <alignment horizontal="center" vertical="center"/>
    </xf>
    <xf numFmtId="0" fontId="33" fillId="10" borderId="24" xfId="0" applyFont="1" applyFill="1" applyBorder="1" applyAlignment="1">
      <alignment horizontal="center" vertical="center"/>
    </xf>
    <xf numFmtId="0" fontId="42" fillId="5" borderId="34" xfId="3" applyFont="1" applyBorder="1" applyAlignment="1">
      <alignment horizontal="center" vertical="center" wrapText="1"/>
    </xf>
    <xf numFmtId="0" fontId="6" fillId="0" borderId="4" xfId="0" applyFont="1" applyBorder="1" applyAlignment="1">
      <alignment horizontal="center" vertical="center" wrapText="1"/>
    </xf>
    <xf numFmtId="0" fontId="14" fillId="15" borderId="1" xfId="0" applyFont="1" applyFill="1" applyBorder="1" applyAlignment="1" applyProtection="1">
      <alignment horizontal="center" vertical="center" wrapText="1"/>
      <protection locked="0"/>
    </xf>
    <xf numFmtId="0" fontId="48" fillId="0" borderId="18" xfId="0" applyFont="1" applyFill="1" applyBorder="1" applyAlignment="1">
      <alignment horizontal="center" vertical="center" wrapText="1"/>
    </xf>
    <xf numFmtId="0" fontId="48" fillId="0" borderId="19" xfId="0" applyFont="1" applyFill="1" applyBorder="1" applyAlignment="1">
      <alignment horizontal="center" vertical="center" wrapText="1"/>
    </xf>
    <xf numFmtId="0" fontId="48" fillId="0" borderId="0" xfId="0" applyFont="1" applyFill="1" applyBorder="1" applyAlignment="1">
      <alignment horizontal="center" vertical="center" wrapText="1"/>
    </xf>
    <xf numFmtId="0" fontId="48" fillId="0" borderId="0" xfId="0" applyFont="1" applyFill="1" applyAlignment="1">
      <alignment wrapText="1"/>
    </xf>
    <xf numFmtId="0" fontId="47" fillId="0" borderId="22" xfId="0" applyFont="1" applyBorder="1" applyAlignment="1">
      <alignment horizontal="center"/>
    </xf>
    <xf numFmtId="0" fontId="0" fillId="17" borderId="22" xfId="0" applyFill="1" applyBorder="1" applyAlignment="1">
      <alignment horizontal="center" vertical="center"/>
    </xf>
    <xf numFmtId="0" fontId="0" fillId="17" borderId="22" xfId="0" applyFill="1" applyBorder="1" applyAlignment="1">
      <alignment horizontal="center"/>
    </xf>
    <xf numFmtId="0" fontId="33" fillId="17" borderId="22" xfId="0" applyFont="1" applyFill="1" applyBorder="1" applyAlignment="1">
      <alignment horizontal="center"/>
    </xf>
    <xf numFmtId="0" fontId="0" fillId="17" borderId="0" xfId="0" applyFill="1" applyBorder="1" applyAlignment="1">
      <alignment horizontal="center"/>
    </xf>
    <xf numFmtId="0" fontId="0" fillId="0" borderId="24" xfId="0" applyFill="1" applyBorder="1" applyAlignment="1">
      <alignment horizontal="center" vertical="top" wrapText="1"/>
    </xf>
    <xf numFmtId="0" fontId="41" fillId="0" borderId="22" xfId="0" applyFont="1" applyFill="1" applyBorder="1" applyAlignment="1">
      <alignment horizontal="center" vertical="top" wrapText="1"/>
    </xf>
    <xf numFmtId="0" fontId="0" fillId="0" borderId="22" xfId="0" applyFill="1" applyBorder="1" applyAlignment="1">
      <alignment vertical="top" wrapText="1"/>
    </xf>
    <xf numFmtId="0" fontId="26" fillId="0" borderId="22" xfId="0" applyFont="1" applyFill="1" applyBorder="1" applyAlignment="1">
      <alignment vertical="top" wrapText="1"/>
    </xf>
    <xf numFmtId="0" fontId="0" fillId="0" borderId="23" xfId="0" applyFill="1" applyBorder="1" applyAlignment="1">
      <alignment vertical="top"/>
    </xf>
    <xf numFmtId="0" fontId="37" fillId="10" borderId="0" xfId="0" applyFont="1" applyFill="1" applyBorder="1" applyAlignment="1">
      <alignment horizontal="right" vertical="center"/>
    </xf>
    <xf numFmtId="0" fontId="0" fillId="10" borderId="1" xfId="0" applyFill="1" applyBorder="1"/>
    <xf numFmtId="0" fontId="22" fillId="10" borderId="1" xfId="0" applyFont="1" applyFill="1" applyBorder="1"/>
    <xf numFmtId="0" fontId="35" fillId="0" borderId="0" xfId="0" applyFont="1"/>
    <xf numFmtId="9" fontId="7" fillId="0" borderId="0" xfId="0" applyNumberFormat="1" applyFont="1" applyBorder="1" applyAlignment="1">
      <alignment horizontal="center" vertical="center" wrapText="1"/>
    </xf>
    <xf numFmtId="9" fontId="0" fillId="0" borderId="0" xfId="0" applyNumberFormat="1" applyAlignment="1">
      <alignment horizontal="center"/>
    </xf>
    <xf numFmtId="9" fontId="14" fillId="0" borderId="0" xfId="0" applyNumberFormat="1" applyFont="1"/>
    <xf numFmtId="4" fontId="5" fillId="0" borderId="1" xfId="0" applyNumberFormat="1" applyFont="1" applyBorder="1" applyAlignment="1">
      <alignment horizontal="center" vertical="center" wrapText="1"/>
    </xf>
    <xf numFmtId="4" fontId="0" fillId="0" borderId="2" xfId="0" applyNumberFormat="1" applyBorder="1" applyAlignment="1">
      <alignment horizontal="center"/>
    </xf>
    <xf numFmtId="4" fontId="3" fillId="0" borderId="1" xfId="0" applyNumberFormat="1" applyFont="1" applyBorder="1" applyAlignment="1">
      <alignment horizontal="center" vertical="center" wrapText="1"/>
    </xf>
    <xf numFmtId="4" fontId="2" fillId="0" borderId="1" xfId="0" applyNumberFormat="1" applyFont="1" applyBorder="1" applyAlignment="1">
      <alignment horizontal="center" vertical="center" wrapText="1"/>
    </xf>
    <xf numFmtId="4" fontId="7" fillId="14" borderId="2" xfId="0" applyNumberFormat="1" applyFont="1" applyFill="1" applyBorder="1" applyAlignment="1">
      <alignment horizontal="center" vertical="center" wrapText="1"/>
    </xf>
    <xf numFmtId="4" fontId="0" fillId="0" borderId="1" xfId="0" applyNumberFormat="1" applyBorder="1" applyAlignment="1">
      <alignment horizontal="center"/>
    </xf>
    <xf numFmtId="4" fontId="0" fillId="0" borderId="0" xfId="0" applyNumberFormat="1" applyAlignment="1">
      <alignment horizontal="center"/>
    </xf>
    <xf numFmtId="4" fontId="7" fillId="0" borderId="2" xfId="0" applyNumberFormat="1" applyFont="1" applyBorder="1" applyAlignment="1">
      <alignment horizontal="center" vertical="center" wrapText="1"/>
    </xf>
    <xf numFmtId="4" fontId="2" fillId="0" borderId="1" xfId="0" applyNumberFormat="1" applyFont="1" applyBorder="1" applyAlignment="1" applyProtection="1">
      <alignment horizontal="center" vertical="center" wrapText="1"/>
      <protection locked="0"/>
    </xf>
    <xf numFmtId="4" fontId="6" fillId="0" borderId="1" xfId="0" applyNumberFormat="1" applyFont="1" applyBorder="1" applyAlignment="1">
      <alignment horizontal="center" vertical="center" wrapText="1"/>
    </xf>
    <xf numFmtId="4" fontId="7" fillId="0" borderId="1" xfId="0" applyNumberFormat="1" applyFont="1" applyBorder="1" applyAlignment="1">
      <alignment horizontal="center" vertical="center" wrapText="1"/>
    </xf>
    <xf numFmtId="4" fontId="2" fillId="0" borderId="2" xfId="0" applyNumberFormat="1" applyFont="1" applyBorder="1" applyAlignment="1">
      <alignment horizontal="center" vertical="center" wrapText="1"/>
    </xf>
    <xf numFmtId="4" fontId="7" fillId="0" borderId="13" xfId="0" applyNumberFormat="1" applyFont="1" applyBorder="1" applyAlignment="1">
      <alignment horizontal="center" vertical="center" wrapText="1"/>
    </xf>
    <xf numFmtId="4" fontId="2" fillId="0" borderId="1" xfId="0" applyNumberFormat="1" applyFont="1" applyBorder="1" applyAlignment="1">
      <alignment vertical="center" wrapText="1"/>
    </xf>
    <xf numFmtId="4" fontId="6" fillId="0" borderId="1" xfId="0" applyNumberFormat="1" applyFont="1" applyBorder="1" applyAlignment="1">
      <alignment vertical="center" wrapText="1"/>
    </xf>
    <xf numFmtId="4" fontId="0" fillId="0" borderId="9" xfId="0" applyNumberFormat="1" applyBorder="1" applyAlignment="1">
      <alignment horizontal="center"/>
    </xf>
    <xf numFmtId="4" fontId="3" fillId="0" borderId="0" xfId="0" applyNumberFormat="1" applyFont="1" applyAlignment="1">
      <alignment horizontal="center" wrapText="1"/>
    </xf>
    <xf numFmtId="4" fontId="0" fillId="0" borderId="0" xfId="0" applyNumberFormat="1" applyAlignment="1">
      <alignment horizontal="center" vertical="center"/>
    </xf>
    <xf numFmtId="4" fontId="0" fillId="0" borderId="7" xfId="0" applyNumberFormat="1" applyBorder="1" applyAlignment="1">
      <alignment horizontal="center"/>
    </xf>
    <xf numFmtId="4" fontId="0" fillId="0" borderId="0" xfId="0" applyNumberFormat="1" applyFont="1" applyAlignment="1">
      <alignment horizontal="center"/>
    </xf>
    <xf numFmtId="4" fontId="14" fillId="0" borderId="3" xfId="0" applyNumberFormat="1" applyFont="1" applyBorder="1" applyAlignment="1">
      <alignment horizontal="center" vertical="center" wrapText="1"/>
    </xf>
    <xf numFmtId="0" fontId="14" fillId="0" borderId="3" xfId="0" applyFont="1" applyFill="1" applyBorder="1" applyAlignment="1">
      <alignment vertical="center" wrapText="1"/>
    </xf>
    <xf numFmtId="0" fontId="31" fillId="0" borderId="18" xfId="0" applyFont="1" applyFill="1" applyBorder="1" applyAlignment="1">
      <alignment horizontal="center" vertical="center" wrapText="1"/>
    </xf>
    <xf numFmtId="0" fontId="50" fillId="20" borderId="0" xfId="0" applyFont="1" applyFill="1" applyAlignment="1">
      <alignment horizontal="right" vertical="center"/>
    </xf>
    <xf numFmtId="0" fontId="25" fillId="0" borderId="0" xfId="0" applyFont="1" applyBorder="1" applyAlignment="1">
      <alignment horizontal="center" vertical="center" wrapText="1"/>
    </xf>
    <xf numFmtId="0" fontId="0" fillId="3" borderId="27" xfId="0" applyFill="1" applyBorder="1" applyAlignment="1">
      <alignment wrapText="1"/>
    </xf>
    <xf numFmtId="0" fontId="51" fillId="4" borderId="24" xfId="2" applyFont="1" applyBorder="1" applyAlignment="1">
      <alignment horizontal="center" vertical="center" wrapText="1"/>
    </xf>
    <xf numFmtId="0" fontId="27" fillId="4" borderId="16" xfId="2" applyAlignment="1">
      <alignment horizontal="center" vertical="center"/>
    </xf>
    <xf numFmtId="0" fontId="27" fillId="4" borderId="16" xfId="2" applyAlignment="1">
      <alignment horizontal="center" vertical="center" wrapText="1"/>
    </xf>
    <xf numFmtId="4" fontId="5" fillId="0" borderId="0" xfId="0" applyNumberFormat="1" applyFont="1" applyBorder="1" applyAlignment="1">
      <alignment horizontal="center" vertical="center" wrapText="1"/>
    </xf>
    <xf numFmtId="4" fontId="0" fillId="0" borderId="0" xfId="0" applyNumberFormat="1" applyBorder="1" applyAlignment="1">
      <alignment horizontal="center"/>
    </xf>
    <xf numFmtId="0" fontId="28" fillId="5" borderId="39" xfId="3" applyBorder="1" applyAlignment="1">
      <alignment horizontal="center" vertical="center" wrapText="1"/>
    </xf>
    <xf numFmtId="0" fontId="42" fillId="5" borderId="1" xfId="3" applyFont="1" applyBorder="1" applyAlignment="1">
      <alignment horizontal="center" vertical="center" wrapText="1"/>
    </xf>
    <xf numFmtId="0" fontId="30" fillId="5" borderId="1" xfId="3" applyFont="1" applyBorder="1" applyAlignment="1">
      <alignment horizontal="center" vertical="center" wrapText="1"/>
    </xf>
    <xf numFmtId="0" fontId="31" fillId="0" borderId="1" xfId="0" applyFont="1" applyFill="1" applyBorder="1" applyAlignment="1">
      <alignment horizontal="center" vertical="center" wrapText="1"/>
    </xf>
    <xf numFmtId="0" fontId="2" fillId="10" borderId="1" xfId="0" applyFont="1" applyFill="1" applyBorder="1" applyAlignment="1">
      <alignment horizontal="center" vertical="center"/>
    </xf>
    <xf numFmtId="4" fontId="6" fillId="0" borderId="0" xfId="0" applyNumberFormat="1" applyFont="1" applyFill="1" applyBorder="1" applyAlignment="1">
      <alignment horizontal="center" vertical="center" wrapText="1"/>
    </xf>
    <xf numFmtId="4" fontId="7" fillId="0" borderId="0" xfId="0" applyNumberFormat="1" applyFont="1" applyFill="1" applyBorder="1" applyAlignment="1">
      <alignment horizontal="center" vertical="center" wrapText="1"/>
    </xf>
    <xf numFmtId="4" fontId="0" fillId="0" borderId="0" xfId="0" applyNumberFormat="1" applyFill="1" applyAlignment="1">
      <alignment horizontal="center"/>
    </xf>
    <xf numFmtId="4" fontId="14" fillId="0" borderId="0" xfId="0" applyNumberFormat="1" applyFont="1" applyFill="1" applyBorder="1" applyAlignment="1">
      <alignment horizontal="center"/>
    </xf>
    <xf numFmtId="0" fontId="25" fillId="0" borderId="0" xfId="0" applyFont="1" applyFill="1" applyBorder="1"/>
    <xf numFmtId="3" fontId="28" fillId="5" borderId="34" xfId="3" applyNumberFormat="1" applyBorder="1" applyAlignment="1">
      <alignment horizontal="center" vertical="center" wrapText="1"/>
    </xf>
    <xf numFmtId="0" fontId="0" fillId="0" borderId="0" xfId="0" applyFont="1" applyFill="1" applyBorder="1" applyAlignment="1">
      <alignment horizontal="center" vertical="center" wrapText="1"/>
    </xf>
    <xf numFmtId="4" fontId="0" fillId="0" borderId="0" xfId="0" applyNumberFormat="1" applyFill="1" applyAlignment="1">
      <alignment horizontal="center" vertical="center"/>
    </xf>
    <xf numFmtId="0" fontId="0" fillId="0" borderId="0" xfId="0" applyAlignment="1">
      <alignment horizontal="center" vertical="center" wrapText="1"/>
    </xf>
    <xf numFmtId="4" fontId="14" fillId="0" borderId="0" xfId="0" applyNumberFormat="1" applyFont="1" applyFill="1" applyBorder="1" applyAlignment="1">
      <alignment horizontal="center" vertical="center"/>
    </xf>
    <xf numFmtId="4" fontId="0" fillId="10" borderId="0" xfId="0" applyNumberFormat="1" applyFill="1" applyAlignment="1">
      <alignment horizontal="center" vertical="center"/>
    </xf>
    <xf numFmtId="4" fontId="7" fillId="10" borderId="0" xfId="0" applyNumberFormat="1" applyFont="1" applyFill="1" applyBorder="1" applyAlignment="1">
      <alignment horizontal="center" vertical="center" wrapText="1"/>
    </xf>
    <xf numFmtId="4" fontId="28" fillId="5" borderId="16" xfId="3" applyNumberFormat="1" applyAlignment="1">
      <alignment horizontal="center" vertical="center"/>
    </xf>
    <xf numFmtId="9" fontId="7" fillId="10" borderId="0" xfId="0" applyNumberFormat="1" applyFont="1" applyFill="1" applyBorder="1" applyAlignment="1">
      <alignment horizontal="center" vertical="center" wrapText="1"/>
    </xf>
    <xf numFmtId="4" fontId="31" fillId="0" borderId="1" xfId="0" applyNumberFormat="1" applyFont="1" applyBorder="1" applyAlignment="1">
      <alignment horizontal="center"/>
    </xf>
    <xf numFmtId="0" fontId="25" fillId="10" borderId="0" xfId="0" applyFont="1" applyFill="1" applyAlignment="1" applyProtection="1">
      <alignment horizontal="center"/>
      <protection locked="0"/>
    </xf>
    <xf numFmtId="0" fontId="37" fillId="10" borderId="1" xfId="0" applyFont="1" applyFill="1" applyBorder="1" applyAlignment="1" applyProtection="1">
      <alignment horizontal="center" vertical="center" wrapText="1"/>
      <protection locked="0"/>
    </xf>
    <xf numFmtId="0" fontId="25" fillId="10" borderId="2" xfId="0" applyFont="1" applyFill="1" applyBorder="1" applyAlignment="1" applyProtection="1">
      <alignment horizontal="center"/>
      <protection locked="0"/>
    </xf>
    <xf numFmtId="0" fontId="26" fillId="10" borderId="1" xfId="0" applyFont="1" applyFill="1" applyBorder="1" applyAlignment="1" applyProtection="1">
      <alignment horizontal="center" vertical="center" wrapText="1"/>
      <protection locked="0"/>
    </xf>
    <xf numFmtId="0" fontId="25" fillId="10" borderId="1" xfId="0" applyFont="1" applyFill="1" applyBorder="1" applyAlignment="1" applyProtection="1">
      <alignment horizontal="center" vertical="center" wrapText="1"/>
      <protection locked="0"/>
    </xf>
    <xf numFmtId="0" fontId="29" fillId="10" borderId="1" xfId="0" applyFont="1" applyFill="1" applyBorder="1" applyAlignment="1" applyProtection="1">
      <alignment horizontal="center" vertical="top" wrapText="1"/>
      <protection locked="0"/>
    </xf>
    <xf numFmtId="0" fontId="26" fillId="10" borderId="5" xfId="0" applyFont="1" applyFill="1" applyBorder="1" applyAlignment="1" applyProtection="1">
      <alignment horizontal="center" vertical="center" wrapText="1"/>
      <protection locked="0"/>
    </xf>
    <xf numFmtId="0" fontId="28" fillId="5" borderId="40" xfId="3" applyBorder="1" applyAlignment="1">
      <alignment horizontal="center" vertical="center" wrapText="1"/>
    </xf>
    <xf numFmtId="0" fontId="0" fillId="10" borderId="1" xfId="0" applyFill="1" applyBorder="1" applyAlignment="1">
      <alignment horizontal="center"/>
    </xf>
    <xf numFmtId="0" fontId="14" fillId="10" borderId="0" xfId="0" applyFont="1" applyFill="1"/>
    <xf numFmtId="0" fontId="28" fillId="5" borderId="40" xfId="3" applyBorder="1"/>
    <xf numFmtId="0" fontId="28" fillId="5" borderId="25" xfId="3" applyBorder="1"/>
    <xf numFmtId="0" fontId="14" fillId="0" borderId="3" xfId="0" applyFont="1" applyBorder="1" applyAlignment="1">
      <alignment vertical="center" wrapText="1"/>
    </xf>
    <xf numFmtId="0" fontId="14" fillId="2" borderId="1" xfId="0" applyFont="1" applyFill="1" applyBorder="1" applyAlignment="1">
      <alignment horizontal="center" vertical="center" wrapText="1"/>
    </xf>
    <xf numFmtId="0" fontId="30" fillId="2" borderId="1" xfId="3" applyFont="1" applyFill="1" applyBorder="1" applyAlignment="1">
      <alignment horizontal="center" vertical="center" wrapText="1"/>
    </xf>
    <xf numFmtId="0" fontId="0" fillId="10" borderId="1" xfId="0" applyFont="1" applyFill="1" applyBorder="1" applyAlignment="1">
      <alignment horizontal="center" vertical="center"/>
    </xf>
    <xf numFmtId="4" fontId="14" fillId="14" borderId="2" xfId="0" applyNumberFormat="1"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52" fillId="5" borderId="34" xfId="3" applyFont="1" applyBorder="1" applyAlignment="1">
      <alignment horizontal="center" vertical="center" wrapText="1"/>
    </xf>
    <xf numFmtId="0" fontId="52" fillId="5" borderId="16" xfId="3" applyNumberFormat="1" applyFont="1" applyAlignment="1">
      <alignment horizontal="center" vertical="center"/>
    </xf>
    <xf numFmtId="0" fontId="14" fillId="6" borderId="1" xfId="0" applyFont="1" applyFill="1" applyBorder="1" applyAlignment="1">
      <alignment horizontal="center"/>
    </xf>
    <xf numFmtId="0" fontId="14" fillId="2" borderId="1" xfId="0" applyFont="1" applyFill="1" applyBorder="1" applyAlignment="1">
      <alignment horizontal="center"/>
    </xf>
    <xf numFmtId="0" fontId="14" fillId="2" borderId="0" xfId="0" applyFont="1" applyFill="1"/>
    <xf numFmtId="166" fontId="14" fillId="0" borderId="1" xfId="0" applyNumberFormat="1" applyFont="1" applyFill="1" applyBorder="1" applyAlignment="1">
      <alignment horizontal="center" vertical="center" wrapText="1"/>
    </xf>
    <xf numFmtId="0" fontId="14" fillId="6" borderId="0" xfId="0" applyFont="1" applyFill="1"/>
    <xf numFmtId="0" fontId="14" fillId="6" borderId="1" xfId="0" applyFont="1" applyFill="1" applyBorder="1"/>
    <xf numFmtId="0" fontId="28" fillId="10" borderId="1" xfId="3" applyFill="1" applyBorder="1" applyAlignment="1">
      <alignment horizontal="center" vertical="center" wrapText="1"/>
    </xf>
    <xf numFmtId="0" fontId="44" fillId="10" borderId="1" xfId="3" applyFont="1" applyFill="1" applyBorder="1" applyAlignment="1">
      <alignment horizontal="center" vertical="center" wrapText="1"/>
    </xf>
    <xf numFmtId="0" fontId="7" fillId="10" borderId="1" xfId="0" applyFont="1" applyFill="1" applyBorder="1" applyAlignment="1">
      <alignment horizontal="center" vertical="center" wrapText="1"/>
    </xf>
    <xf numFmtId="9" fontId="0" fillId="10" borderId="0" xfId="0" applyNumberFormat="1" applyFill="1" applyAlignment="1">
      <alignment horizontal="center"/>
    </xf>
    <xf numFmtId="0" fontId="3" fillId="20" borderId="18" xfId="0" applyFont="1" applyFill="1" applyBorder="1" applyAlignment="1">
      <alignment horizontal="center" vertical="center" wrapText="1"/>
    </xf>
    <xf numFmtId="0" fontId="3" fillId="20" borderId="21" xfId="0" applyFont="1" applyFill="1" applyBorder="1" applyAlignment="1">
      <alignment horizontal="center" vertical="center" wrapText="1"/>
    </xf>
    <xf numFmtId="0" fontId="53" fillId="11" borderId="0" xfId="0" applyFont="1" applyFill="1" applyBorder="1" applyAlignment="1">
      <alignment horizontal="center" vertical="center" wrapText="1"/>
    </xf>
    <xf numFmtId="0" fontId="54" fillId="5" borderId="1" xfId="3" applyFont="1" applyBorder="1" applyAlignment="1">
      <alignment horizontal="center" vertical="center" wrapText="1"/>
    </xf>
    <xf numFmtId="0" fontId="55" fillId="4" borderId="16" xfId="2" applyFont="1" applyAlignment="1">
      <alignment horizontal="center" vertical="center"/>
    </xf>
    <xf numFmtId="0" fontId="55" fillId="4" borderId="16" xfId="2" applyFont="1" applyAlignment="1">
      <alignment horizontal="center" vertical="center" wrapText="1"/>
    </xf>
    <xf numFmtId="0" fontId="53" fillId="0" borderId="24" xfId="0" applyFont="1" applyBorder="1"/>
    <xf numFmtId="0" fontId="53" fillId="0" borderId="22" xfId="0" applyFont="1" applyBorder="1"/>
    <xf numFmtId="0" fontId="53" fillId="0" borderId="0" xfId="0" applyFont="1"/>
    <xf numFmtId="0" fontId="53" fillId="0" borderId="27" xfId="0" applyFont="1" applyBorder="1" applyAlignment="1">
      <alignment horizontal="center" vertical="center"/>
    </xf>
    <xf numFmtId="0" fontId="53" fillId="0" borderId="27" xfId="0" applyFont="1" applyBorder="1"/>
    <xf numFmtId="0" fontId="54" fillId="5" borderId="16" xfId="3" applyFont="1"/>
    <xf numFmtId="0" fontId="50" fillId="11" borderId="0" xfId="0" applyFont="1" applyFill="1" applyBorder="1" applyAlignment="1">
      <alignment horizontal="center" vertical="center" wrapText="1"/>
    </xf>
    <xf numFmtId="0" fontId="50" fillId="0" borderId="34" xfId="0" applyFont="1" applyFill="1" applyBorder="1" applyAlignment="1">
      <alignment horizontal="center" vertical="center" wrapText="1"/>
    </xf>
    <xf numFmtId="0" fontId="50" fillId="0" borderId="0" xfId="0" applyFont="1" applyFill="1" applyBorder="1" applyAlignment="1">
      <alignment horizontal="center" vertical="center" wrapText="1"/>
    </xf>
    <xf numFmtId="0" fontId="50" fillId="0" borderId="0" xfId="0" applyFont="1"/>
    <xf numFmtId="0" fontId="56" fillId="5" borderId="16" xfId="3" applyNumberFormat="1" applyFont="1" applyAlignment="1">
      <alignment horizontal="center" vertical="center"/>
    </xf>
    <xf numFmtId="0" fontId="14" fillId="0" borderId="0" xfId="0" applyFont="1" applyAlignment="1">
      <alignment wrapText="1"/>
    </xf>
    <xf numFmtId="0" fontId="50" fillId="21" borderId="41" xfId="6" applyFont="1" applyAlignment="1">
      <alignment horizontal="center" vertical="center" wrapText="1"/>
    </xf>
    <xf numFmtId="0" fontId="52" fillId="5" borderId="1" xfId="3" applyFont="1" applyBorder="1" applyAlignment="1">
      <alignment horizontal="center" vertical="center" wrapText="1"/>
    </xf>
    <xf numFmtId="0" fontId="14" fillId="0" borderId="24" xfId="0" applyFont="1" applyBorder="1"/>
    <xf numFmtId="0" fontId="52" fillId="5" borderId="16" xfId="3" applyFont="1"/>
    <xf numFmtId="0" fontId="15" fillId="10" borderId="1" xfId="0" applyFont="1" applyFill="1" applyBorder="1" applyAlignment="1" applyProtection="1">
      <alignment horizontal="center" vertical="center" wrapText="1"/>
      <protection locked="0"/>
    </xf>
    <xf numFmtId="4" fontId="15" fillId="14" borderId="2" xfId="0" applyNumberFormat="1" applyFont="1" applyFill="1" applyBorder="1" applyAlignment="1">
      <alignment horizontal="center" vertical="center" wrapText="1"/>
    </xf>
    <xf numFmtId="0" fontId="15" fillId="0" borderId="0" xfId="0" applyFont="1" applyBorder="1" applyAlignment="1">
      <alignment horizontal="center" vertical="center" wrapText="1"/>
    </xf>
    <xf numFmtId="4" fontId="15" fillId="0" borderId="0" xfId="0" applyNumberFormat="1" applyFont="1" applyFill="1" applyBorder="1" applyAlignment="1">
      <alignment horizontal="center" vertical="center" wrapText="1"/>
    </xf>
    <xf numFmtId="0" fontId="59" fillId="5" borderId="34" xfId="3" applyFont="1" applyBorder="1" applyAlignment="1">
      <alignment horizontal="center" vertical="center" wrapText="1"/>
    </xf>
    <xf numFmtId="0" fontId="15" fillId="0" borderId="0" xfId="0" applyFont="1" applyAlignment="1">
      <alignment horizontal="center" vertical="center"/>
    </xf>
    <xf numFmtId="0" fontId="59" fillId="5" borderId="1" xfId="3" applyFont="1" applyBorder="1" applyAlignment="1">
      <alignment horizontal="center" vertical="center" wrapText="1"/>
    </xf>
    <xf numFmtId="0" fontId="60" fillId="0" borderId="1" xfId="0" applyFont="1" applyBorder="1" applyAlignment="1">
      <alignment horizontal="center" vertical="top" wrapText="1"/>
    </xf>
    <xf numFmtId="4" fontId="14" fillId="0" borderId="0" xfId="0" applyNumberFormat="1" applyFont="1" applyFill="1" applyBorder="1" applyAlignment="1">
      <alignment horizontal="center" vertical="center" wrapText="1"/>
    </xf>
    <xf numFmtId="0" fontId="14" fillId="0" borderId="0" xfId="0" applyFont="1" applyAlignment="1">
      <alignment horizontal="center" vertical="center"/>
    </xf>
    <xf numFmtId="0" fontId="3" fillId="2" borderId="18" xfId="0" applyFont="1" applyFill="1" applyBorder="1" applyAlignment="1">
      <alignment horizontal="center" vertical="center" wrapText="1"/>
    </xf>
    <xf numFmtId="0" fontId="26" fillId="2" borderId="18"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0" fillId="2" borderId="21" xfId="0" applyFont="1" applyFill="1" applyBorder="1" applyAlignment="1">
      <alignment horizontal="center" vertical="center" wrapText="1"/>
    </xf>
    <xf numFmtId="0" fontId="33"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0" fillId="2" borderId="22" xfId="0" applyFont="1" applyFill="1" applyBorder="1" applyAlignment="1">
      <alignment horizontal="center" vertical="center" wrapText="1"/>
    </xf>
    <xf numFmtId="0" fontId="33" fillId="2" borderId="22" xfId="0" applyFont="1" applyFill="1" applyBorder="1" applyAlignment="1">
      <alignment horizontal="center" vertical="center" wrapText="1"/>
    </xf>
    <xf numFmtId="0" fontId="25" fillId="2" borderId="22"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4" fontId="3" fillId="0" borderId="1" xfId="0" applyNumberFormat="1" applyFont="1" applyBorder="1" applyAlignment="1">
      <alignment vertical="center" wrapText="1"/>
    </xf>
    <xf numFmtId="0" fontId="11" fillId="0" borderId="6" xfId="0" applyFont="1" applyBorder="1" applyAlignment="1">
      <alignment horizontal="left"/>
    </xf>
    <xf numFmtId="0" fontId="3" fillId="0" borderId="1" xfId="0" applyFont="1" applyBorder="1" applyAlignment="1">
      <alignment horizontal="center"/>
    </xf>
    <xf numFmtId="0" fontId="6" fillId="0" borderId="1" xfId="0" applyFont="1" applyBorder="1" applyAlignment="1">
      <alignment vertical="center"/>
    </xf>
    <xf numFmtId="0" fontId="13" fillId="0" borderId="1" xfId="0" applyFont="1" applyBorder="1" applyAlignment="1">
      <alignment vertical="center" wrapText="1"/>
    </xf>
    <xf numFmtId="0" fontId="13" fillId="0" borderId="3" xfId="0" applyFont="1" applyBorder="1" applyAlignment="1">
      <alignment vertical="center" wrapText="1"/>
    </xf>
    <xf numFmtId="0" fontId="62" fillId="0" borderId="15" xfId="8" applyFont="1" applyBorder="1" applyAlignment="1">
      <alignment horizontal="center" vertical="center" wrapText="1"/>
    </xf>
    <xf numFmtId="0" fontId="62" fillId="0" borderId="15" xfId="8" applyFont="1" applyBorder="1" applyAlignment="1">
      <alignment horizontal="center" vertical="center"/>
    </xf>
    <xf numFmtId="0" fontId="62" fillId="0" borderId="43" xfId="8" applyFont="1" applyBorder="1" applyAlignment="1">
      <alignment horizontal="center" vertical="center"/>
    </xf>
    <xf numFmtId="17" fontId="62" fillId="0" borderId="15" xfId="8" applyNumberFormat="1" applyFont="1" applyBorder="1" applyAlignment="1">
      <alignment horizontal="center" vertical="center"/>
    </xf>
    <xf numFmtId="0" fontId="62" fillId="0" borderId="44" xfId="8" applyFont="1" applyBorder="1" applyAlignment="1">
      <alignment horizontal="center" vertical="center"/>
    </xf>
    <xf numFmtId="0" fontId="62" fillId="0" borderId="45" xfId="8" applyFont="1" applyBorder="1" applyAlignment="1">
      <alignment horizontal="center" vertical="center"/>
    </xf>
    <xf numFmtId="0" fontId="62" fillId="0" borderId="46" xfId="8" applyFont="1" applyBorder="1" applyAlignment="1">
      <alignment horizontal="center" vertical="center" wrapText="1"/>
    </xf>
    <xf numFmtId="0" fontId="62" fillId="0" borderId="47" xfId="8" applyFont="1" applyBorder="1" applyAlignment="1">
      <alignment horizontal="center" vertical="center"/>
    </xf>
    <xf numFmtId="0" fontId="62" fillId="0" borderId="10" xfId="8" applyFont="1" applyBorder="1" applyAlignment="1">
      <alignment horizontal="center" vertical="center" wrapText="1"/>
    </xf>
    <xf numFmtId="0" fontId="62" fillId="0" borderId="43" xfId="8" applyFont="1" applyBorder="1" applyAlignment="1">
      <alignment horizontal="center" vertical="center" wrapText="1"/>
    </xf>
    <xf numFmtId="0" fontId="62" fillId="0" borderId="48" xfId="8" applyFont="1" applyBorder="1" applyAlignment="1">
      <alignment horizontal="center" vertical="center" wrapText="1"/>
    </xf>
    <xf numFmtId="0" fontId="62" fillId="0" borderId="49" xfId="8" applyFont="1" applyBorder="1" applyAlignment="1">
      <alignment horizontal="center" vertical="center" wrapText="1"/>
    </xf>
    <xf numFmtId="0" fontId="1" fillId="0" borderId="0" xfId="8"/>
    <xf numFmtId="0" fontId="62" fillId="0" borderId="50" xfId="8" applyFont="1" applyBorder="1" applyAlignment="1">
      <alignment horizontal="center" vertical="center"/>
    </xf>
    <xf numFmtId="0" fontId="14" fillId="0" borderId="51" xfId="9" applyBorder="1"/>
    <xf numFmtId="0" fontId="14" fillId="0" borderId="52" xfId="9" applyBorder="1"/>
    <xf numFmtId="0" fontId="1" fillId="0" borderId="9" xfId="8" applyBorder="1" applyAlignment="1">
      <alignment horizontal="center" vertical="center"/>
    </xf>
    <xf numFmtId="0" fontId="62" fillId="0" borderId="5" xfId="8" applyFont="1" applyBorder="1" applyAlignment="1">
      <alignment horizontal="center" vertical="center"/>
    </xf>
    <xf numFmtId="0" fontId="14" fillId="0" borderId="1" xfId="9" applyBorder="1"/>
    <xf numFmtId="0" fontId="1" fillId="0" borderId="1" xfId="8" applyBorder="1" applyAlignment="1">
      <alignment horizontal="center" vertical="center"/>
    </xf>
    <xf numFmtId="0" fontId="51" fillId="0" borderId="0" xfId="8" applyFont="1"/>
    <xf numFmtId="0" fontId="14" fillId="0" borderId="9" xfId="9" applyBorder="1"/>
    <xf numFmtId="0" fontId="14" fillId="0" borderId="14" xfId="9" applyBorder="1"/>
    <xf numFmtId="0" fontId="14" fillId="0" borderId="5" xfId="9" applyBorder="1"/>
    <xf numFmtId="0" fontId="14" fillId="0" borderId="8" xfId="9" applyBorder="1"/>
    <xf numFmtId="0" fontId="1" fillId="0" borderId="0" xfId="8" applyBorder="1"/>
    <xf numFmtId="0" fontId="1" fillId="15" borderId="1" xfId="8" applyFill="1" applyBorder="1" applyAlignment="1">
      <alignment horizontal="center" vertical="center"/>
    </xf>
    <xf numFmtId="0" fontId="62" fillId="0" borderId="1" xfId="8" applyFont="1" applyBorder="1" applyAlignment="1">
      <alignment horizontal="center" vertical="center"/>
    </xf>
    <xf numFmtId="0" fontId="62" fillId="0" borderId="9" xfId="8" applyFont="1" applyBorder="1" applyAlignment="1">
      <alignment horizontal="center" vertical="center"/>
    </xf>
    <xf numFmtId="0" fontId="62" fillId="0" borderId="3" xfId="8" applyFont="1" applyBorder="1" applyAlignment="1">
      <alignment horizontal="center" vertical="center"/>
    </xf>
    <xf numFmtId="0" fontId="62" fillId="0" borderId="53" xfId="8" applyFont="1" applyBorder="1" applyAlignment="1">
      <alignment horizontal="center" vertical="center"/>
    </xf>
    <xf numFmtId="0" fontId="1" fillId="0" borderId="0" xfId="8" applyAlignment="1">
      <alignment horizontal="center" vertical="center"/>
    </xf>
    <xf numFmtId="0" fontId="1" fillId="0" borderId="0" xfId="8" applyBorder="1" applyAlignment="1">
      <alignment horizontal="center" vertical="center"/>
    </xf>
    <xf numFmtId="0" fontId="62" fillId="0" borderId="1" xfId="8" applyFont="1" applyBorder="1" applyAlignment="1">
      <alignment horizontal="center" vertical="center" wrapText="1"/>
    </xf>
    <xf numFmtId="0" fontId="62" fillId="0" borderId="10" xfId="8" applyFont="1" applyBorder="1" applyAlignment="1">
      <alignment horizontal="center" vertical="center" wrapText="1"/>
    </xf>
    <xf numFmtId="0" fontId="27" fillId="4" borderId="38" xfId="2" applyBorder="1" applyAlignment="1">
      <alignment horizontal="center" vertical="center"/>
    </xf>
    <xf numFmtId="0" fontId="27" fillId="4" borderId="39" xfId="2" applyBorder="1" applyAlignment="1">
      <alignment horizontal="center" vertical="center"/>
    </xf>
    <xf numFmtId="0" fontId="1" fillId="0" borderId="2" xfId="8" applyBorder="1" applyAlignment="1">
      <alignment horizontal="center" vertical="center"/>
    </xf>
    <xf numFmtId="0" fontId="62" fillId="0" borderId="0" xfId="8" applyFont="1" applyAlignment="1">
      <alignment horizontal="center" vertical="center"/>
    </xf>
    <xf numFmtId="0" fontId="64" fillId="2" borderId="0" xfId="8" applyFont="1" applyFill="1" applyAlignment="1">
      <alignment horizontal="left" vertical="center"/>
    </xf>
    <xf numFmtId="0" fontId="1" fillId="2" borderId="0" xfId="8" applyFill="1" applyAlignment="1">
      <alignment horizontal="center" vertical="center"/>
    </xf>
    <xf numFmtId="0" fontId="1" fillId="0" borderId="0" xfId="8" applyAlignment="1">
      <alignment horizontal="left" vertical="center"/>
    </xf>
    <xf numFmtId="0" fontId="28" fillId="5" borderId="16" xfId="3" quotePrefix="1" applyAlignment="1">
      <alignment horizontal="center" vertical="center"/>
    </xf>
    <xf numFmtId="0" fontId="65" fillId="5" borderId="42" xfId="7" applyFont="1" applyFill="1" applyAlignment="1" applyProtection="1">
      <alignment horizontal="center" vertical="center"/>
    </xf>
    <xf numFmtId="0" fontId="65" fillId="5" borderId="42" xfId="7" applyFont="1" applyFill="1" applyAlignment="1">
      <alignment horizontal="center" vertical="center"/>
    </xf>
    <xf numFmtId="0" fontId="52" fillId="5" borderId="16" xfId="3" applyFont="1" applyAlignment="1">
      <alignment horizontal="center" vertical="center"/>
    </xf>
    <xf numFmtId="0" fontId="31" fillId="0" borderId="1" xfId="0" applyFont="1" applyBorder="1" applyAlignment="1">
      <alignment vertical="center" wrapText="1"/>
    </xf>
    <xf numFmtId="0" fontId="60" fillId="0" borderId="2" xfId="0" applyFont="1" applyBorder="1" applyAlignment="1">
      <alignment horizontal="center" vertical="top" wrapText="1"/>
    </xf>
    <xf numFmtId="0" fontId="60" fillId="0" borderId="2" xfId="0" applyFont="1" applyBorder="1" applyAlignment="1" applyProtection="1">
      <alignment horizontal="center" vertical="top" wrapText="1"/>
      <protection locked="0"/>
    </xf>
    <xf numFmtId="4" fontId="14" fillId="0" borderId="2" xfId="0" applyNumberFormat="1" applyFont="1" applyBorder="1" applyAlignment="1">
      <alignment horizontal="center" vertical="center" wrapText="1"/>
    </xf>
    <xf numFmtId="10" fontId="14" fillId="0" borderId="1" xfId="0" applyNumberFormat="1" applyFont="1" applyBorder="1" applyAlignment="1">
      <alignment horizontal="center" vertical="center" wrapText="1"/>
    </xf>
    <xf numFmtId="0" fontId="14" fillId="13" borderId="0" xfId="0" applyFont="1" applyFill="1"/>
    <xf numFmtId="0" fontId="14" fillId="0" borderId="1" xfId="0" applyFont="1" applyBorder="1"/>
    <xf numFmtId="0" fontId="14" fillId="0" borderId="1" xfId="0" applyFont="1" applyBorder="1" applyAlignment="1">
      <alignment wrapText="1"/>
    </xf>
    <xf numFmtId="0" fontId="14" fillId="15" borderId="1" xfId="0" applyFont="1" applyFill="1" applyBorder="1" applyAlignment="1">
      <alignment horizontal="center" vertical="center" wrapText="1"/>
    </xf>
    <xf numFmtId="0" fontId="52" fillId="5" borderId="16" xfId="3" applyFont="1" applyAlignment="1">
      <alignment horizontal="center"/>
    </xf>
    <xf numFmtId="0" fontId="52" fillId="5" borderId="1" xfId="3" applyFont="1" applyBorder="1" applyAlignment="1">
      <alignment horizontal="center"/>
    </xf>
    <xf numFmtId="0" fontId="14" fillId="8" borderId="0" xfId="0" applyFont="1" applyFill="1"/>
    <xf numFmtId="0" fontId="14" fillId="0" borderId="1" xfId="0" applyFont="1" applyBorder="1" applyAlignment="1">
      <alignment horizontal="center" wrapText="1"/>
    </xf>
    <xf numFmtId="0" fontId="31" fillId="0" borderId="1" xfId="0" applyFont="1" applyBorder="1" applyAlignment="1">
      <alignment horizontal="center" wrapText="1"/>
    </xf>
    <xf numFmtId="0" fontId="31" fillId="0" borderId="1" xfId="0" applyFont="1" applyBorder="1"/>
    <xf numFmtId="0" fontId="31" fillId="0" borderId="1" xfId="0" applyFont="1" applyBorder="1" applyAlignment="1">
      <alignment horizontal="center" vertical="center"/>
    </xf>
    <xf numFmtId="0" fontId="31" fillId="16" borderId="1" xfId="0" applyFont="1" applyFill="1" applyBorder="1" applyAlignment="1">
      <alignment horizontal="center"/>
    </xf>
    <xf numFmtId="0" fontId="14" fillId="0" borderId="9" xfId="0" applyFont="1" applyBorder="1" applyAlignment="1">
      <alignment horizontal="center" vertical="center" wrapText="1"/>
    </xf>
    <xf numFmtId="0" fontId="31" fillId="0" borderId="1" xfId="0" applyFont="1" applyBorder="1" applyAlignment="1">
      <alignment vertical="top" wrapText="1"/>
    </xf>
    <xf numFmtId="0" fontId="31" fillId="0" borderId="1" xfId="0" applyFont="1" applyBorder="1" applyAlignment="1">
      <alignment horizontal="center" vertical="top" wrapText="1"/>
    </xf>
    <xf numFmtId="0" fontId="14" fillId="0" borderId="1" xfId="0" applyFont="1" applyBorder="1" applyAlignment="1">
      <alignment horizontal="center" vertical="top" wrapText="1"/>
    </xf>
    <xf numFmtId="4" fontId="14" fillId="0" borderId="3" xfId="0" applyNumberFormat="1" applyFont="1" applyBorder="1" applyAlignment="1">
      <alignment horizontal="center" vertical="top" wrapText="1"/>
    </xf>
    <xf numFmtId="0" fontId="31" fillId="0" borderId="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5" xfId="0" applyFont="1" applyBorder="1" applyAlignment="1">
      <alignment horizontal="center" vertical="center" wrapText="1"/>
    </xf>
    <xf numFmtId="4" fontId="14" fillId="0" borderId="1" xfId="0" applyNumberFormat="1" applyFont="1" applyBorder="1" applyAlignment="1">
      <alignment horizontal="center"/>
    </xf>
    <xf numFmtId="4" fontId="14" fillId="0" borderId="3" xfId="0" applyNumberFormat="1" applyFont="1" applyBorder="1" applyAlignment="1">
      <alignment vertical="center" wrapText="1"/>
    </xf>
    <xf numFmtId="0" fontId="14" fillId="0" borderId="1" xfId="0" applyFont="1" applyBorder="1" applyAlignment="1">
      <alignment vertical="center"/>
    </xf>
    <xf numFmtId="0" fontId="14" fillId="0" borderId="2" xfId="0" applyFont="1" applyBorder="1" applyAlignment="1">
      <alignment vertical="center" wrapText="1"/>
    </xf>
    <xf numFmtId="0" fontId="60" fillId="0" borderId="2" xfId="0" applyFont="1" applyBorder="1" applyAlignment="1">
      <alignment vertical="top" wrapText="1"/>
    </xf>
    <xf numFmtId="4" fontId="14" fillId="0" borderId="7" xfId="0" applyNumberFormat="1" applyFont="1" applyBorder="1" applyAlignment="1">
      <alignment vertical="center" wrapText="1"/>
    </xf>
    <xf numFmtId="0" fontId="31" fillId="0" borderId="10" xfId="0" applyFont="1" applyBorder="1" applyAlignment="1">
      <alignment horizontal="right"/>
    </xf>
    <xf numFmtId="0" fontId="31" fillId="0" borderId="11" xfId="0" applyFont="1" applyBorder="1" applyAlignment="1">
      <alignment horizontal="right"/>
    </xf>
    <xf numFmtId="0" fontId="31" fillId="0" borderId="12" xfId="0" applyFont="1" applyBorder="1" applyAlignment="1">
      <alignment horizontal="right"/>
    </xf>
    <xf numFmtId="4" fontId="14" fillId="0" borderId="13" xfId="0" applyNumberFormat="1" applyFont="1" applyBorder="1" applyAlignment="1">
      <alignment horizontal="center"/>
    </xf>
    <xf numFmtId="0" fontId="66" fillId="0" borderId="1" xfId="0" applyFont="1" applyBorder="1" applyAlignment="1">
      <alignment vertical="center" wrapText="1"/>
    </xf>
    <xf numFmtId="0" fontId="31" fillId="0" borderId="1" xfId="0" applyFont="1" applyBorder="1" applyAlignment="1">
      <alignment horizontal="center" vertical="center" wrapText="1"/>
    </xf>
    <xf numFmtId="4" fontId="14" fillId="0" borderId="1" xfId="0" applyNumberFormat="1" applyFont="1" applyBorder="1" applyAlignment="1">
      <alignment horizontal="center" vertical="center" wrapText="1"/>
    </xf>
    <xf numFmtId="0" fontId="32" fillId="0" borderId="2" xfId="0" applyFont="1" applyBorder="1" applyAlignment="1">
      <alignment vertical="center" wrapText="1"/>
    </xf>
    <xf numFmtId="0" fontId="14" fillId="0" borderId="2" xfId="0" applyFont="1" applyBorder="1" applyAlignment="1">
      <alignment horizontal="center" vertical="center" wrapText="1"/>
    </xf>
    <xf numFmtId="0" fontId="14" fillId="0" borderId="2" xfId="0" applyFont="1" applyBorder="1" applyAlignment="1" applyProtection="1">
      <alignment horizontal="center" vertical="center" wrapText="1"/>
      <protection locked="0"/>
    </xf>
    <xf numFmtId="4" fontId="14" fillId="0" borderId="1" xfId="0" applyNumberFormat="1" applyFont="1" applyBorder="1" applyAlignment="1" applyProtection="1">
      <alignment horizontal="center" vertical="center" wrapText="1"/>
      <protection locked="0"/>
    </xf>
    <xf numFmtId="0" fontId="31" fillId="0" borderId="8" xfId="0" applyFont="1" applyBorder="1" applyAlignment="1">
      <alignment horizontal="center" vertical="center" wrapText="1"/>
    </xf>
    <xf numFmtId="0" fontId="31" fillId="0" borderId="6" xfId="0" applyFont="1" applyBorder="1" applyAlignment="1">
      <alignment horizontal="center" vertical="center" wrapText="1"/>
    </xf>
    <xf numFmtId="0" fontId="31" fillId="0" borderId="14" xfId="0" applyFont="1" applyBorder="1" applyAlignment="1" applyProtection="1">
      <alignment horizontal="center" vertical="center" wrapText="1"/>
      <protection locked="0"/>
    </xf>
    <xf numFmtId="4" fontId="14" fillId="0" borderId="9" xfId="0" applyNumberFormat="1" applyFont="1" applyBorder="1" applyAlignment="1">
      <alignment horizontal="center"/>
    </xf>
    <xf numFmtId="0" fontId="24" fillId="0" borderId="1" xfId="0" applyFont="1" applyFill="1" applyBorder="1" applyAlignment="1">
      <alignment vertical="center" wrapText="1"/>
    </xf>
    <xf numFmtId="0" fontId="14" fillId="0" borderId="1" xfId="0" applyFont="1" applyFill="1" applyBorder="1" applyAlignment="1" applyProtection="1">
      <alignment horizontal="center" vertical="center" wrapText="1"/>
      <protection locked="0"/>
    </xf>
  </cellXfs>
  <cellStyles count="10">
    <cellStyle name="Bad" xfId="5" builtinId="27"/>
    <cellStyle name="Calculation" xfId="3" builtinId="22"/>
    <cellStyle name="Currency" xfId="1" builtinId="4"/>
    <cellStyle name="Good" xfId="4" builtinId="26"/>
    <cellStyle name="Input" xfId="2" builtinId="20"/>
    <cellStyle name="Linked Cell" xfId="7" builtinId="24"/>
    <cellStyle name="Normal" xfId="0" builtinId="0"/>
    <cellStyle name="Normal 2" xfId="8" xr:uid="{E611B91B-732D-4EB9-B700-D545411057F6}"/>
    <cellStyle name="Normal 2 2" xfId="9" xr:uid="{EF3857D5-D812-4C97-91C9-CBA9D17B903A}"/>
    <cellStyle name="Note" xfId="6" builtinId="10"/>
  </cellStyles>
  <dxfs count="43">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00B0F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color theme="2" tint="-0.24994659260841701"/>
      </font>
    </dxf>
    <dxf>
      <font>
        <b val="0"/>
        <i val="0"/>
        <strike val="0"/>
        <color theme="2" tint="-0.24994659260841701"/>
      </font>
    </dxf>
    <dxf>
      <font>
        <b val="0"/>
        <i val="0"/>
        <color theme="2" tint="-0.24994659260841701"/>
      </font>
    </dxf>
    <dxf>
      <font>
        <b val="0"/>
        <i val="0"/>
        <strike val="0"/>
        <color theme="2" tint="-0.24994659260841701"/>
      </font>
    </dxf>
  </dxfs>
  <tableStyles count="0" defaultTableStyle="TableStyleMedium2" defaultPivotStyle="PivotStyleLight16"/>
  <colors>
    <mruColors>
      <color rgb="FFFFFFCC"/>
      <color rgb="FFFFCCFF"/>
      <color rgb="FF85DF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ster%20(Draft)%20Log%20%20lab%20Organiser%20Rev%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ator"/>
      <sheetName val="Lab Schedules"/>
      <sheetName val="Log Tracker"/>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externalLinkPath" Target="file:///\\sieckafs01\datastore\5157279%20DUNKETTLE%20N40%20ITS\7%20Calcs\71%20Spreadsheets\Geotech%20Working%20Folder\Log%20Tracker.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7:S72"/>
  <sheetViews>
    <sheetView view="pageBreakPreview" zoomScaleNormal="100" zoomScaleSheetLayoutView="100" zoomScalePageLayoutView="60" workbookViewId="0">
      <selection activeCell="G61" sqref="G61"/>
    </sheetView>
  </sheetViews>
  <sheetFormatPr defaultRowHeight="12.75" x14ac:dyDescent="0.2"/>
  <cols>
    <col min="2" max="2" width="35.7109375" customWidth="1"/>
    <col min="3" max="3" width="10.140625" style="1" customWidth="1"/>
    <col min="4" max="4" width="11.42578125" style="1" customWidth="1"/>
    <col min="5" max="5" width="11.42578125" style="58" customWidth="1"/>
    <col min="6" max="6" width="11.42578125" style="295" customWidth="1"/>
    <col min="7" max="7" width="9.140625" style="77"/>
  </cols>
  <sheetData>
    <row r="7" spans="1:6" x14ac:dyDescent="0.2">
      <c r="A7" s="5" t="s">
        <v>0</v>
      </c>
      <c r="B7" s="5" t="s">
        <v>1</v>
      </c>
      <c r="C7" s="5" t="s">
        <v>2</v>
      </c>
      <c r="D7" s="5" t="s">
        <v>3</v>
      </c>
      <c r="E7" s="53" t="s">
        <v>4</v>
      </c>
      <c r="F7" s="289" t="s">
        <v>5</v>
      </c>
    </row>
    <row r="8" spans="1:6" x14ac:dyDescent="0.2">
      <c r="A8" s="3"/>
      <c r="B8" s="3"/>
      <c r="C8" s="4"/>
      <c r="D8" s="4"/>
      <c r="E8" s="70" t="s">
        <v>6</v>
      </c>
      <c r="F8" s="294" t="s">
        <v>6</v>
      </c>
    </row>
    <row r="9" spans="1:6" s="76" customFormat="1" ht="25.5" x14ac:dyDescent="0.2">
      <c r="A9" s="467" t="s">
        <v>7</v>
      </c>
      <c r="B9" s="467" t="s">
        <v>8</v>
      </c>
      <c r="C9" s="468"/>
      <c r="D9" s="468"/>
      <c r="E9" s="469"/>
      <c r="F9" s="470"/>
    </row>
    <row r="10" spans="1:6" s="76" customFormat="1" x14ac:dyDescent="0.2">
      <c r="A10" s="45" t="s">
        <v>9</v>
      </c>
      <c r="B10" s="352" t="s">
        <v>10</v>
      </c>
      <c r="C10" s="45" t="s">
        <v>11</v>
      </c>
      <c r="D10" s="46" t="s">
        <v>1167</v>
      </c>
      <c r="E10" s="46" t="s">
        <v>1167</v>
      </c>
      <c r="F10" s="356" t="str">
        <f>IF(ISNUMBER(SEARCH("incl",$D10)),"-",IF(ISNUMBER(SEARCH("not r",$D10)),"-",IF(C10="sum","",$D10*$E10)))</f>
        <v/>
      </c>
    </row>
    <row r="11" spans="1:6" s="76" customFormat="1" ht="25.5" x14ac:dyDescent="0.2">
      <c r="A11" s="45" t="s">
        <v>12</v>
      </c>
      <c r="B11" s="352" t="s">
        <v>13</v>
      </c>
      <c r="C11" s="45" t="s">
        <v>11</v>
      </c>
      <c r="D11" s="46" t="s">
        <v>1167</v>
      </c>
      <c r="E11" s="46" t="s">
        <v>1167</v>
      </c>
      <c r="F11" s="356" t="str">
        <f t="shared" ref="F11:F26" si="0">IF(ISNUMBER(SEARCH("incl",$D11)),"-",IF(ISNUMBER(SEARCH("not r",$D11)),"-",IF(C11="sum","",$D11*$E11)))</f>
        <v/>
      </c>
    </row>
    <row r="12" spans="1:6" s="76" customFormat="1" ht="38.25" x14ac:dyDescent="0.2">
      <c r="A12" s="45" t="s">
        <v>14</v>
      </c>
      <c r="B12" s="352" t="s">
        <v>15</v>
      </c>
      <c r="C12" s="45" t="s">
        <v>11</v>
      </c>
      <c r="D12" s="46" t="s">
        <v>1167</v>
      </c>
      <c r="E12" s="46" t="s">
        <v>1167</v>
      </c>
      <c r="F12" s="356" t="str">
        <f t="shared" si="0"/>
        <v/>
      </c>
    </row>
    <row r="13" spans="1:6" s="76" customFormat="1" ht="25.5" x14ac:dyDescent="0.2">
      <c r="A13" s="45" t="s">
        <v>16</v>
      </c>
      <c r="B13" s="352" t="s">
        <v>17</v>
      </c>
      <c r="C13" s="45" t="s">
        <v>11</v>
      </c>
      <c r="D13" s="46" t="s">
        <v>1167</v>
      </c>
      <c r="E13" s="46" t="s">
        <v>1167</v>
      </c>
      <c r="F13" s="356" t="str">
        <f t="shared" si="0"/>
        <v/>
      </c>
    </row>
    <row r="14" spans="1:6" s="76" customFormat="1" ht="38.25" x14ac:dyDescent="0.2">
      <c r="A14" s="45" t="s">
        <v>18</v>
      </c>
      <c r="B14" s="352" t="s">
        <v>19</v>
      </c>
      <c r="C14" s="45" t="s">
        <v>11</v>
      </c>
      <c r="D14" s="46" t="s">
        <v>724</v>
      </c>
      <c r="E14" s="46" t="s">
        <v>1167</v>
      </c>
      <c r="F14" s="356" t="str">
        <f t="shared" si="0"/>
        <v>-</v>
      </c>
    </row>
    <row r="15" spans="1:6" s="76" customFormat="1" ht="38.25" x14ac:dyDescent="0.2">
      <c r="A15" s="45" t="s">
        <v>20</v>
      </c>
      <c r="B15" s="352" t="s">
        <v>21</v>
      </c>
      <c r="C15" s="45" t="s">
        <v>11</v>
      </c>
      <c r="D15" s="353" t="s">
        <v>1167</v>
      </c>
      <c r="E15" s="46" t="s">
        <v>1167</v>
      </c>
      <c r="F15" s="356" t="str">
        <f t="shared" si="0"/>
        <v/>
      </c>
    </row>
    <row r="16" spans="1:6" s="76" customFormat="1" ht="38.25" x14ac:dyDescent="0.2">
      <c r="A16" s="45" t="s">
        <v>22</v>
      </c>
      <c r="B16" s="352" t="s">
        <v>23</v>
      </c>
      <c r="C16" s="45" t="s">
        <v>11</v>
      </c>
      <c r="D16" s="46" t="s">
        <v>1167</v>
      </c>
      <c r="E16" s="46" t="s">
        <v>1167</v>
      </c>
      <c r="F16" s="356" t="str">
        <f>IF(ISNUMBER(SEARCH("incl",$D16)),"-",IF(ISNUMBER(SEARCH("not r",$D16)),"-",IF(C16="sum","",$D16*$E16)))</f>
        <v/>
      </c>
    </row>
    <row r="17" spans="1:13" s="76" customFormat="1" ht="38.25" x14ac:dyDescent="0.2">
      <c r="A17" s="45" t="s">
        <v>24</v>
      </c>
      <c r="B17" s="352" t="s">
        <v>25</v>
      </c>
      <c r="C17" s="45" t="s">
        <v>11</v>
      </c>
      <c r="D17" s="46" t="s">
        <v>724</v>
      </c>
      <c r="E17" s="46" t="s">
        <v>1167</v>
      </c>
      <c r="F17" s="356" t="str">
        <f t="shared" si="0"/>
        <v>-</v>
      </c>
    </row>
    <row r="18" spans="1:13" s="76" customFormat="1" ht="38.25" x14ac:dyDescent="0.2">
      <c r="A18" s="45" t="s">
        <v>26</v>
      </c>
      <c r="B18" s="352" t="s">
        <v>27</v>
      </c>
      <c r="C18" s="45" t="s">
        <v>11</v>
      </c>
      <c r="D18" s="46" t="s">
        <v>1167</v>
      </c>
      <c r="E18" s="46" t="s">
        <v>1167</v>
      </c>
      <c r="F18" s="356" t="str">
        <f t="shared" si="0"/>
        <v/>
      </c>
    </row>
    <row r="19" spans="1:13" s="76" customFormat="1" ht="25.5" x14ac:dyDescent="0.2">
      <c r="A19" s="45" t="s">
        <v>28</v>
      </c>
      <c r="B19" s="352" t="s">
        <v>29</v>
      </c>
      <c r="C19" s="45" t="s">
        <v>11</v>
      </c>
      <c r="D19" s="46" t="s">
        <v>724</v>
      </c>
      <c r="E19" s="46" t="s">
        <v>1167</v>
      </c>
      <c r="F19" s="356" t="str">
        <f t="shared" si="0"/>
        <v>-</v>
      </c>
    </row>
    <row r="20" spans="1:13" s="76" customFormat="1" ht="38.25" x14ac:dyDescent="0.2">
      <c r="A20" s="45" t="s">
        <v>30</v>
      </c>
      <c r="B20" s="352" t="s">
        <v>31</v>
      </c>
      <c r="C20" s="45" t="s">
        <v>11</v>
      </c>
      <c r="D20" s="46" t="s">
        <v>1167</v>
      </c>
      <c r="E20" s="46" t="s">
        <v>1167</v>
      </c>
      <c r="F20" s="356" t="str">
        <f t="shared" si="0"/>
        <v/>
      </c>
    </row>
    <row r="21" spans="1:13" s="76" customFormat="1" ht="25.5" x14ac:dyDescent="0.2">
      <c r="A21" s="45" t="s">
        <v>32</v>
      </c>
      <c r="B21" s="352" t="s">
        <v>1119</v>
      </c>
      <c r="C21" s="45" t="s">
        <v>11</v>
      </c>
      <c r="D21" s="46" t="s">
        <v>724</v>
      </c>
      <c r="E21" s="46" t="s">
        <v>1167</v>
      </c>
      <c r="F21" s="356" t="str">
        <f t="shared" si="0"/>
        <v>-</v>
      </c>
    </row>
    <row r="22" spans="1:13" s="76" customFormat="1" ht="29.1" customHeight="1" x14ac:dyDescent="0.2">
      <c r="A22" s="45" t="s">
        <v>33</v>
      </c>
      <c r="B22" s="352" t="s">
        <v>34</v>
      </c>
      <c r="C22" s="45" t="s">
        <v>11</v>
      </c>
      <c r="D22" s="46" t="s">
        <v>724</v>
      </c>
      <c r="E22" s="46" t="s">
        <v>1167</v>
      </c>
      <c r="F22" s="356" t="str">
        <f>IF(ISNUMBER(SEARCH("incl",$D22)),"-",IF(ISNUMBER(SEARCH("not r",$D22)),"-",IF(C22="sum","",$D22*$E22)))</f>
        <v>-</v>
      </c>
    </row>
    <row r="23" spans="1:13" s="76" customFormat="1" ht="38.25" x14ac:dyDescent="0.2">
      <c r="A23" s="45" t="s">
        <v>35</v>
      </c>
      <c r="B23" s="352" t="s">
        <v>36</v>
      </c>
      <c r="C23" s="45" t="s">
        <v>11</v>
      </c>
      <c r="D23" s="46" t="s">
        <v>724</v>
      </c>
      <c r="E23" s="46" t="s">
        <v>1167</v>
      </c>
      <c r="F23" s="356" t="str">
        <f t="shared" si="0"/>
        <v>-</v>
      </c>
    </row>
    <row r="24" spans="1:13" s="76" customFormat="1" ht="25.5" x14ac:dyDescent="0.2">
      <c r="A24" s="45" t="s">
        <v>38</v>
      </c>
      <c r="B24" s="352" t="s">
        <v>39</v>
      </c>
      <c r="C24" s="45" t="s">
        <v>37</v>
      </c>
      <c r="D24" s="46" t="s">
        <v>724</v>
      </c>
      <c r="E24" s="46" t="s">
        <v>1167</v>
      </c>
      <c r="F24" s="356" t="str">
        <f>IF(ISNUMBER(SEARCH("incl",$D24)),"-",IF(ISNUMBER(SEARCH("not r",$D24)),"-",IF(C24="sum","",$D24*$E24)))</f>
        <v>-</v>
      </c>
    </row>
    <row r="25" spans="1:13" s="76" customFormat="1" ht="38.25" x14ac:dyDescent="0.2">
      <c r="A25" s="45" t="s">
        <v>40</v>
      </c>
      <c r="B25" s="352" t="s">
        <v>41</v>
      </c>
      <c r="C25" s="45" t="s">
        <v>11</v>
      </c>
      <c r="D25" s="46" t="s">
        <v>724</v>
      </c>
      <c r="E25" s="46" t="s">
        <v>1167</v>
      </c>
      <c r="F25" s="356" t="str">
        <f t="shared" si="0"/>
        <v>-</v>
      </c>
    </row>
    <row r="26" spans="1:13" s="76" customFormat="1" ht="38.25" x14ac:dyDescent="0.2">
      <c r="A26" s="45" t="s">
        <v>42</v>
      </c>
      <c r="B26" s="352" t="s">
        <v>43</v>
      </c>
      <c r="C26" s="45" t="s">
        <v>11</v>
      </c>
      <c r="D26" s="46" t="s">
        <v>724</v>
      </c>
      <c r="E26" s="46" t="s">
        <v>1167</v>
      </c>
      <c r="F26" s="356" t="str">
        <f t="shared" si="0"/>
        <v>-</v>
      </c>
    </row>
    <row r="27" spans="1:13" s="76" customFormat="1" ht="150" customHeight="1" x14ac:dyDescent="0.2">
      <c r="A27" s="45" t="s">
        <v>44</v>
      </c>
      <c r="B27" s="352" t="s">
        <v>1142</v>
      </c>
      <c r="C27" s="45" t="s">
        <v>1347</v>
      </c>
      <c r="D27" s="75" t="s">
        <v>1167</v>
      </c>
      <c r="E27" s="75" t="s">
        <v>1167</v>
      </c>
      <c r="F27" s="356">
        <v>1500</v>
      </c>
    </row>
    <row r="28" spans="1:13" s="76" customFormat="1" x14ac:dyDescent="0.2">
      <c r="A28" s="45" t="s">
        <v>46</v>
      </c>
      <c r="B28" s="352" t="s">
        <v>47</v>
      </c>
      <c r="C28" s="45" t="s">
        <v>48</v>
      </c>
      <c r="D28" s="471"/>
      <c r="E28" s="75" t="s">
        <v>1167</v>
      </c>
      <c r="F28" s="356">
        <f>F27*D28</f>
        <v>0</v>
      </c>
      <c r="G28" s="76" t="s">
        <v>1268</v>
      </c>
      <c r="L28" s="472" t="str">
        <f>IF(OR(D28="not*",D28="*Incl*"),"-","")</f>
        <v/>
      </c>
      <c r="M28" s="402" t="e">
        <f>IF(ISNUMBER(SEARCH("incl",$D28)),"-",IF(ISNUMBER(SEARCH("not r",$D28)),"-",$D28*$E28))</f>
        <v>#VALUE!</v>
      </c>
    </row>
    <row r="29" spans="1:13" s="76" customFormat="1" ht="25.5" x14ac:dyDescent="0.2">
      <c r="A29" s="45" t="s">
        <v>49</v>
      </c>
      <c r="B29" s="352" t="s">
        <v>50</v>
      </c>
      <c r="C29" s="45" t="s">
        <v>11</v>
      </c>
      <c r="D29" s="75" t="s">
        <v>1167</v>
      </c>
      <c r="E29" s="75" t="s">
        <v>1167</v>
      </c>
      <c r="F29" s="356" t="str">
        <f t="shared" ref="F29:F71" si="1">IF(ISNUMBER(SEARCH("incl",$D29)),"-",IF(ISNUMBER(SEARCH("not r",$D29)),"-",IF(C29="sum","",$D29*$E29)))</f>
        <v/>
      </c>
    </row>
    <row r="30" spans="1:13" s="76" customFormat="1" ht="25.5" x14ac:dyDescent="0.2">
      <c r="A30" s="45" t="s">
        <v>51</v>
      </c>
      <c r="B30" s="352" t="s">
        <v>52</v>
      </c>
      <c r="C30" s="45" t="s">
        <v>53</v>
      </c>
      <c r="D30" s="46" t="s">
        <v>54</v>
      </c>
      <c r="E30" s="75" t="s">
        <v>1167</v>
      </c>
      <c r="F30" s="356" t="str">
        <f t="shared" si="1"/>
        <v>-</v>
      </c>
    </row>
    <row r="31" spans="1:13" s="76" customFormat="1" ht="25.5" x14ac:dyDescent="0.2">
      <c r="A31" s="45" t="s">
        <v>55</v>
      </c>
      <c r="B31" s="352" t="s">
        <v>56</v>
      </c>
      <c r="C31" s="45" t="s">
        <v>53</v>
      </c>
      <c r="D31" s="46" t="s">
        <v>54</v>
      </c>
      <c r="E31" s="75" t="s">
        <v>1167</v>
      </c>
      <c r="F31" s="356" t="str">
        <f t="shared" si="1"/>
        <v>-</v>
      </c>
    </row>
    <row r="32" spans="1:13" s="76" customFormat="1" ht="38.25" x14ac:dyDescent="0.2">
      <c r="A32" s="45" t="s">
        <v>57</v>
      </c>
      <c r="B32" s="352" t="s">
        <v>58</v>
      </c>
      <c r="C32" s="45" t="s">
        <v>53</v>
      </c>
      <c r="D32" s="46" t="s">
        <v>54</v>
      </c>
      <c r="E32" s="75" t="s">
        <v>1167</v>
      </c>
      <c r="F32" s="356" t="str">
        <f t="shared" si="1"/>
        <v>-</v>
      </c>
    </row>
    <row r="33" spans="1:12" s="76" customFormat="1" ht="38.25" x14ac:dyDescent="0.2">
      <c r="A33" s="45" t="s">
        <v>59</v>
      </c>
      <c r="B33" s="352" t="s">
        <v>60</v>
      </c>
      <c r="C33" s="45" t="s">
        <v>53</v>
      </c>
      <c r="D33" s="46" t="s">
        <v>54</v>
      </c>
      <c r="E33" s="75" t="s">
        <v>1167</v>
      </c>
      <c r="F33" s="356" t="str">
        <f t="shared" si="1"/>
        <v>-</v>
      </c>
    </row>
    <row r="34" spans="1:12" s="76" customFormat="1" ht="38.25" x14ac:dyDescent="0.2">
      <c r="A34" s="45" t="s">
        <v>61</v>
      </c>
      <c r="B34" s="352" t="s">
        <v>62</v>
      </c>
      <c r="C34" s="45" t="s">
        <v>53</v>
      </c>
      <c r="D34" s="46" t="s">
        <v>54</v>
      </c>
      <c r="E34" s="75" t="s">
        <v>1167</v>
      </c>
      <c r="F34" s="356" t="str">
        <f t="shared" si="1"/>
        <v>-</v>
      </c>
      <c r="J34" s="473" t="s">
        <v>1276</v>
      </c>
      <c r="K34" s="474" t="s">
        <v>1277</v>
      </c>
      <c r="L34" s="473" t="s">
        <v>1154</v>
      </c>
    </row>
    <row r="35" spans="1:12" s="76" customFormat="1" ht="25.5" x14ac:dyDescent="0.25">
      <c r="A35" s="45" t="s">
        <v>63</v>
      </c>
      <c r="B35" s="352" t="s">
        <v>64</v>
      </c>
      <c r="C35" s="45" t="s">
        <v>65</v>
      </c>
      <c r="D35" s="475">
        <f>G35</f>
        <v>0</v>
      </c>
      <c r="E35" s="267"/>
      <c r="F35" s="356">
        <f t="shared" si="1"/>
        <v>0</v>
      </c>
      <c r="G35" s="476">
        <f>SUM(J35:L35)</f>
        <v>0</v>
      </c>
      <c r="J35" s="477">
        <f>'Section B'!H11+'Section B'!H12</f>
        <v>0</v>
      </c>
      <c r="K35" s="477">
        <f>'Section C'!H29+'Section C'!H31</f>
        <v>1</v>
      </c>
      <c r="L35" s="477">
        <f>'Section D'!H15</f>
        <v>-1</v>
      </c>
    </row>
    <row r="36" spans="1:12" s="76" customFormat="1" ht="38.25" x14ac:dyDescent="0.25">
      <c r="A36" s="45" t="s">
        <v>66</v>
      </c>
      <c r="B36" s="352" t="s">
        <v>67</v>
      </c>
      <c r="C36" s="45" t="s">
        <v>68</v>
      </c>
      <c r="D36" s="475">
        <f>D35</f>
        <v>0</v>
      </c>
      <c r="E36" s="267"/>
      <c r="F36" s="356">
        <f t="shared" si="1"/>
        <v>0</v>
      </c>
      <c r="G36" s="476">
        <f>G35</f>
        <v>0</v>
      </c>
    </row>
    <row r="37" spans="1:12" s="76" customFormat="1" ht="38.25" x14ac:dyDescent="0.2">
      <c r="A37" s="45" t="s">
        <v>69</v>
      </c>
      <c r="B37" s="352" t="s">
        <v>70</v>
      </c>
      <c r="C37" s="45" t="s">
        <v>11</v>
      </c>
      <c r="D37" s="75" t="s">
        <v>1167</v>
      </c>
      <c r="E37" s="75" t="s">
        <v>1167</v>
      </c>
      <c r="F37" s="356" t="str">
        <f t="shared" si="1"/>
        <v/>
      </c>
    </row>
    <row r="38" spans="1:12" s="76" customFormat="1" ht="25.5" x14ac:dyDescent="0.2">
      <c r="A38" s="45" t="s">
        <v>71</v>
      </c>
      <c r="B38" s="352" t="s">
        <v>72</v>
      </c>
      <c r="C38" s="45" t="s">
        <v>37</v>
      </c>
      <c r="D38" s="46" t="s">
        <v>724</v>
      </c>
      <c r="E38" s="46" t="s">
        <v>1167</v>
      </c>
      <c r="F38" s="356" t="str">
        <f t="shared" si="1"/>
        <v>-</v>
      </c>
      <c r="G38" s="478" t="s">
        <v>1348</v>
      </c>
    </row>
    <row r="39" spans="1:12" s="76" customFormat="1" ht="25.5" x14ac:dyDescent="0.2">
      <c r="A39" s="45" t="s">
        <v>73</v>
      </c>
      <c r="B39" s="352" t="s">
        <v>74</v>
      </c>
      <c r="C39" s="45" t="s">
        <v>75</v>
      </c>
      <c r="D39" s="46" t="s">
        <v>724</v>
      </c>
      <c r="E39" s="46" t="s">
        <v>1167</v>
      </c>
      <c r="F39" s="356" t="str">
        <f t="shared" si="1"/>
        <v>-</v>
      </c>
      <c r="G39" s="478"/>
    </row>
    <row r="40" spans="1:12" s="76" customFormat="1" ht="25.5" x14ac:dyDescent="0.2">
      <c r="A40" s="45" t="s">
        <v>76</v>
      </c>
      <c r="B40" s="352" t="s">
        <v>77</v>
      </c>
      <c r="C40" s="45" t="s">
        <v>45</v>
      </c>
      <c r="D40" s="46" t="s">
        <v>724</v>
      </c>
      <c r="E40" s="46" t="s">
        <v>1167</v>
      </c>
      <c r="F40" s="356" t="str">
        <f t="shared" si="1"/>
        <v>-</v>
      </c>
    </row>
    <row r="41" spans="1:12" s="76" customFormat="1" ht="25.5" x14ac:dyDescent="0.2">
      <c r="A41" s="45" t="s">
        <v>78</v>
      </c>
      <c r="B41" s="352" t="s">
        <v>79</v>
      </c>
      <c r="C41" s="45" t="s">
        <v>80</v>
      </c>
      <c r="D41" s="46" t="s">
        <v>724</v>
      </c>
      <c r="E41" s="46" t="s">
        <v>1167</v>
      </c>
      <c r="F41" s="356" t="str">
        <f t="shared" si="1"/>
        <v>-</v>
      </c>
    </row>
    <row r="42" spans="1:12" s="76" customFormat="1" ht="38.25" x14ac:dyDescent="0.2">
      <c r="A42" s="45" t="s">
        <v>81</v>
      </c>
      <c r="B42" s="352" t="s">
        <v>82</v>
      </c>
      <c r="C42" s="45" t="s">
        <v>45</v>
      </c>
      <c r="D42" s="46" t="s">
        <v>724</v>
      </c>
      <c r="E42" s="46" t="s">
        <v>1167</v>
      </c>
      <c r="F42" s="356" t="str">
        <f t="shared" si="1"/>
        <v>-</v>
      </c>
    </row>
    <row r="43" spans="1:12" s="76" customFormat="1" ht="25.5" x14ac:dyDescent="0.2">
      <c r="A43" s="45" t="s">
        <v>83</v>
      </c>
      <c r="B43" s="352" t="s">
        <v>84</v>
      </c>
      <c r="C43" s="45" t="s">
        <v>80</v>
      </c>
      <c r="D43" s="46" t="s">
        <v>724</v>
      </c>
      <c r="E43" s="46" t="s">
        <v>1167</v>
      </c>
      <c r="F43" s="356" t="str">
        <f t="shared" si="1"/>
        <v>-</v>
      </c>
    </row>
    <row r="44" spans="1:12" s="76" customFormat="1" ht="38.25" x14ac:dyDescent="0.2">
      <c r="A44" s="45" t="s">
        <v>85</v>
      </c>
      <c r="B44" s="352" t="s">
        <v>86</v>
      </c>
      <c r="C44" s="45" t="s">
        <v>45</v>
      </c>
      <c r="D44" s="46" t="s">
        <v>1105</v>
      </c>
      <c r="E44" s="46" t="s">
        <v>1167</v>
      </c>
      <c r="F44" s="356" t="str">
        <f t="shared" si="1"/>
        <v>-</v>
      </c>
    </row>
    <row r="45" spans="1:12" s="76" customFormat="1" ht="25.5" x14ac:dyDescent="0.2">
      <c r="A45" s="45" t="s">
        <v>87</v>
      </c>
      <c r="B45" s="352" t="s">
        <v>88</v>
      </c>
      <c r="C45" s="45" t="s">
        <v>45</v>
      </c>
      <c r="D45" s="46" t="s">
        <v>96</v>
      </c>
      <c r="E45" s="46" t="s">
        <v>1167</v>
      </c>
      <c r="F45" s="356" t="str">
        <f t="shared" si="1"/>
        <v>-</v>
      </c>
    </row>
    <row r="46" spans="1:12" s="76" customFormat="1" ht="51" x14ac:dyDescent="0.2">
      <c r="A46" s="235" t="s">
        <v>89</v>
      </c>
      <c r="B46" s="310" t="s">
        <v>90</v>
      </c>
      <c r="C46" s="235" t="s">
        <v>11</v>
      </c>
      <c r="D46" s="46" t="s">
        <v>1167</v>
      </c>
      <c r="E46" s="46" t="s">
        <v>1167</v>
      </c>
      <c r="F46" s="356" t="str">
        <f t="shared" si="1"/>
        <v/>
      </c>
    </row>
    <row r="47" spans="1:12" s="76" customFormat="1" ht="32.450000000000003" customHeight="1" x14ac:dyDescent="0.2">
      <c r="A47" s="235" t="s">
        <v>91</v>
      </c>
      <c r="B47" s="310" t="s">
        <v>1349</v>
      </c>
      <c r="C47" s="235" t="s">
        <v>11</v>
      </c>
      <c r="D47" s="46" t="s">
        <v>96</v>
      </c>
      <c r="E47" s="46" t="s">
        <v>1167</v>
      </c>
      <c r="F47" s="356" t="str">
        <f t="shared" si="1"/>
        <v>-</v>
      </c>
      <c r="I47" s="478"/>
      <c r="J47" s="478"/>
    </row>
    <row r="48" spans="1:12" s="76" customFormat="1" ht="25.5" x14ac:dyDescent="0.2">
      <c r="A48" s="45" t="s">
        <v>92</v>
      </c>
      <c r="B48" s="352" t="s">
        <v>93</v>
      </c>
      <c r="C48" s="45" t="s">
        <v>80</v>
      </c>
      <c r="D48" s="46" t="s">
        <v>96</v>
      </c>
      <c r="E48" s="46" t="s">
        <v>1167</v>
      </c>
      <c r="F48" s="356" t="str">
        <f t="shared" si="1"/>
        <v>-</v>
      </c>
    </row>
    <row r="49" spans="1:19" s="76" customFormat="1" ht="29.45" customHeight="1" x14ac:dyDescent="0.2">
      <c r="A49" s="45" t="s">
        <v>94</v>
      </c>
      <c r="B49" s="352" t="s">
        <v>95</v>
      </c>
      <c r="C49" s="45" t="s">
        <v>11</v>
      </c>
      <c r="D49" s="46" t="s">
        <v>724</v>
      </c>
      <c r="E49" s="46" t="s">
        <v>1167</v>
      </c>
      <c r="F49" s="356" t="str">
        <f t="shared" si="1"/>
        <v>-</v>
      </c>
    </row>
    <row r="50" spans="1:19" s="76" customFormat="1" ht="25.5" x14ac:dyDescent="0.2">
      <c r="A50" s="45" t="s">
        <v>97</v>
      </c>
      <c r="B50" s="352" t="s">
        <v>98</v>
      </c>
      <c r="C50" s="45" t="s">
        <v>68</v>
      </c>
      <c r="D50" s="46" t="s">
        <v>724</v>
      </c>
      <c r="E50" s="46" t="s">
        <v>1167</v>
      </c>
      <c r="F50" s="356" t="str">
        <f t="shared" si="1"/>
        <v>-</v>
      </c>
    </row>
    <row r="51" spans="1:19" s="76" customFormat="1" ht="25.5" x14ac:dyDescent="0.2">
      <c r="A51" s="45" t="s">
        <v>99</v>
      </c>
      <c r="B51" s="352" t="s">
        <v>100</v>
      </c>
      <c r="C51" s="45" t="s">
        <v>11</v>
      </c>
      <c r="D51" s="46" t="s">
        <v>724</v>
      </c>
      <c r="E51" s="46" t="s">
        <v>1167</v>
      </c>
      <c r="F51" s="356" t="str">
        <f t="shared" si="1"/>
        <v>-</v>
      </c>
    </row>
    <row r="52" spans="1:19" s="76" customFormat="1" ht="25.5" x14ac:dyDescent="0.2">
      <c r="A52" s="45" t="s">
        <v>101</v>
      </c>
      <c r="B52" s="352" t="s">
        <v>102</v>
      </c>
      <c r="C52" s="45" t="s">
        <v>11</v>
      </c>
      <c r="D52" s="75" t="s">
        <v>1167</v>
      </c>
      <c r="E52" s="75" t="s">
        <v>1167</v>
      </c>
      <c r="F52" s="356" t="str">
        <f t="shared" si="1"/>
        <v/>
      </c>
    </row>
    <row r="53" spans="1:19" s="76" customFormat="1" ht="25.5" x14ac:dyDescent="0.2">
      <c r="A53" s="235" t="s">
        <v>103</v>
      </c>
      <c r="B53" s="310" t="s">
        <v>104</v>
      </c>
      <c r="C53" s="235" t="s">
        <v>68</v>
      </c>
      <c r="D53" s="236">
        <f>G53</f>
        <v>2</v>
      </c>
      <c r="E53" s="46"/>
      <c r="F53" s="356">
        <f t="shared" si="1"/>
        <v>0</v>
      </c>
      <c r="G53" s="76">
        <v>2</v>
      </c>
      <c r="H53" s="76" t="s">
        <v>1292</v>
      </c>
      <c r="L53" s="478" t="s">
        <v>1168</v>
      </c>
    </row>
    <row r="54" spans="1:19" s="76" customFormat="1" ht="25.5" x14ac:dyDescent="0.2">
      <c r="A54" s="45" t="s">
        <v>105</v>
      </c>
      <c r="B54" s="352" t="s">
        <v>106</v>
      </c>
      <c r="C54" s="45" t="s">
        <v>11</v>
      </c>
      <c r="D54" s="75" t="s">
        <v>1167</v>
      </c>
      <c r="E54" s="75" t="s">
        <v>1167</v>
      </c>
      <c r="F54" s="356" t="str">
        <f t="shared" si="1"/>
        <v/>
      </c>
    </row>
    <row r="55" spans="1:19" s="76" customFormat="1" ht="27.95" customHeight="1" x14ac:dyDescent="0.2">
      <c r="A55" s="45" t="s">
        <v>107</v>
      </c>
      <c r="B55" s="352" t="s">
        <v>108</v>
      </c>
      <c r="C55" s="45" t="s">
        <v>11</v>
      </c>
      <c r="D55" s="46" t="s">
        <v>724</v>
      </c>
      <c r="E55" s="46" t="s">
        <v>1167</v>
      </c>
      <c r="F55" s="356" t="str">
        <f t="shared" si="1"/>
        <v>-</v>
      </c>
    </row>
    <row r="56" spans="1:19" s="76" customFormat="1" ht="25.5" x14ac:dyDescent="0.2">
      <c r="A56" s="45" t="s">
        <v>109</v>
      </c>
      <c r="B56" s="352" t="s">
        <v>110</v>
      </c>
      <c r="C56" s="45" t="s">
        <v>68</v>
      </c>
      <c r="D56" s="46" t="s">
        <v>724</v>
      </c>
      <c r="E56" s="46" t="s">
        <v>1167</v>
      </c>
      <c r="F56" s="356" t="str">
        <f t="shared" si="1"/>
        <v>-</v>
      </c>
    </row>
    <row r="57" spans="1:19" s="76" customFormat="1" ht="25.5" x14ac:dyDescent="0.2">
      <c r="A57" s="45" t="s">
        <v>111</v>
      </c>
      <c r="B57" s="352" t="s">
        <v>112</v>
      </c>
      <c r="C57" s="45" t="s">
        <v>11</v>
      </c>
      <c r="D57" s="46" t="s">
        <v>724</v>
      </c>
      <c r="E57" s="46" t="s">
        <v>1167</v>
      </c>
      <c r="F57" s="356" t="str">
        <f t="shared" si="1"/>
        <v>-</v>
      </c>
    </row>
    <row r="58" spans="1:19" s="76" customFormat="1" ht="25.5" x14ac:dyDescent="0.2">
      <c r="A58" s="45" t="s">
        <v>113</v>
      </c>
      <c r="B58" s="352" t="s">
        <v>114</v>
      </c>
      <c r="C58" s="45" t="s">
        <v>11</v>
      </c>
      <c r="D58" s="46" t="s">
        <v>1167</v>
      </c>
      <c r="E58" s="46" t="s">
        <v>1167</v>
      </c>
      <c r="F58" s="356" t="str">
        <f t="shared" si="1"/>
        <v/>
      </c>
      <c r="I58" s="478" t="s">
        <v>1169</v>
      </c>
    </row>
    <row r="59" spans="1:19" s="76" customFormat="1" ht="25.5" x14ac:dyDescent="0.2">
      <c r="A59" s="45" t="s">
        <v>115</v>
      </c>
      <c r="B59" s="352" t="s">
        <v>116</v>
      </c>
      <c r="C59" s="45" t="s">
        <v>68</v>
      </c>
      <c r="D59" s="46">
        <v>2</v>
      </c>
      <c r="E59" s="46"/>
      <c r="F59" s="356">
        <f t="shared" si="1"/>
        <v>0</v>
      </c>
    </row>
    <row r="60" spans="1:19" s="76" customFormat="1" ht="25.5" x14ac:dyDescent="0.2">
      <c r="A60" s="45" t="s">
        <v>117</v>
      </c>
      <c r="B60" s="352" t="s">
        <v>118</v>
      </c>
      <c r="C60" s="45" t="s">
        <v>11</v>
      </c>
      <c r="D60" s="46" t="s">
        <v>1167</v>
      </c>
      <c r="E60" s="46" t="s">
        <v>1167</v>
      </c>
      <c r="F60" s="356" t="str">
        <f t="shared" si="1"/>
        <v/>
      </c>
    </row>
    <row r="61" spans="1:19" s="76" customFormat="1" ht="25.5" x14ac:dyDescent="0.2">
      <c r="A61" s="45" t="s">
        <v>119</v>
      </c>
      <c r="B61" s="352" t="s">
        <v>1113</v>
      </c>
      <c r="C61" s="45" t="s">
        <v>11</v>
      </c>
      <c r="D61" s="75" t="s">
        <v>1167</v>
      </c>
      <c r="E61" s="75" t="s">
        <v>1167</v>
      </c>
      <c r="F61" s="356" t="str">
        <f t="shared" si="1"/>
        <v/>
      </c>
    </row>
    <row r="62" spans="1:19" s="76" customFormat="1" ht="38.25" x14ac:dyDescent="0.2">
      <c r="A62" s="45" t="s">
        <v>120</v>
      </c>
      <c r="B62" s="352" t="s">
        <v>1114</v>
      </c>
      <c r="C62" s="45" t="s">
        <v>11</v>
      </c>
      <c r="D62" s="75" t="s">
        <v>1167</v>
      </c>
      <c r="E62" s="75" t="s">
        <v>1167</v>
      </c>
      <c r="F62" s="356" t="str">
        <f t="shared" si="1"/>
        <v/>
      </c>
      <c r="J62" s="238" t="s">
        <v>1280</v>
      </c>
      <c r="K62" s="479" t="s">
        <v>1171</v>
      </c>
      <c r="L62" s="480" t="s">
        <v>1282</v>
      </c>
      <c r="M62" s="238" t="s">
        <v>1154</v>
      </c>
      <c r="N62" s="238" t="s">
        <v>1170</v>
      </c>
      <c r="O62" s="480" t="s">
        <v>1281</v>
      </c>
      <c r="P62" s="238" t="s">
        <v>1164</v>
      </c>
      <c r="Q62" s="479" t="s">
        <v>1163</v>
      </c>
      <c r="R62" s="481" t="s">
        <v>1283</v>
      </c>
      <c r="S62" s="482" t="s">
        <v>1165</v>
      </c>
    </row>
    <row r="63" spans="1:19" s="76" customFormat="1" ht="25.5" x14ac:dyDescent="0.2">
      <c r="A63" s="235" t="s">
        <v>121</v>
      </c>
      <c r="B63" s="310" t="s">
        <v>122</v>
      </c>
      <c r="C63" s="235" t="s">
        <v>68</v>
      </c>
      <c r="D63" s="353">
        <f>ROUNDUP(G63,-1)</f>
        <v>-10</v>
      </c>
      <c r="E63" s="75"/>
      <c r="F63" s="356">
        <f t="shared" si="1"/>
        <v>0</v>
      </c>
      <c r="G63" s="466">
        <f>L63+O63+R63</f>
        <v>-1</v>
      </c>
      <c r="J63" s="238">
        <f>K35</f>
        <v>1</v>
      </c>
      <c r="K63" s="238">
        <v>3</v>
      </c>
      <c r="L63" s="483">
        <f>J63*K63</f>
        <v>3</v>
      </c>
      <c r="M63" s="238">
        <f>L35</f>
        <v>-1</v>
      </c>
      <c r="N63" s="238">
        <v>4</v>
      </c>
      <c r="O63" s="483">
        <f>M63*N63</f>
        <v>-4</v>
      </c>
      <c r="P63" s="238">
        <f>J35+K35+L35</f>
        <v>0</v>
      </c>
      <c r="Q63" s="238">
        <v>2</v>
      </c>
      <c r="R63" s="483">
        <f>P63*Q63</f>
        <v>0</v>
      </c>
      <c r="S63" s="481">
        <f>L63+O63+R63</f>
        <v>-1</v>
      </c>
    </row>
    <row r="64" spans="1:19" s="76" customFormat="1" ht="25.5" x14ac:dyDescent="0.2">
      <c r="A64" s="235" t="s">
        <v>123</v>
      </c>
      <c r="B64" s="310" t="s">
        <v>1121</v>
      </c>
      <c r="C64" s="235" t="s">
        <v>124</v>
      </c>
      <c r="D64" s="46">
        <v>4</v>
      </c>
      <c r="E64" s="75"/>
      <c r="F64" s="356">
        <f t="shared" si="1"/>
        <v>0</v>
      </c>
      <c r="I64" s="76" t="s">
        <v>1284</v>
      </c>
    </row>
    <row r="65" spans="1:6" s="76" customFormat="1" ht="25.5" x14ac:dyDescent="0.2">
      <c r="A65" s="235" t="s">
        <v>125</v>
      </c>
      <c r="B65" s="310" t="s">
        <v>126</v>
      </c>
      <c r="C65" s="235" t="s">
        <v>124</v>
      </c>
      <c r="D65" s="46" t="s">
        <v>724</v>
      </c>
      <c r="E65" s="75" t="s">
        <v>1167</v>
      </c>
      <c r="F65" s="356" t="str">
        <f t="shared" si="1"/>
        <v>-</v>
      </c>
    </row>
    <row r="66" spans="1:6" s="76" customFormat="1" ht="25.5" x14ac:dyDescent="0.2">
      <c r="A66" s="235" t="s">
        <v>127</v>
      </c>
      <c r="B66" s="310" t="s">
        <v>128</v>
      </c>
      <c r="C66" s="235" t="s">
        <v>11</v>
      </c>
      <c r="D66" s="46" t="s">
        <v>1122</v>
      </c>
      <c r="E66" s="75" t="s">
        <v>1167</v>
      </c>
      <c r="F66" s="356" t="str">
        <f t="shared" si="1"/>
        <v>-</v>
      </c>
    </row>
    <row r="67" spans="1:6" s="76" customFormat="1" x14ac:dyDescent="0.2">
      <c r="A67" s="235" t="s">
        <v>129</v>
      </c>
      <c r="B67" s="310" t="s">
        <v>130</v>
      </c>
      <c r="C67" s="235" t="s">
        <v>11</v>
      </c>
      <c r="D67" s="75" t="s">
        <v>1167</v>
      </c>
      <c r="E67" s="75" t="s">
        <v>1167</v>
      </c>
      <c r="F67" s="356" t="str">
        <f t="shared" si="1"/>
        <v/>
      </c>
    </row>
    <row r="68" spans="1:6" s="76" customFormat="1" ht="25.5" x14ac:dyDescent="0.2">
      <c r="A68" s="235" t="s">
        <v>131</v>
      </c>
      <c r="B68" s="310" t="s">
        <v>132</v>
      </c>
      <c r="C68" s="235" t="s">
        <v>11</v>
      </c>
      <c r="D68" s="46" t="s">
        <v>724</v>
      </c>
      <c r="E68" s="46" t="s">
        <v>1167</v>
      </c>
      <c r="F68" s="356" t="str">
        <f t="shared" si="1"/>
        <v>-</v>
      </c>
    </row>
    <row r="69" spans="1:6" s="76" customFormat="1" x14ac:dyDescent="0.2">
      <c r="A69" s="235" t="s">
        <v>133</v>
      </c>
      <c r="B69" s="310" t="s">
        <v>1328</v>
      </c>
      <c r="C69" s="235" t="s">
        <v>11</v>
      </c>
      <c r="D69" s="267" t="s">
        <v>1167</v>
      </c>
      <c r="E69" s="267" t="s">
        <v>1167</v>
      </c>
      <c r="F69" s="356" t="str">
        <f t="shared" si="1"/>
        <v/>
      </c>
    </row>
    <row r="70" spans="1:6" s="76" customFormat="1" ht="51" x14ac:dyDescent="0.2">
      <c r="A70" s="235" t="s">
        <v>134</v>
      </c>
      <c r="B70" s="310" t="s">
        <v>135</v>
      </c>
      <c r="C70" s="235" t="s">
        <v>11</v>
      </c>
      <c r="D70" s="46" t="s">
        <v>96</v>
      </c>
      <c r="E70" s="46" t="s">
        <v>1167</v>
      </c>
      <c r="F70" s="356" t="str">
        <f t="shared" si="1"/>
        <v>-</v>
      </c>
    </row>
    <row r="71" spans="1:6" s="76" customFormat="1" ht="27" customHeight="1" x14ac:dyDescent="0.2">
      <c r="A71" s="45" t="s">
        <v>136</v>
      </c>
      <c r="B71" s="352"/>
      <c r="C71" s="484"/>
      <c r="D71" s="46" t="s">
        <v>96</v>
      </c>
      <c r="E71" s="46" t="s">
        <v>1167</v>
      </c>
      <c r="F71" s="356" t="str">
        <f t="shared" si="1"/>
        <v>-</v>
      </c>
    </row>
    <row r="72" spans="1:6" ht="12.75" customHeight="1" x14ac:dyDescent="0.2">
      <c r="A72" s="33" t="s">
        <v>137</v>
      </c>
      <c r="B72" s="34"/>
      <c r="C72" s="34"/>
      <c r="D72" s="34"/>
      <c r="E72" s="57"/>
      <c r="F72" s="294">
        <f>SUM(F10:F70)</f>
        <v>1500</v>
      </c>
    </row>
  </sheetData>
  <pageMargins left="0.7" right="0.7" top="0.75" bottom="0.75" header="0.3" footer="0.3"/>
  <pageSetup paperSize="9" orientation="portrait" r:id="rId1"/>
  <headerFooter>
    <oddFooter>&amp;C&amp;A&amp;RPage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68817-93D0-4110-B116-268C45D4ACAB}">
  <dimension ref="A1:BD205"/>
  <sheetViews>
    <sheetView zoomScale="90" zoomScaleNormal="90" zoomScaleSheetLayoutView="90" zoomScalePageLayoutView="60" workbookViewId="0">
      <selection activeCell="C3" sqref="C3"/>
    </sheetView>
  </sheetViews>
  <sheetFormatPr defaultRowHeight="12.75" x14ac:dyDescent="0.2"/>
  <cols>
    <col min="2" max="2" width="35.7109375" customWidth="1"/>
    <col min="3" max="3" width="9.140625" style="1" customWidth="1"/>
    <col min="4" max="5" width="11.42578125" style="1" customWidth="1"/>
    <col min="6" max="6" width="11.42578125" style="295" customWidth="1"/>
    <col min="7" max="7" width="1.5703125" style="154" customWidth="1"/>
    <col min="8" max="8" width="8.42578125" style="1" customWidth="1"/>
    <col min="9" max="9" width="8.7109375" style="1" customWidth="1"/>
    <col min="10" max="10" width="10.85546875" customWidth="1"/>
    <col min="11" max="12" width="7.28515625" style="117" customWidth="1"/>
    <col min="13" max="46" width="5.7109375" customWidth="1"/>
    <col min="47" max="49" width="6.42578125" customWidth="1"/>
    <col min="53" max="53" width="10.42578125" customWidth="1"/>
  </cols>
  <sheetData>
    <row r="1" spans="1:56" ht="15" x14ac:dyDescent="0.2">
      <c r="J1" s="252" t="s">
        <v>1381</v>
      </c>
      <c r="K1" s="403"/>
      <c r="L1" s="404"/>
      <c r="M1" s="404"/>
      <c r="N1" s="404"/>
      <c r="O1" s="404"/>
      <c r="P1" s="404"/>
      <c r="Q1" s="404"/>
      <c r="R1" s="404"/>
      <c r="S1" s="404"/>
      <c r="T1" s="404"/>
      <c r="U1" s="404"/>
      <c r="V1" s="404"/>
      <c r="W1" s="404"/>
      <c r="X1" s="404"/>
      <c r="Y1" s="404"/>
      <c r="Z1" s="404"/>
      <c r="AA1" s="404"/>
      <c r="AB1" s="404"/>
      <c r="AC1" s="404"/>
      <c r="AD1" s="404"/>
      <c r="AE1" s="404"/>
      <c r="AF1" s="404"/>
      <c r="AG1" s="404"/>
      <c r="AH1" s="404"/>
      <c r="AI1" s="404"/>
      <c r="AJ1" s="404"/>
      <c r="AK1" s="404"/>
      <c r="AL1" s="404"/>
      <c r="AM1" s="404"/>
      <c r="AN1" s="404"/>
      <c r="AO1" s="404"/>
      <c r="AP1" s="404"/>
      <c r="AQ1" s="404"/>
      <c r="AR1" s="404"/>
      <c r="AS1" s="404"/>
      <c r="AT1" s="404"/>
      <c r="AU1" s="404"/>
      <c r="AV1" s="404"/>
      <c r="AW1" s="404"/>
    </row>
    <row r="2" spans="1:56" s="109" customFormat="1" ht="15.75" thickBot="1" x14ac:dyDescent="0.25">
      <c r="C2" s="110"/>
      <c r="D2" s="110"/>
      <c r="E2" s="110"/>
      <c r="F2" s="305"/>
      <c r="G2" s="159"/>
      <c r="H2" s="110"/>
      <c r="I2" s="114" t="s">
        <v>1188</v>
      </c>
      <c r="J2" s="253" t="s">
        <v>1325</v>
      </c>
      <c r="K2" s="311" t="str">
        <f>'Log Schedule'!A2</f>
        <v>BH 1</v>
      </c>
      <c r="L2" s="311" t="str">
        <f>'Log Schedule'!A3</f>
        <v>BH 2</v>
      </c>
      <c r="M2" s="311">
        <f>'Log Schedule'!A4</f>
        <v>0</v>
      </c>
      <c r="N2" s="311">
        <f>'Log Schedule'!A5</f>
        <v>0</v>
      </c>
      <c r="O2" s="311"/>
      <c r="P2" s="311"/>
      <c r="Q2" s="311"/>
      <c r="R2" s="311"/>
      <c r="S2" s="311"/>
      <c r="T2" s="311"/>
      <c r="U2" s="311"/>
      <c r="V2" s="311"/>
      <c r="W2" s="311"/>
      <c r="X2" s="311"/>
      <c r="Y2" s="311"/>
      <c r="Z2" s="311"/>
      <c r="AA2" s="311"/>
      <c r="AB2" s="311"/>
      <c r="AC2" s="311"/>
      <c r="AD2" s="311"/>
      <c r="AE2" s="311"/>
      <c r="AF2" s="311"/>
      <c r="AG2" s="311"/>
      <c r="AH2" s="311"/>
      <c r="AI2" s="311"/>
      <c r="AJ2" s="311"/>
      <c r="AK2" s="268"/>
      <c r="AL2" s="268"/>
      <c r="AM2" s="268"/>
      <c r="AN2" s="268"/>
      <c r="AO2" s="268"/>
      <c r="AP2" s="268"/>
      <c r="AQ2" s="268"/>
      <c r="AR2" s="268"/>
      <c r="AS2" s="268"/>
      <c r="AT2" s="268"/>
      <c r="AU2" s="269"/>
      <c r="AV2" s="270"/>
      <c r="AW2" s="270"/>
      <c r="AX2" s="271"/>
    </row>
    <row r="3" spans="1:56" s="103" customFormat="1" x14ac:dyDescent="0.2">
      <c r="C3" s="104"/>
      <c r="D3" s="104"/>
      <c r="E3" s="104"/>
      <c r="F3" s="308"/>
      <c r="G3" s="160"/>
      <c r="H3" s="104"/>
      <c r="I3" s="104">
        <v>10</v>
      </c>
      <c r="J3" s="107" t="s">
        <v>1172</v>
      </c>
      <c r="K3" s="405">
        <f>'Log Schedule'!C2</f>
        <v>19</v>
      </c>
      <c r="L3" s="405"/>
      <c r="M3" s="405"/>
      <c r="N3" s="405"/>
      <c r="O3" s="405"/>
      <c r="P3" s="405"/>
      <c r="Q3" s="405"/>
      <c r="R3" s="405"/>
      <c r="S3" s="405"/>
      <c r="T3" s="405"/>
      <c r="U3" s="405"/>
      <c r="V3" s="405"/>
      <c r="W3" s="405"/>
      <c r="X3" s="405"/>
      <c r="Y3" s="405"/>
      <c r="Z3" s="405"/>
      <c r="AA3" s="405"/>
      <c r="AB3" s="405"/>
      <c r="AC3" s="405"/>
      <c r="AD3" s="405"/>
      <c r="AE3" s="405"/>
      <c r="AF3" s="405"/>
      <c r="AG3" s="406"/>
      <c r="AH3" s="407"/>
      <c r="AI3" s="406"/>
      <c r="AJ3" s="406"/>
      <c r="AK3" s="406"/>
      <c r="AL3" s="406"/>
      <c r="AM3" s="406"/>
      <c r="AN3" s="406"/>
      <c r="AO3" s="406"/>
      <c r="AP3" s="406"/>
      <c r="AQ3" s="406"/>
      <c r="AR3" s="406"/>
      <c r="AS3" s="406"/>
      <c r="AT3" s="406"/>
      <c r="AU3" s="406"/>
      <c r="AV3" s="407"/>
      <c r="AW3" s="407"/>
      <c r="AX3" s="105"/>
      <c r="AY3" s="106"/>
    </row>
    <row r="4" spans="1:56" x14ac:dyDescent="0.2">
      <c r="I4" s="1">
        <v>5</v>
      </c>
      <c r="J4" s="108" t="s">
        <v>1173</v>
      </c>
      <c r="K4" s="405">
        <f>'Log Schedule'!F2</f>
        <v>8</v>
      </c>
      <c r="L4" s="405"/>
      <c r="M4" s="408"/>
      <c r="N4" s="408"/>
      <c r="O4" s="408"/>
      <c r="P4" s="408"/>
      <c r="Q4" s="408"/>
      <c r="R4" s="408"/>
      <c r="S4" s="408"/>
      <c r="T4" s="408"/>
      <c r="U4" s="408"/>
      <c r="V4" s="408"/>
      <c r="W4" s="408"/>
      <c r="X4" s="408"/>
      <c r="Y4" s="408"/>
      <c r="Z4" s="408"/>
      <c r="AA4" s="408"/>
      <c r="AB4" s="408"/>
      <c r="AC4" s="408"/>
      <c r="AD4" s="408"/>
      <c r="AE4" s="408"/>
      <c r="AF4" s="408"/>
      <c r="AG4" s="409"/>
      <c r="AH4" s="410"/>
      <c r="AI4" s="409"/>
      <c r="AJ4" s="409"/>
      <c r="AK4" s="409"/>
      <c r="AL4" s="409"/>
      <c r="AM4" s="409"/>
      <c r="AN4" s="409"/>
      <c r="AO4" s="409"/>
      <c r="AP4" s="411"/>
      <c r="AQ4" s="409"/>
      <c r="AR4" s="409"/>
      <c r="AS4" s="409"/>
      <c r="AT4" s="409"/>
      <c r="AU4" s="409"/>
      <c r="AV4" s="410"/>
      <c r="AW4" s="410"/>
      <c r="AX4" s="101"/>
      <c r="AY4" s="102"/>
    </row>
    <row r="5" spans="1:56" ht="15" x14ac:dyDescent="0.2">
      <c r="H5" s="114"/>
      <c r="I5" s="114"/>
      <c r="J5" s="111" t="s">
        <v>1174</v>
      </c>
      <c r="K5" s="116">
        <f t="shared" ref="K5:AW5" si="0">K3-K4</f>
        <v>11</v>
      </c>
      <c r="L5" s="116">
        <f t="shared" si="0"/>
        <v>0</v>
      </c>
      <c r="M5" s="116">
        <f t="shared" si="0"/>
        <v>0</v>
      </c>
      <c r="N5" s="116">
        <f t="shared" si="0"/>
        <v>0</v>
      </c>
      <c r="O5" s="116">
        <f t="shared" si="0"/>
        <v>0</v>
      </c>
      <c r="P5" s="116">
        <f t="shared" si="0"/>
        <v>0</v>
      </c>
      <c r="Q5" s="116">
        <f t="shared" si="0"/>
        <v>0</v>
      </c>
      <c r="R5" s="116">
        <f t="shared" si="0"/>
        <v>0</v>
      </c>
      <c r="S5" s="116">
        <f t="shared" si="0"/>
        <v>0</v>
      </c>
      <c r="T5" s="116">
        <f t="shared" si="0"/>
        <v>0</v>
      </c>
      <c r="U5" s="116">
        <f t="shared" si="0"/>
        <v>0</v>
      </c>
      <c r="V5" s="116">
        <f t="shared" si="0"/>
        <v>0</v>
      </c>
      <c r="W5" s="116">
        <f t="shared" si="0"/>
        <v>0</v>
      </c>
      <c r="X5" s="116">
        <f t="shared" si="0"/>
        <v>0</v>
      </c>
      <c r="Y5" s="116">
        <f t="shared" si="0"/>
        <v>0</v>
      </c>
      <c r="Z5" s="116">
        <f t="shared" si="0"/>
        <v>0</v>
      </c>
      <c r="AA5" s="116">
        <f>AA3-AA4</f>
        <v>0</v>
      </c>
      <c r="AB5" s="116">
        <f t="shared" si="0"/>
        <v>0</v>
      </c>
      <c r="AC5" s="116">
        <f t="shared" si="0"/>
        <v>0</v>
      </c>
      <c r="AD5" s="116">
        <f t="shared" si="0"/>
        <v>0</v>
      </c>
      <c r="AE5" s="116">
        <f t="shared" si="0"/>
        <v>0</v>
      </c>
      <c r="AF5" s="116">
        <f t="shared" si="0"/>
        <v>0</v>
      </c>
      <c r="AG5" s="116">
        <f t="shared" si="0"/>
        <v>0</v>
      </c>
      <c r="AH5" s="116">
        <f t="shared" si="0"/>
        <v>0</v>
      </c>
      <c r="AI5" s="116">
        <f t="shared" si="0"/>
        <v>0</v>
      </c>
      <c r="AJ5" s="116">
        <f t="shared" si="0"/>
        <v>0</v>
      </c>
      <c r="AK5" s="116">
        <f t="shared" si="0"/>
        <v>0</v>
      </c>
      <c r="AL5" s="116">
        <f t="shared" si="0"/>
        <v>0</v>
      </c>
      <c r="AM5" s="116">
        <f t="shared" si="0"/>
        <v>0</v>
      </c>
      <c r="AN5" s="116">
        <f t="shared" si="0"/>
        <v>0</v>
      </c>
      <c r="AO5" s="116">
        <f t="shared" si="0"/>
        <v>0</v>
      </c>
      <c r="AP5" s="116">
        <f t="shared" si="0"/>
        <v>0</v>
      </c>
      <c r="AQ5" s="116">
        <f t="shared" si="0"/>
        <v>0</v>
      </c>
      <c r="AR5" s="116">
        <f t="shared" si="0"/>
        <v>0</v>
      </c>
      <c r="AS5" s="116">
        <f t="shared" si="0"/>
        <v>0</v>
      </c>
      <c r="AT5" s="116">
        <f t="shared" si="0"/>
        <v>0</v>
      </c>
      <c r="AU5" s="116">
        <f t="shared" si="0"/>
        <v>0</v>
      </c>
      <c r="AV5" s="116">
        <f t="shared" si="0"/>
        <v>0</v>
      </c>
      <c r="AW5" s="116">
        <f t="shared" si="0"/>
        <v>0</v>
      </c>
      <c r="AX5" s="101"/>
      <c r="AY5" s="102"/>
    </row>
    <row r="6" spans="1:56" s="1" customFormat="1" x14ac:dyDescent="0.2">
      <c r="F6" s="295"/>
      <c r="G6" s="154"/>
      <c r="H6" s="114"/>
      <c r="I6" s="211"/>
      <c r="J6" s="225" t="s">
        <v>1252</v>
      </c>
      <c r="K6" s="272">
        <v>0</v>
      </c>
      <c r="L6" s="272">
        <v>0</v>
      </c>
      <c r="M6" s="272">
        <v>0</v>
      </c>
      <c r="N6" s="272">
        <v>0</v>
      </c>
      <c r="O6" s="272">
        <v>0</v>
      </c>
      <c r="P6" s="272">
        <v>0</v>
      </c>
      <c r="Q6" s="272">
        <v>0</v>
      </c>
      <c r="R6" s="272">
        <v>0</v>
      </c>
      <c r="S6" s="272">
        <v>0</v>
      </c>
      <c r="T6" s="272">
        <v>0</v>
      </c>
      <c r="U6" s="272">
        <v>0</v>
      </c>
      <c r="V6" s="272">
        <v>0</v>
      </c>
      <c r="W6" s="272">
        <v>0</v>
      </c>
      <c r="X6" s="272">
        <v>0</v>
      </c>
      <c r="Y6" s="272">
        <v>0</v>
      </c>
      <c r="Z6" s="272">
        <v>0</v>
      </c>
      <c r="AA6" s="272">
        <v>0</v>
      </c>
      <c r="AB6" s="272">
        <v>0</v>
      </c>
      <c r="AC6" s="272">
        <v>0</v>
      </c>
      <c r="AD6" s="272">
        <v>0</v>
      </c>
      <c r="AE6" s="272">
        <v>0</v>
      </c>
      <c r="AF6" s="272">
        <v>0</v>
      </c>
      <c r="AG6" s="272">
        <v>0</v>
      </c>
      <c r="AH6" s="272">
        <v>0</v>
      </c>
      <c r="AI6" s="272">
        <v>0</v>
      </c>
      <c r="AJ6" s="272">
        <v>0</v>
      </c>
      <c r="AK6" s="272">
        <v>0</v>
      </c>
      <c r="AL6" s="272">
        <v>0</v>
      </c>
      <c r="AM6" s="272">
        <v>0</v>
      </c>
      <c r="AN6" s="272">
        <v>0</v>
      </c>
      <c r="AO6" s="272">
        <v>0</v>
      </c>
      <c r="AP6" s="272">
        <v>0</v>
      </c>
      <c r="AQ6" s="272">
        <v>0</v>
      </c>
      <c r="AR6" s="272">
        <v>0</v>
      </c>
      <c r="AS6" s="272">
        <v>0</v>
      </c>
      <c r="AT6" s="272">
        <v>0</v>
      </c>
      <c r="AU6" s="272">
        <v>0</v>
      </c>
      <c r="AV6" s="272">
        <v>0</v>
      </c>
      <c r="AW6" s="272">
        <v>0</v>
      </c>
      <c r="AX6" s="216"/>
      <c r="AY6" s="217"/>
    </row>
    <row r="7" spans="1:56" s="1" customFormat="1" ht="13.5" thickBot="1" x14ac:dyDescent="0.25">
      <c r="A7" s="5" t="s">
        <v>0</v>
      </c>
      <c r="B7" s="5" t="s">
        <v>1</v>
      </c>
      <c r="C7" s="5" t="s">
        <v>2</v>
      </c>
      <c r="D7" s="5" t="s">
        <v>3</v>
      </c>
      <c r="E7" s="5" t="s">
        <v>4</v>
      </c>
      <c r="F7" s="289" t="s">
        <v>5</v>
      </c>
      <c r="G7" s="155"/>
      <c r="H7" s="115" t="s">
        <v>1189</v>
      </c>
      <c r="I7" s="211"/>
      <c r="J7" s="225" t="s">
        <v>1266</v>
      </c>
      <c r="K7" s="273"/>
      <c r="L7" s="274"/>
      <c r="M7" s="275"/>
      <c r="N7" s="274"/>
      <c r="O7" s="274"/>
      <c r="P7" s="275"/>
      <c r="Q7" s="274"/>
      <c r="R7" s="275"/>
      <c r="S7" s="275"/>
      <c r="T7" s="274"/>
      <c r="U7" s="274"/>
      <c r="V7" s="274"/>
      <c r="W7" s="274"/>
      <c r="X7" s="274"/>
      <c r="Y7" s="274"/>
      <c r="Z7" s="274"/>
      <c r="AA7" s="274"/>
      <c r="AB7" s="274"/>
      <c r="AC7" s="274"/>
      <c r="AD7" s="274"/>
      <c r="AE7" s="275"/>
      <c r="AF7" s="274"/>
      <c r="AG7" s="274"/>
      <c r="AH7" s="274"/>
      <c r="AI7" s="274"/>
      <c r="AJ7" s="274"/>
      <c r="AK7" s="274"/>
      <c r="AL7" s="274"/>
      <c r="AM7" s="274"/>
      <c r="AN7" s="274"/>
      <c r="AO7" s="274"/>
      <c r="AP7" s="274"/>
      <c r="AQ7" s="274"/>
      <c r="AR7" s="274"/>
      <c r="AS7" s="274"/>
      <c r="AT7" s="274"/>
      <c r="AU7" s="274"/>
      <c r="AV7" s="276"/>
      <c r="AW7" s="276"/>
    </row>
    <row r="8" spans="1:56" ht="13.5" thickBot="1" x14ac:dyDescent="0.25">
      <c r="A8" s="8"/>
      <c r="B8" s="8"/>
      <c r="C8" s="9"/>
      <c r="D8" s="9"/>
      <c r="E8" s="9" t="s">
        <v>6</v>
      </c>
      <c r="F8" s="290" t="s">
        <v>6</v>
      </c>
      <c r="G8" s="156"/>
      <c r="H8" s="147"/>
      <c r="I8" s="224"/>
      <c r="J8" s="225" t="s">
        <v>1270</v>
      </c>
      <c r="K8" s="273"/>
      <c r="L8" s="274"/>
      <c r="M8" s="275"/>
      <c r="N8" s="274"/>
      <c r="O8" s="274"/>
      <c r="P8" s="275"/>
      <c r="Q8" s="274"/>
      <c r="R8" s="275"/>
      <c r="S8" s="275"/>
      <c r="T8" s="274"/>
      <c r="U8" s="274"/>
      <c r="V8" s="274"/>
      <c r="W8" s="274"/>
      <c r="X8" s="274"/>
      <c r="Y8" s="274"/>
      <c r="Z8" s="274"/>
      <c r="AA8" s="274"/>
      <c r="AB8" s="274"/>
      <c r="AC8" s="274"/>
      <c r="AD8" s="274"/>
      <c r="AE8" s="275"/>
      <c r="AF8" s="274"/>
      <c r="AG8" s="274"/>
      <c r="AH8" s="274"/>
      <c r="AI8" s="274"/>
      <c r="AJ8" s="274"/>
      <c r="AK8" s="274"/>
      <c r="AL8" s="274"/>
      <c r="AM8" s="274"/>
      <c r="AN8" s="274"/>
      <c r="AO8" s="274"/>
      <c r="AP8" s="274"/>
      <c r="AQ8" s="274"/>
      <c r="AR8" s="274"/>
      <c r="AS8" s="274"/>
      <c r="AT8" s="274"/>
      <c r="AU8" s="274"/>
      <c r="AV8" s="276"/>
      <c r="AW8" s="276"/>
    </row>
    <row r="9" spans="1:56" s="233" customFormat="1" ht="38.25" x14ac:dyDescent="0.2">
      <c r="A9" s="485" t="s">
        <v>138</v>
      </c>
      <c r="B9" s="485" t="s">
        <v>1293</v>
      </c>
      <c r="C9" s="486"/>
      <c r="D9" s="487"/>
      <c r="E9" s="487"/>
      <c r="F9" s="488"/>
      <c r="G9" s="229"/>
      <c r="H9" s="230"/>
      <c r="I9" s="231"/>
      <c r="J9" s="232"/>
      <c r="K9" s="277"/>
      <c r="L9" s="278"/>
      <c r="M9" s="279"/>
      <c r="N9" s="280"/>
      <c r="O9" s="279"/>
      <c r="P9" s="279"/>
      <c r="Q9" s="279"/>
      <c r="R9" s="279"/>
      <c r="S9" s="279"/>
      <c r="T9" s="279"/>
      <c r="U9" s="279"/>
      <c r="V9" s="279"/>
      <c r="W9" s="279"/>
      <c r="X9" s="279"/>
      <c r="Y9" s="279"/>
      <c r="Z9" s="279"/>
      <c r="AA9" s="279"/>
      <c r="AB9" s="279"/>
      <c r="AC9" s="279"/>
      <c r="AD9" s="279"/>
      <c r="AE9" s="279"/>
      <c r="AF9" s="279"/>
      <c r="AG9" s="279"/>
      <c r="AH9" s="279"/>
      <c r="AI9" s="279"/>
      <c r="AJ9" s="279"/>
      <c r="AK9" s="279"/>
      <c r="AL9" s="279"/>
      <c r="AM9" s="279"/>
      <c r="AN9" s="279"/>
      <c r="AO9" s="279"/>
      <c r="AP9" s="279"/>
      <c r="AQ9" s="279"/>
      <c r="AR9" s="279"/>
      <c r="AS9" s="279"/>
      <c r="AT9" s="279"/>
      <c r="AU9" s="279"/>
      <c r="AV9" s="279"/>
      <c r="AW9" s="279"/>
      <c r="AX9" s="279"/>
      <c r="AY9" s="281"/>
    </row>
    <row r="10" spans="1:56" ht="51" x14ac:dyDescent="0.2">
      <c r="A10" s="235" t="s">
        <v>139</v>
      </c>
      <c r="B10" s="235" t="s">
        <v>140</v>
      </c>
      <c r="C10" s="236" t="s">
        <v>1192</v>
      </c>
      <c r="D10" s="46" t="s">
        <v>1192</v>
      </c>
      <c r="E10" s="46" t="s">
        <v>1167</v>
      </c>
      <c r="F10" s="356" t="str">
        <f t="shared" ref="F10:F28" si="1">IF(ISNUMBER(SEARCH("incl",$D10)),"-",IF(ISNUMBER(SEARCH("not r",$D10)),"-",IF(ISNUMBER(SEARCH("refer",$D10)),"-",IF(C10="sum","",$D10*$E10))))</f>
        <v>-</v>
      </c>
      <c r="G10" s="161"/>
      <c r="H10" s="178">
        <f t="shared" ref="H10:H17" si="2">SUM(K10:AU10)</f>
        <v>0</v>
      </c>
      <c r="I10" s="139"/>
      <c r="J10" s="126"/>
      <c r="K10" s="122"/>
      <c r="L10" s="122"/>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2"/>
    </row>
    <row r="11" spans="1:56" ht="51" x14ac:dyDescent="0.2">
      <c r="A11" s="235" t="s">
        <v>1253</v>
      </c>
      <c r="B11" s="235" t="s">
        <v>1190</v>
      </c>
      <c r="C11" s="236" t="s">
        <v>68</v>
      </c>
      <c r="D11" s="353">
        <v>25</v>
      </c>
      <c r="E11" s="46"/>
      <c r="F11" s="356">
        <f t="shared" si="1"/>
        <v>0</v>
      </c>
      <c r="G11" s="161"/>
      <c r="H11" s="178">
        <f>SUM(K11:AU11)</f>
        <v>0</v>
      </c>
      <c r="I11" s="140" t="s">
        <v>1178</v>
      </c>
      <c r="J11" s="126"/>
      <c r="K11" s="176">
        <f t="shared" ref="K11:AW11" si="3">IF(K$3&gt;0,IF(K$5&gt;0,0,IF(K$6=0,1,0)),0)</f>
        <v>0</v>
      </c>
      <c r="L11" s="176">
        <f t="shared" si="3"/>
        <v>0</v>
      </c>
      <c r="M11" s="176">
        <f t="shared" si="3"/>
        <v>0</v>
      </c>
      <c r="N11" s="176">
        <f t="shared" si="3"/>
        <v>0</v>
      </c>
      <c r="O11" s="176">
        <f t="shared" si="3"/>
        <v>0</v>
      </c>
      <c r="P11" s="176">
        <f t="shared" si="3"/>
        <v>0</v>
      </c>
      <c r="Q11" s="176">
        <f t="shared" si="3"/>
        <v>0</v>
      </c>
      <c r="R11" s="176">
        <f t="shared" si="3"/>
        <v>0</v>
      </c>
      <c r="S11" s="176">
        <f t="shared" si="3"/>
        <v>0</v>
      </c>
      <c r="T11" s="176">
        <f t="shared" si="3"/>
        <v>0</v>
      </c>
      <c r="U11" s="176">
        <f t="shared" si="3"/>
        <v>0</v>
      </c>
      <c r="V11" s="176">
        <f t="shared" si="3"/>
        <v>0</v>
      </c>
      <c r="W11" s="176">
        <f t="shared" si="3"/>
        <v>0</v>
      </c>
      <c r="X11" s="176">
        <f t="shared" si="3"/>
        <v>0</v>
      </c>
      <c r="Y11" s="176">
        <f t="shared" si="3"/>
        <v>0</v>
      </c>
      <c r="Z11" s="176">
        <f t="shared" si="3"/>
        <v>0</v>
      </c>
      <c r="AA11" s="176">
        <f t="shared" si="3"/>
        <v>0</v>
      </c>
      <c r="AB11" s="176">
        <f t="shared" si="3"/>
        <v>0</v>
      </c>
      <c r="AC11" s="176">
        <f t="shared" si="3"/>
        <v>0</v>
      </c>
      <c r="AD11" s="176">
        <f t="shared" si="3"/>
        <v>0</v>
      </c>
      <c r="AE11" s="176">
        <f t="shared" si="3"/>
        <v>0</v>
      </c>
      <c r="AF11" s="176">
        <f t="shared" si="3"/>
        <v>0</v>
      </c>
      <c r="AG11" s="176">
        <f t="shared" si="3"/>
        <v>0</v>
      </c>
      <c r="AH11" s="176">
        <f t="shared" si="3"/>
        <v>0</v>
      </c>
      <c r="AI11" s="176">
        <f t="shared" si="3"/>
        <v>0</v>
      </c>
      <c r="AJ11" s="176">
        <f t="shared" si="3"/>
        <v>0</v>
      </c>
      <c r="AK11" s="176">
        <f t="shared" si="3"/>
        <v>0</v>
      </c>
      <c r="AL11" s="176">
        <f t="shared" si="3"/>
        <v>0</v>
      </c>
      <c r="AM11" s="176">
        <f t="shared" si="3"/>
        <v>0</v>
      </c>
      <c r="AN11" s="176">
        <f t="shared" si="3"/>
        <v>0</v>
      </c>
      <c r="AO11" s="176">
        <f t="shared" si="3"/>
        <v>0</v>
      </c>
      <c r="AP11" s="176">
        <f t="shared" si="3"/>
        <v>0</v>
      </c>
      <c r="AQ11" s="176">
        <f t="shared" si="3"/>
        <v>0</v>
      </c>
      <c r="AR11" s="176">
        <f t="shared" si="3"/>
        <v>0</v>
      </c>
      <c r="AS11" s="176">
        <f t="shared" si="3"/>
        <v>0</v>
      </c>
      <c r="AT11" s="176">
        <f t="shared" si="3"/>
        <v>0</v>
      </c>
      <c r="AU11" s="176">
        <f t="shared" si="3"/>
        <v>0</v>
      </c>
      <c r="AV11" s="176">
        <f t="shared" si="3"/>
        <v>0</v>
      </c>
      <c r="AW11" s="176">
        <f t="shared" si="3"/>
        <v>0</v>
      </c>
      <c r="AX11" s="101"/>
      <c r="AY11" s="102" t="s">
        <v>1271</v>
      </c>
    </row>
    <row r="12" spans="1:56" ht="63.75" x14ac:dyDescent="0.2">
      <c r="A12" s="235" t="s">
        <v>1255</v>
      </c>
      <c r="B12" s="235" t="s">
        <v>1257</v>
      </c>
      <c r="C12" s="236" t="s">
        <v>68</v>
      </c>
      <c r="D12" s="353">
        <f>H12</f>
        <v>0</v>
      </c>
      <c r="E12" s="46"/>
      <c r="F12" s="356">
        <f t="shared" si="1"/>
        <v>0</v>
      </c>
      <c r="G12" s="161"/>
      <c r="H12" s="178">
        <f t="shared" si="2"/>
        <v>0</v>
      </c>
      <c r="I12" s="140"/>
      <c r="J12" s="126"/>
      <c r="K12" s="176">
        <f t="shared" ref="K12:AW12" si="4">IF(K$3&gt;0,IF(K$4&gt;0,0,IF(K$6=0,0,1)),0)</f>
        <v>0</v>
      </c>
      <c r="L12" s="176">
        <f t="shared" si="4"/>
        <v>0</v>
      </c>
      <c r="M12" s="176">
        <f t="shared" si="4"/>
        <v>0</v>
      </c>
      <c r="N12" s="176">
        <f t="shared" si="4"/>
        <v>0</v>
      </c>
      <c r="O12" s="176">
        <f t="shared" si="4"/>
        <v>0</v>
      </c>
      <c r="P12" s="176">
        <f t="shared" si="4"/>
        <v>0</v>
      </c>
      <c r="Q12" s="176">
        <f t="shared" si="4"/>
        <v>0</v>
      </c>
      <c r="R12" s="176">
        <f t="shared" si="4"/>
        <v>0</v>
      </c>
      <c r="S12" s="176">
        <f t="shared" si="4"/>
        <v>0</v>
      </c>
      <c r="T12" s="176">
        <f t="shared" si="4"/>
        <v>0</v>
      </c>
      <c r="U12" s="176">
        <f t="shared" si="4"/>
        <v>0</v>
      </c>
      <c r="V12" s="176">
        <f t="shared" si="4"/>
        <v>0</v>
      </c>
      <c r="W12" s="176">
        <f t="shared" si="4"/>
        <v>0</v>
      </c>
      <c r="X12" s="176">
        <f t="shared" si="4"/>
        <v>0</v>
      </c>
      <c r="Y12" s="176">
        <f t="shared" si="4"/>
        <v>0</v>
      </c>
      <c r="Z12" s="176">
        <f t="shared" si="4"/>
        <v>0</v>
      </c>
      <c r="AA12" s="176">
        <f t="shared" si="4"/>
        <v>0</v>
      </c>
      <c r="AB12" s="176">
        <f t="shared" si="4"/>
        <v>0</v>
      </c>
      <c r="AC12" s="176">
        <f t="shared" si="4"/>
        <v>0</v>
      </c>
      <c r="AD12" s="176">
        <f t="shared" si="4"/>
        <v>0</v>
      </c>
      <c r="AE12" s="176">
        <f t="shared" si="4"/>
        <v>0</v>
      </c>
      <c r="AF12" s="176">
        <f t="shared" si="4"/>
        <v>0</v>
      </c>
      <c r="AG12" s="176">
        <f t="shared" si="4"/>
        <v>0</v>
      </c>
      <c r="AH12" s="176">
        <f t="shared" si="4"/>
        <v>0</v>
      </c>
      <c r="AI12" s="176">
        <f t="shared" si="4"/>
        <v>0</v>
      </c>
      <c r="AJ12" s="176">
        <f t="shared" si="4"/>
        <v>0</v>
      </c>
      <c r="AK12" s="176">
        <f t="shared" si="4"/>
        <v>0</v>
      </c>
      <c r="AL12" s="176">
        <f t="shared" si="4"/>
        <v>0</v>
      </c>
      <c r="AM12" s="176">
        <f t="shared" si="4"/>
        <v>0</v>
      </c>
      <c r="AN12" s="176">
        <f t="shared" si="4"/>
        <v>0</v>
      </c>
      <c r="AO12" s="176">
        <f t="shared" si="4"/>
        <v>0</v>
      </c>
      <c r="AP12" s="176">
        <f t="shared" si="4"/>
        <v>0</v>
      </c>
      <c r="AQ12" s="176">
        <f t="shared" si="4"/>
        <v>0</v>
      </c>
      <c r="AR12" s="176">
        <f t="shared" si="4"/>
        <v>0</v>
      </c>
      <c r="AS12" s="176">
        <f t="shared" si="4"/>
        <v>0</v>
      </c>
      <c r="AT12" s="176">
        <f t="shared" si="4"/>
        <v>0</v>
      </c>
      <c r="AU12" s="176">
        <f t="shared" si="4"/>
        <v>0</v>
      </c>
      <c r="AV12" s="176">
        <f t="shared" si="4"/>
        <v>0</v>
      </c>
      <c r="AW12" s="176">
        <f t="shared" si="4"/>
        <v>0</v>
      </c>
      <c r="AX12" s="101"/>
      <c r="AY12" s="102" t="s">
        <v>1272</v>
      </c>
      <c r="BA12" t="s">
        <v>1274</v>
      </c>
      <c r="BC12" t="s">
        <v>1273</v>
      </c>
      <c r="BD12">
        <v>1</v>
      </c>
    </row>
    <row r="13" spans="1:56" ht="63.75" x14ac:dyDescent="0.2">
      <c r="A13" s="235" t="s">
        <v>1254</v>
      </c>
      <c r="B13" s="235" t="s">
        <v>1191</v>
      </c>
      <c r="C13" s="236" t="s">
        <v>68</v>
      </c>
      <c r="D13" s="353">
        <f>H13</f>
        <v>1</v>
      </c>
      <c r="E13" s="46"/>
      <c r="F13" s="356">
        <f t="shared" si="1"/>
        <v>0</v>
      </c>
      <c r="G13" s="161"/>
      <c r="H13" s="178">
        <f t="shared" si="2"/>
        <v>1</v>
      </c>
      <c r="I13" s="140"/>
      <c r="J13" s="126"/>
      <c r="K13" s="176">
        <f t="shared" ref="K13:AU13" si="5">IF(K$3&gt;0,IF(K$4&gt;0,IF(K5=0,0,IF(K$6=0,1,0)),0),0)</f>
        <v>1</v>
      </c>
      <c r="L13" s="176">
        <f t="shared" ref="L13" si="6">IF(L$3&gt;0,IF(L$4&gt;0,IF(L5=0,0,IF(L$6=0,1,0)),0),0)</f>
        <v>0</v>
      </c>
      <c r="M13" s="176">
        <f t="shared" si="5"/>
        <v>0</v>
      </c>
      <c r="N13" s="176">
        <f t="shared" si="5"/>
        <v>0</v>
      </c>
      <c r="O13" s="176">
        <f t="shared" si="5"/>
        <v>0</v>
      </c>
      <c r="P13" s="176">
        <f t="shared" si="5"/>
        <v>0</v>
      </c>
      <c r="Q13" s="176">
        <f t="shared" si="5"/>
        <v>0</v>
      </c>
      <c r="R13" s="176">
        <f t="shared" si="5"/>
        <v>0</v>
      </c>
      <c r="S13" s="176">
        <f t="shared" si="5"/>
        <v>0</v>
      </c>
      <c r="T13" s="176">
        <f t="shared" ref="T13" si="7">IF(T$3&gt;0,IF(T$4&gt;0,IF(T5=0,0,IF(T$6=0,1,0)),0),0)</f>
        <v>0</v>
      </c>
      <c r="U13" s="176">
        <f t="shared" si="5"/>
        <v>0</v>
      </c>
      <c r="V13" s="176">
        <f t="shared" ref="V13:X13" si="8">IF(V$3&gt;0,IF(V$4&gt;0,IF(V5=0,0,IF(V$6=0,1,0)),0),0)</f>
        <v>0</v>
      </c>
      <c r="W13" s="176">
        <f t="shared" si="8"/>
        <v>0</v>
      </c>
      <c r="X13" s="176">
        <f t="shared" si="8"/>
        <v>0</v>
      </c>
      <c r="Y13" s="176">
        <f t="shared" si="5"/>
        <v>0</v>
      </c>
      <c r="Z13" s="176">
        <f t="shared" si="5"/>
        <v>0</v>
      </c>
      <c r="AA13" s="176">
        <f t="shared" si="5"/>
        <v>0</v>
      </c>
      <c r="AB13" s="176">
        <f t="shared" ref="AB13:AC13" si="9">IF(AB$3&gt;0,IF(AB$4&gt;0,IF(AB5=0,0,IF(AB$6=0,1,0)),0),0)</f>
        <v>0</v>
      </c>
      <c r="AC13" s="176">
        <f t="shared" si="9"/>
        <v>0</v>
      </c>
      <c r="AD13" s="176">
        <f t="shared" si="5"/>
        <v>0</v>
      </c>
      <c r="AE13" s="176">
        <f t="shared" si="5"/>
        <v>0</v>
      </c>
      <c r="AF13" s="176">
        <f t="shared" si="5"/>
        <v>0</v>
      </c>
      <c r="AG13" s="176">
        <f t="shared" si="5"/>
        <v>0</v>
      </c>
      <c r="AH13" s="176">
        <f t="shared" si="5"/>
        <v>0</v>
      </c>
      <c r="AI13" s="176">
        <f t="shared" si="5"/>
        <v>0</v>
      </c>
      <c r="AJ13" s="176">
        <f t="shared" si="5"/>
        <v>0</v>
      </c>
      <c r="AK13" s="176">
        <f t="shared" si="5"/>
        <v>0</v>
      </c>
      <c r="AL13" s="176">
        <f t="shared" si="5"/>
        <v>0</v>
      </c>
      <c r="AM13" s="176">
        <f t="shared" si="5"/>
        <v>0</v>
      </c>
      <c r="AN13" s="176">
        <f t="shared" si="5"/>
        <v>0</v>
      </c>
      <c r="AO13" s="176">
        <f t="shared" si="5"/>
        <v>0</v>
      </c>
      <c r="AP13" s="176">
        <f t="shared" si="5"/>
        <v>0</v>
      </c>
      <c r="AQ13" s="176">
        <f t="shared" si="5"/>
        <v>0</v>
      </c>
      <c r="AR13" s="176">
        <f t="shared" si="5"/>
        <v>0</v>
      </c>
      <c r="AS13" s="176">
        <f t="shared" si="5"/>
        <v>0</v>
      </c>
      <c r="AT13" s="176">
        <f t="shared" si="5"/>
        <v>0</v>
      </c>
      <c r="AU13" s="176">
        <f t="shared" si="5"/>
        <v>0</v>
      </c>
      <c r="AV13" s="176">
        <f t="shared" ref="AV13:AW13" si="10">IF(AV$3&gt;0,IF(AV$4&gt;0,IF(AV5=0,0,IF(AV$6=0,1,0)),0),0)</f>
        <v>0</v>
      </c>
      <c r="AW13" s="176">
        <f t="shared" si="10"/>
        <v>0</v>
      </c>
      <c r="AX13" s="101"/>
      <c r="AY13" s="102">
        <v>0</v>
      </c>
      <c r="BA13" t="s">
        <v>1273</v>
      </c>
      <c r="BC13">
        <v>0</v>
      </c>
    </row>
    <row r="14" spans="1:56" ht="76.5" x14ac:dyDescent="0.2">
      <c r="A14" s="235" t="s">
        <v>1256</v>
      </c>
      <c r="B14" s="235" t="s">
        <v>1258</v>
      </c>
      <c r="C14" s="236" t="s">
        <v>68</v>
      </c>
      <c r="D14" s="353">
        <f>H14</f>
        <v>0</v>
      </c>
      <c r="E14" s="46"/>
      <c r="F14" s="356">
        <f t="shared" si="1"/>
        <v>0</v>
      </c>
      <c r="G14" s="161"/>
      <c r="H14" s="178">
        <f t="shared" si="2"/>
        <v>0</v>
      </c>
      <c r="I14" s="140"/>
      <c r="J14" s="126"/>
      <c r="K14" s="176">
        <f t="shared" ref="K14:AU14" si="11">IF(K$3&gt;0,IF(K$4&gt;0,IF(K5=0,0,IF(K$6=0,0,1)),0))</f>
        <v>0</v>
      </c>
      <c r="L14" s="176" t="b">
        <f t="shared" ref="L14" si="12">IF(L$3&gt;0,IF(L$4&gt;0,IF(L5=0,0,IF(L$6=0,0,1)),0))</f>
        <v>0</v>
      </c>
      <c r="M14" s="176" t="b">
        <f t="shared" si="11"/>
        <v>0</v>
      </c>
      <c r="N14" s="176" t="b">
        <f t="shared" si="11"/>
        <v>0</v>
      </c>
      <c r="O14" s="176" t="b">
        <f t="shared" si="11"/>
        <v>0</v>
      </c>
      <c r="P14" s="176" t="b">
        <f t="shared" si="11"/>
        <v>0</v>
      </c>
      <c r="Q14" s="176" t="b">
        <f t="shared" si="11"/>
        <v>0</v>
      </c>
      <c r="R14" s="176" t="b">
        <f t="shared" si="11"/>
        <v>0</v>
      </c>
      <c r="S14" s="176" t="b">
        <f>IF(S$3&gt;0,IF(S$4&gt;0,IF(S5=0,0,IF(S$6=0,0,1)),0))</f>
        <v>0</v>
      </c>
      <c r="T14" s="176" t="b">
        <f t="shared" ref="T14" si="13">IF(T$3&gt;0,IF(T$4&gt;0,IF(T5=0,0,IF(T$6=0,0,1)),0))</f>
        <v>0</v>
      </c>
      <c r="U14" s="176" t="b">
        <f t="shared" si="11"/>
        <v>0</v>
      </c>
      <c r="V14" s="176" t="b">
        <f t="shared" ref="V14:X14" si="14">IF(V$3&gt;0,IF(V$4&gt;0,IF(V5=0,0,IF(V$6=0,0,1)),0))</f>
        <v>0</v>
      </c>
      <c r="W14" s="176" t="b">
        <f t="shared" si="14"/>
        <v>0</v>
      </c>
      <c r="X14" s="176" t="b">
        <f t="shared" si="14"/>
        <v>0</v>
      </c>
      <c r="Y14" s="176" t="b">
        <f>IF(Y$3&gt;0,IF(Y$4&gt;0,IF(Y5=0,0,IF(Y$6=0,0,1)),0))</f>
        <v>0</v>
      </c>
      <c r="Z14" s="176" t="b">
        <f t="shared" si="11"/>
        <v>0</v>
      </c>
      <c r="AA14" s="176" t="b">
        <f t="shared" si="11"/>
        <v>0</v>
      </c>
      <c r="AB14" s="176" t="b">
        <f t="shared" ref="AB14:AC14" si="15">IF(AB$3&gt;0,IF(AB$4&gt;0,IF(AB5=0,0,IF(AB$6=0,0,1)),0))</f>
        <v>0</v>
      </c>
      <c r="AC14" s="176" t="b">
        <f t="shared" si="15"/>
        <v>0</v>
      </c>
      <c r="AD14" s="176" t="b">
        <f t="shared" si="11"/>
        <v>0</v>
      </c>
      <c r="AE14" s="176" t="b">
        <f t="shared" si="11"/>
        <v>0</v>
      </c>
      <c r="AF14" s="176" t="b">
        <f t="shared" si="11"/>
        <v>0</v>
      </c>
      <c r="AG14" s="176" t="b">
        <f t="shared" si="11"/>
        <v>0</v>
      </c>
      <c r="AH14" s="176" t="b">
        <f t="shared" si="11"/>
        <v>0</v>
      </c>
      <c r="AI14" s="176" t="b">
        <f t="shared" si="11"/>
        <v>0</v>
      </c>
      <c r="AJ14" s="176" t="b">
        <f t="shared" si="11"/>
        <v>0</v>
      </c>
      <c r="AK14" s="176" t="b">
        <f t="shared" si="11"/>
        <v>0</v>
      </c>
      <c r="AL14" s="176" t="b">
        <f t="shared" si="11"/>
        <v>0</v>
      </c>
      <c r="AM14" s="176" t="b">
        <f t="shared" si="11"/>
        <v>0</v>
      </c>
      <c r="AN14" s="176" t="b">
        <f t="shared" si="11"/>
        <v>0</v>
      </c>
      <c r="AO14" s="176" t="b">
        <f t="shared" si="11"/>
        <v>0</v>
      </c>
      <c r="AP14" s="176" t="b">
        <f t="shared" si="11"/>
        <v>0</v>
      </c>
      <c r="AQ14" s="176" t="b">
        <f t="shared" si="11"/>
        <v>0</v>
      </c>
      <c r="AR14" s="176" t="b">
        <f t="shared" si="11"/>
        <v>0</v>
      </c>
      <c r="AS14" s="176" t="b">
        <f t="shared" si="11"/>
        <v>0</v>
      </c>
      <c r="AT14" s="176" t="b">
        <f t="shared" si="11"/>
        <v>0</v>
      </c>
      <c r="AU14" s="176" t="b">
        <f t="shared" si="11"/>
        <v>0</v>
      </c>
      <c r="AV14" s="176" t="b">
        <f t="shared" ref="AV14:AW14" si="16">IF(AV$3&gt;0,IF(AV$4&gt;0,IF(AV5=0,0,IF(AV$6=0,0,1)),0))</f>
        <v>0</v>
      </c>
      <c r="AW14" s="176" t="b">
        <f t="shared" si="16"/>
        <v>0</v>
      </c>
      <c r="AX14" s="101"/>
      <c r="AY14" s="102"/>
      <c r="BA14">
        <v>0</v>
      </c>
    </row>
    <row r="15" spans="1:56" ht="51" x14ac:dyDescent="0.2">
      <c r="A15" s="235" t="s">
        <v>141</v>
      </c>
      <c r="B15" s="235" t="s">
        <v>142</v>
      </c>
      <c r="C15" s="236" t="s">
        <v>1193</v>
      </c>
      <c r="D15" s="173" t="s">
        <v>1193</v>
      </c>
      <c r="E15" s="173" t="s">
        <v>1167</v>
      </c>
      <c r="F15" s="356" t="str">
        <f t="shared" si="1"/>
        <v>-</v>
      </c>
      <c r="G15" s="161"/>
      <c r="H15" s="178">
        <f t="shared" si="2"/>
        <v>0</v>
      </c>
      <c r="I15" s="141" t="s">
        <v>1351</v>
      </c>
      <c r="J15" s="127"/>
      <c r="K15" s="121"/>
      <c r="L15" s="101"/>
      <c r="M15" s="101"/>
      <c r="N15" s="101"/>
      <c r="O15" s="101"/>
      <c r="P15" s="101"/>
      <c r="Q15" s="101"/>
      <c r="R15" s="263">
        <v>0</v>
      </c>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2"/>
    </row>
    <row r="16" spans="1:56" ht="25.5" x14ac:dyDescent="0.2">
      <c r="A16" s="235" t="s">
        <v>1179</v>
      </c>
      <c r="B16" s="235" t="s">
        <v>1180</v>
      </c>
      <c r="C16" s="236" t="s">
        <v>68</v>
      </c>
      <c r="D16" s="173" t="s">
        <v>724</v>
      </c>
      <c r="E16" s="173" t="s">
        <v>1167</v>
      </c>
      <c r="F16" s="356" t="str">
        <f t="shared" si="1"/>
        <v>-</v>
      </c>
      <c r="G16" s="161"/>
      <c r="H16" s="178">
        <f t="shared" si="2"/>
        <v>0</v>
      </c>
      <c r="I16" s="139"/>
      <c r="J16" s="126"/>
      <c r="K16"/>
      <c r="L16"/>
      <c r="R16" s="263">
        <v>0</v>
      </c>
    </row>
    <row r="17" spans="1:52" ht="25.5" x14ac:dyDescent="0.2">
      <c r="A17" s="235" t="s">
        <v>1181</v>
      </c>
      <c r="B17" s="235" t="s">
        <v>1182</v>
      </c>
      <c r="C17" s="236" t="s">
        <v>68</v>
      </c>
      <c r="D17" s="173" t="s">
        <v>724</v>
      </c>
      <c r="E17" s="173" t="s">
        <v>1167</v>
      </c>
      <c r="F17" s="356" t="str">
        <f t="shared" si="1"/>
        <v>-</v>
      </c>
      <c r="G17" s="161"/>
      <c r="H17" s="178">
        <f t="shared" si="2"/>
        <v>0</v>
      </c>
      <c r="I17" s="139"/>
      <c r="J17" s="126"/>
      <c r="K17"/>
      <c r="L17"/>
      <c r="R17" s="263"/>
    </row>
    <row r="18" spans="1:52" ht="64.5" customHeight="1" x14ac:dyDescent="0.2">
      <c r="A18" s="235" t="s">
        <v>143</v>
      </c>
      <c r="B18" s="235" t="s">
        <v>144</v>
      </c>
      <c r="C18" s="236" t="s">
        <v>68</v>
      </c>
      <c r="D18" s="46">
        <f>H18</f>
        <v>1</v>
      </c>
      <c r="E18" s="46"/>
      <c r="F18" s="356">
        <f t="shared" si="1"/>
        <v>0</v>
      </c>
      <c r="G18" s="161"/>
      <c r="H18" s="178">
        <f>SUM(K18:AU18)</f>
        <v>1</v>
      </c>
      <c r="I18" s="142">
        <v>1</v>
      </c>
      <c r="J18" s="128" t="s">
        <v>1177</v>
      </c>
      <c r="K18" s="123">
        <f>MAX(K$11:K$13)</f>
        <v>1</v>
      </c>
      <c r="L18" s="176">
        <f t="shared" ref="L18" si="17">IF(L4&gt;0,1,0)</f>
        <v>0</v>
      </c>
      <c r="M18" s="123">
        <f>MAX(M$11:M$13)</f>
        <v>0</v>
      </c>
      <c r="N18" s="123">
        <f>MAX(N$11:N$13)</f>
        <v>0</v>
      </c>
      <c r="O18" s="176">
        <f t="shared" ref="O18:AU18" si="18">IF(O4&gt;0,1,0)</f>
        <v>0</v>
      </c>
      <c r="P18" s="176">
        <f t="shared" si="18"/>
        <v>0</v>
      </c>
      <c r="Q18" s="176">
        <f t="shared" si="18"/>
        <v>0</v>
      </c>
      <c r="R18" s="176">
        <f t="shared" si="18"/>
        <v>0</v>
      </c>
      <c r="S18" s="176">
        <f t="shared" si="18"/>
        <v>0</v>
      </c>
      <c r="T18" s="176">
        <f t="shared" ref="T18" si="19">IF(T4&gt;0,1,0)</f>
        <v>0</v>
      </c>
      <c r="U18" s="176">
        <f t="shared" si="18"/>
        <v>0</v>
      </c>
      <c r="V18" s="176">
        <f t="shared" ref="V18:X18" si="20">IF(V4&gt;0,1,0)</f>
        <v>0</v>
      </c>
      <c r="W18" s="176">
        <f t="shared" si="20"/>
        <v>0</v>
      </c>
      <c r="X18" s="176">
        <f t="shared" si="20"/>
        <v>0</v>
      </c>
      <c r="Y18" s="176">
        <f t="shared" si="18"/>
        <v>0</v>
      </c>
      <c r="Z18" s="176">
        <f t="shared" si="18"/>
        <v>0</v>
      </c>
      <c r="AA18" s="176">
        <f t="shared" si="18"/>
        <v>0</v>
      </c>
      <c r="AB18" s="176">
        <f t="shared" ref="AB18:AC18" si="21">IF(AB4&gt;0,1,0)</f>
        <v>0</v>
      </c>
      <c r="AC18" s="176">
        <f t="shared" si="21"/>
        <v>0</v>
      </c>
      <c r="AD18" s="176">
        <f t="shared" si="18"/>
        <v>0</v>
      </c>
      <c r="AE18" s="176">
        <f t="shared" si="18"/>
        <v>0</v>
      </c>
      <c r="AF18" s="176">
        <f t="shared" si="18"/>
        <v>0</v>
      </c>
      <c r="AG18" s="176">
        <f t="shared" si="18"/>
        <v>0</v>
      </c>
      <c r="AH18" s="176">
        <f t="shared" si="18"/>
        <v>0</v>
      </c>
      <c r="AI18" s="176">
        <f t="shared" si="18"/>
        <v>0</v>
      </c>
      <c r="AJ18" s="176">
        <f t="shared" si="18"/>
        <v>0</v>
      </c>
      <c r="AK18" s="176">
        <f t="shared" si="18"/>
        <v>0</v>
      </c>
      <c r="AL18" s="176">
        <f t="shared" si="18"/>
        <v>0</v>
      </c>
      <c r="AM18" s="176">
        <f t="shared" si="18"/>
        <v>0</v>
      </c>
      <c r="AN18" s="176">
        <f t="shared" si="18"/>
        <v>0</v>
      </c>
      <c r="AO18" s="176">
        <f t="shared" si="18"/>
        <v>0</v>
      </c>
      <c r="AP18" s="176">
        <f t="shared" si="18"/>
        <v>0</v>
      </c>
      <c r="AQ18" s="176">
        <f t="shared" si="18"/>
        <v>0</v>
      </c>
      <c r="AR18" s="176">
        <f t="shared" si="18"/>
        <v>0</v>
      </c>
      <c r="AS18" s="176">
        <f t="shared" si="18"/>
        <v>0</v>
      </c>
      <c r="AT18" s="176">
        <f t="shared" si="18"/>
        <v>0</v>
      </c>
      <c r="AU18" s="176">
        <f t="shared" si="18"/>
        <v>0</v>
      </c>
      <c r="AV18" s="176">
        <f t="shared" ref="AV18:AW18" si="22">IF(AV4&gt;0,1,0)</f>
        <v>0</v>
      </c>
      <c r="AW18" s="176">
        <f t="shared" si="22"/>
        <v>0</v>
      </c>
      <c r="AX18" s="101"/>
      <c r="AY18" s="102"/>
    </row>
    <row r="19" spans="1:52" ht="38.25" x14ac:dyDescent="0.2">
      <c r="A19" s="235" t="s">
        <v>1227</v>
      </c>
      <c r="B19" s="235" t="s">
        <v>1294</v>
      </c>
      <c r="C19" s="235" t="s">
        <v>1115</v>
      </c>
      <c r="D19" s="475">
        <f>H19</f>
        <v>1</v>
      </c>
      <c r="E19" s="46"/>
      <c r="F19" s="356">
        <f t="shared" si="1"/>
        <v>0</v>
      </c>
      <c r="G19" s="158"/>
      <c r="H19" s="265">
        <v>1</v>
      </c>
      <c r="I19" s="215">
        <v>0.25</v>
      </c>
      <c r="J19" s="214" t="s">
        <v>1269</v>
      </c>
      <c r="K19" s="123">
        <f t="shared" ref="K19:AW19" si="23">$I19*K$7</f>
        <v>0</v>
      </c>
      <c r="L19" s="123">
        <f t="shared" si="23"/>
        <v>0</v>
      </c>
      <c r="M19" s="123">
        <f t="shared" si="23"/>
        <v>0</v>
      </c>
      <c r="N19" s="123">
        <f t="shared" si="23"/>
        <v>0</v>
      </c>
      <c r="O19" s="123">
        <f t="shared" si="23"/>
        <v>0</v>
      </c>
      <c r="P19" s="123">
        <f t="shared" si="23"/>
        <v>0</v>
      </c>
      <c r="Q19" s="123">
        <f t="shared" si="23"/>
        <v>0</v>
      </c>
      <c r="R19" s="123">
        <f t="shared" si="23"/>
        <v>0</v>
      </c>
      <c r="S19" s="123">
        <f t="shared" si="23"/>
        <v>0</v>
      </c>
      <c r="T19" s="123">
        <f t="shared" si="23"/>
        <v>0</v>
      </c>
      <c r="U19" s="123">
        <f t="shared" si="23"/>
        <v>0</v>
      </c>
      <c r="V19" s="123">
        <f t="shared" si="23"/>
        <v>0</v>
      </c>
      <c r="W19" s="123">
        <f t="shared" si="23"/>
        <v>0</v>
      </c>
      <c r="X19" s="123">
        <f t="shared" si="23"/>
        <v>0</v>
      </c>
      <c r="Y19" s="123">
        <f t="shared" si="23"/>
        <v>0</v>
      </c>
      <c r="Z19" s="123">
        <f t="shared" si="23"/>
        <v>0</v>
      </c>
      <c r="AA19" s="123">
        <f t="shared" si="23"/>
        <v>0</v>
      </c>
      <c r="AB19" s="123">
        <f t="shared" si="23"/>
        <v>0</v>
      </c>
      <c r="AC19" s="123">
        <f t="shared" si="23"/>
        <v>0</v>
      </c>
      <c r="AD19" s="123">
        <f t="shared" si="23"/>
        <v>0</v>
      </c>
      <c r="AE19" s="123">
        <f t="shared" si="23"/>
        <v>0</v>
      </c>
      <c r="AF19" s="123">
        <f t="shared" si="23"/>
        <v>0</v>
      </c>
      <c r="AG19" s="123">
        <f t="shared" si="23"/>
        <v>0</v>
      </c>
      <c r="AH19" s="123">
        <f t="shared" si="23"/>
        <v>0</v>
      </c>
      <c r="AI19" s="123">
        <f t="shared" si="23"/>
        <v>0</v>
      </c>
      <c r="AJ19" s="123">
        <f t="shared" si="23"/>
        <v>0</v>
      </c>
      <c r="AK19" s="123">
        <f t="shared" si="23"/>
        <v>0</v>
      </c>
      <c r="AL19" s="123">
        <f t="shared" si="23"/>
        <v>0</v>
      </c>
      <c r="AM19" s="123">
        <f t="shared" si="23"/>
        <v>0</v>
      </c>
      <c r="AN19" s="123">
        <f t="shared" si="23"/>
        <v>0</v>
      </c>
      <c r="AO19" s="123">
        <f t="shared" si="23"/>
        <v>0</v>
      </c>
      <c r="AP19" s="123">
        <f t="shared" si="23"/>
        <v>0</v>
      </c>
      <c r="AQ19" s="123">
        <f t="shared" si="23"/>
        <v>0</v>
      </c>
      <c r="AR19" s="123">
        <f t="shared" si="23"/>
        <v>0</v>
      </c>
      <c r="AS19" s="123">
        <f t="shared" si="23"/>
        <v>0</v>
      </c>
      <c r="AT19" s="123">
        <f t="shared" si="23"/>
        <v>0</v>
      </c>
      <c r="AU19" s="123">
        <f t="shared" si="23"/>
        <v>0</v>
      </c>
      <c r="AV19" s="123">
        <f t="shared" si="23"/>
        <v>0</v>
      </c>
      <c r="AW19" s="123">
        <f t="shared" si="23"/>
        <v>0</v>
      </c>
      <c r="AX19" s="101"/>
      <c r="AY19" s="101"/>
      <c r="AZ19" s="101"/>
    </row>
    <row r="20" spans="1:52" ht="38.25" x14ac:dyDescent="0.2">
      <c r="A20" s="45" t="s">
        <v>145</v>
      </c>
      <c r="B20" s="45" t="s">
        <v>146</v>
      </c>
      <c r="C20" s="46" t="s">
        <v>147</v>
      </c>
      <c r="D20" s="46">
        <f>H20</f>
        <v>8</v>
      </c>
      <c r="E20" s="46"/>
      <c r="F20" s="356">
        <f t="shared" si="1"/>
        <v>0</v>
      </c>
      <c r="G20" s="161"/>
      <c r="H20" s="178">
        <f>SUM(K20:AU20)-I20</f>
        <v>8</v>
      </c>
      <c r="I20" s="315"/>
      <c r="J20" s="314" t="s">
        <v>1353</v>
      </c>
      <c r="K20" s="123">
        <f t="shared" ref="K20:AW20" si="24">IF(K$4&gt;10,10,K$4)</f>
        <v>8</v>
      </c>
      <c r="L20" s="123">
        <f t="shared" si="24"/>
        <v>0</v>
      </c>
      <c r="M20" s="123">
        <f t="shared" si="24"/>
        <v>0</v>
      </c>
      <c r="N20" s="123">
        <f t="shared" si="24"/>
        <v>0</v>
      </c>
      <c r="O20" s="123">
        <f t="shared" si="24"/>
        <v>0</v>
      </c>
      <c r="P20" s="123">
        <f t="shared" si="24"/>
        <v>0</v>
      </c>
      <c r="Q20" s="123">
        <f t="shared" si="24"/>
        <v>0</v>
      </c>
      <c r="R20" s="123">
        <f t="shared" si="24"/>
        <v>0</v>
      </c>
      <c r="S20" s="123">
        <f t="shared" si="24"/>
        <v>0</v>
      </c>
      <c r="T20" s="123">
        <f t="shared" si="24"/>
        <v>0</v>
      </c>
      <c r="U20" s="123">
        <f t="shared" si="24"/>
        <v>0</v>
      </c>
      <c r="V20" s="123">
        <f t="shared" si="24"/>
        <v>0</v>
      </c>
      <c r="W20" s="123">
        <f t="shared" si="24"/>
        <v>0</v>
      </c>
      <c r="X20" s="123">
        <f t="shared" si="24"/>
        <v>0</v>
      </c>
      <c r="Y20" s="123">
        <f t="shared" si="24"/>
        <v>0</v>
      </c>
      <c r="Z20" s="123">
        <f t="shared" si="24"/>
        <v>0</v>
      </c>
      <c r="AA20" s="123">
        <f t="shared" si="24"/>
        <v>0</v>
      </c>
      <c r="AB20" s="123">
        <f t="shared" si="24"/>
        <v>0</v>
      </c>
      <c r="AC20" s="123">
        <f t="shared" si="24"/>
        <v>0</v>
      </c>
      <c r="AD20" s="123">
        <f t="shared" si="24"/>
        <v>0</v>
      </c>
      <c r="AE20" s="123">
        <f t="shared" si="24"/>
        <v>0</v>
      </c>
      <c r="AF20" s="123">
        <f t="shared" si="24"/>
        <v>0</v>
      </c>
      <c r="AG20" s="123">
        <f t="shared" si="24"/>
        <v>0</v>
      </c>
      <c r="AH20" s="123">
        <f t="shared" si="24"/>
        <v>0</v>
      </c>
      <c r="AI20" s="123">
        <f t="shared" si="24"/>
        <v>0</v>
      </c>
      <c r="AJ20" s="123">
        <f t="shared" si="24"/>
        <v>0</v>
      </c>
      <c r="AK20" s="123">
        <f t="shared" si="24"/>
        <v>0</v>
      </c>
      <c r="AL20" s="123">
        <f t="shared" si="24"/>
        <v>0</v>
      </c>
      <c r="AM20" s="123">
        <f t="shared" si="24"/>
        <v>0</v>
      </c>
      <c r="AN20" s="123">
        <f t="shared" si="24"/>
        <v>0</v>
      </c>
      <c r="AO20" s="123">
        <f t="shared" si="24"/>
        <v>0</v>
      </c>
      <c r="AP20" s="123">
        <f t="shared" si="24"/>
        <v>0</v>
      </c>
      <c r="AQ20" s="123">
        <f t="shared" si="24"/>
        <v>0</v>
      </c>
      <c r="AR20" s="123">
        <f t="shared" si="24"/>
        <v>0</v>
      </c>
      <c r="AS20" s="123">
        <f t="shared" si="24"/>
        <v>0</v>
      </c>
      <c r="AT20" s="123">
        <f t="shared" si="24"/>
        <v>0</v>
      </c>
      <c r="AU20" s="123">
        <f t="shared" si="24"/>
        <v>0</v>
      </c>
      <c r="AV20" s="123">
        <f t="shared" si="24"/>
        <v>0</v>
      </c>
      <c r="AW20" s="123">
        <f t="shared" si="24"/>
        <v>0</v>
      </c>
      <c r="AX20" s="101"/>
      <c r="AY20" s="102"/>
    </row>
    <row r="21" spans="1:52" ht="25.5" x14ac:dyDescent="0.2">
      <c r="A21" s="45" t="s">
        <v>148</v>
      </c>
      <c r="B21" s="45" t="s">
        <v>149</v>
      </c>
      <c r="C21" s="46" t="s">
        <v>147</v>
      </c>
      <c r="D21" s="46">
        <f>H21</f>
        <v>0</v>
      </c>
      <c r="E21" s="173"/>
      <c r="F21" s="356">
        <f t="shared" si="1"/>
        <v>0</v>
      </c>
      <c r="G21" s="161"/>
      <c r="H21" s="178">
        <f>SUM(K21:AU21)</f>
        <v>0</v>
      </c>
      <c r="I21" s="139"/>
      <c r="J21" s="126"/>
      <c r="K21" s="123">
        <f t="shared" ref="K21:AW21" si="25">IF(K$4&gt;20,10,IF(K$4&gt;10,K$4-10,0))</f>
        <v>0</v>
      </c>
      <c r="L21" s="123">
        <f t="shared" si="25"/>
        <v>0</v>
      </c>
      <c r="M21" s="123">
        <f t="shared" si="25"/>
        <v>0</v>
      </c>
      <c r="N21" s="123">
        <f t="shared" si="25"/>
        <v>0</v>
      </c>
      <c r="O21" s="123">
        <f t="shared" si="25"/>
        <v>0</v>
      </c>
      <c r="P21" s="123">
        <f t="shared" si="25"/>
        <v>0</v>
      </c>
      <c r="Q21" s="123">
        <f t="shared" si="25"/>
        <v>0</v>
      </c>
      <c r="R21" s="123">
        <f t="shared" si="25"/>
        <v>0</v>
      </c>
      <c r="S21" s="123">
        <f t="shared" si="25"/>
        <v>0</v>
      </c>
      <c r="T21" s="123">
        <f t="shared" si="25"/>
        <v>0</v>
      </c>
      <c r="U21" s="123">
        <f t="shared" si="25"/>
        <v>0</v>
      </c>
      <c r="V21" s="123">
        <f t="shared" si="25"/>
        <v>0</v>
      </c>
      <c r="W21" s="123">
        <f t="shared" si="25"/>
        <v>0</v>
      </c>
      <c r="X21" s="123">
        <f t="shared" si="25"/>
        <v>0</v>
      </c>
      <c r="Y21" s="123">
        <f t="shared" si="25"/>
        <v>0</v>
      </c>
      <c r="Z21" s="123">
        <f t="shared" si="25"/>
        <v>0</v>
      </c>
      <c r="AA21" s="123">
        <f t="shared" si="25"/>
        <v>0</v>
      </c>
      <c r="AB21" s="123">
        <f t="shared" si="25"/>
        <v>0</v>
      </c>
      <c r="AC21" s="123">
        <f t="shared" si="25"/>
        <v>0</v>
      </c>
      <c r="AD21" s="123">
        <f t="shared" si="25"/>
        <v>0</v>
      </c>
      <c r="AE21" s="123">
        <f t="shared" si="25"/>
        <v>0</v>
      </c>
      <c r="AF21" s="123">
        <f t="shared" si="25"/>
        <v>0</v>
      </c>
      <c r="AG21" s="123">
        <f t="shared" si="25"/>
        <v>0</v>
      </c>
      <c r="AH21" s="123">
        <f t="shared" si="25"/>
        <v>0</v>
      </c>
      <c r="AI21" s="123">
        <f t="shared" si="25"/>
        <v>0</v>
      </c>
      <c r="AJ21" s="123">
        <f t="shared" si="25"/>
        <v>0</v>
      </c>
      <c r="AK21" s="123">
        <f t="shared" si="25"/>
        <v>0</v>
      </c>
      <c r="AL21" s="123">
        <f t="shared" si="25"/>
        <v>0</v>
      </c>
      <c r="AM21" s="123">
        <f t="shared" si="25"/>
        <v>0</v>
      </c>
      <c r="AN21" s="123">
        <f t="shared" si="25"/>
        <v>0</v>
      </c>
      <c r="AO21" s="123">
        <f t="shared" si="25"/>
        <v>0</v>
      </c>
      <c r="AP21" s="123">
        <f t="shared" si="25"/>
        <v>0</v>
      </c>
      <c r="AQ21" s="123">
        <f t="shared" si="25"/>
        <v>0</v>
      </c>
      <c r="AR21" s="123">
        <f t="shared" si="25"/>
        <v>0</v>
      </c>
      <c r="AS21" s="123">
        <f t="shared" si="25"/>
        <v>0</v>
      </c>
      <c r="AT21" s="123">
        <f t="shared" si="25"/>
        <v>0</v>
      </c>
      <c r="AU21" s="123">
        <f t="shared" si="25"/>
        <v>0</v>
      </c>
      <c r="AV21" s="123">
        <f t="shared" si="25"/>
        <v>0</v>
      </c>
      <c r="AW21" s="123">
        <f t="shared" si="25"/>
        <v>0</v>
      </c>
      <c r="AX21" s="101"/>
      <c r="AY21" s="102"/>
    </row>
    <row r="22" spans="1:52" ht="25.5" x14ac:dyDescent="0.2">
      <c r="A22" s="45" t="s">
        <v>150</v>
      </c>
      <c r="B22" s="45" t="s">
        <v>151</v>
      </c>
      <c r="C22" s="46" t="s">
        <v>147</v>
      </c>
      <c r="D22" s="46" t="s">
        <v>724</v>
      </c>
      <c r="E22" s="173" t="s">
        <v>1167</v>
      </c>
      <c r="F22" s="356" t="str">
        <f t="shared" si="1"/>
        <v>-</v>
      </c>
      <c r="G22" s="161"/>
      <c r="H22" s="178">
        <f t="shared" ref="H22:H38" si="26">SUM(K22:AU22)</f>
        <v>0</v>
      </c>
      <c r="I22" s="139"/>
      <c r="J22" s="126"/>
      <c r="K22" s="123">
        <f t="shared" ref="K22:AW22" si="27">IF(K$4&gt;30,10,IF(K$4&gt;20,K$4-20,0))</f>
        <v>0</v>
      </c>
      <c r="L22" s="123">
        <f t="shared" si="27"/>
        <v>0</v>
      </c>
      <c r="M22" s="123">
        <f t="shared" si="27"/>
        <v>0</v>
      </c>
      <c r="N22" s="123">
        <f t="shared" si="27"/>
        <v>0</v>
      </c>
      <c r="O22" s="123">
        <f t="shared" si="27"/>
        <v>0</v>
      </c>
      <c r="P22" s="123">
        <f t="shared" si="27"/>
        <v>0</v>
      </c>
      <c r="Q22" s="123">
        <f t="shared" si="27"/>
        <v>0</v>
      </c>
      <c r="R22" s="123">
        <f t="shared" si="27"/>
        <v>0</v>
      </c>
      <c r="S22" s="123">
        <f t="shared" si="27"/>
        <v>0</v>
      </c>
      <c r="T22" s="123">
        <f t="shared" si="27"/>
        <v>0</v>
      </c>
      <c r="U22" s="123">
        <f t="shared" si="27"/>
        <v>0</v>
      </c>
      <c r="V22" s="123">
        <f t="shared" si="27"/>
        <v>0</v>
      </c>
      <c r="W22" s="123">
        <f t="shared" si="27"/>
        <v>0</v>
      </c>
      <c r="X22" s="123">
        <f t="shared" si="27"/>
        <v>0</v>
      </c>
      <c r="Y22" s="123">
        <f t="shared" si="27"/>
        <v>0</v>
      </c>
      <c r="Z22" s="123">
        <f t="shared" si="27"/>
        <v>0</v>
      </c>
      <c r="AA22" s="123">
        <f t="shared" si="27"/>
        <v>0</v>
      </c>
      <c r="AB22" s="123">
        <f t="shared" si="27"/>
        <v>0</v>
      </c>
      <c r="AC22" s="123">
        <f t="shared" si="27"/>
        <v>0</v>
      </c>
      <c r="AD22" s="123">
        <f t="shared" si="27"/>
        <v>0</v>
      </c>
      <c r="AE22" s="123">
        <f t="shared" si="27"/>
        <v>0</v>
      </c>
      <c r="AF22" s="123">
        <f t="shared" si="27"/>
        <v>0</v>
      </c>
      <c r="AG22" s="123">
        <f t="shared" si="27"/>
        <v>0</v>
      </c>
      <c r="AH22" s="123">
        <f t="shared" si="27"/>
        <v>0</v>
      </c>
      <c r="AI22" s="123">
        <f t="shared" si="27"/>
        <v>0</v>
      </c>
      <c r="AJ22" s="123">
        <f t="shared" si="27"/>
        <v>0</v>
      </c>
      <c r="AK22" s="123">
        <f t="shared" si="27"/>
        <v>0</v>
      </c>
      <c r="AL22" s="123">
        <f t="shared" si="27"/>
        <v>0</v>
      </c>
      <c r="AM22" s="123">
        <f t="shared" si="27"/>
        <v>0</v>
      </c>
      <c r="AN22" s="123">
        <f t="shared" si="27"/>
        <v>0</v>
      </c>
      <c r="AO22" s="123">
        <f t="shared" si="27"/>
        <v>0</v>
      </c>
      <c r="AP22" s="123">
        <f t="shared" si="27"/>
        <v>0</v>
      </c>
      <c r="AQ22" s="123">
        <f t="shared" si="27"/>
        <v>0</v>
      </c>
      <c r="AR22" s="123">
        <f t="shared" si="27"/>
        <v>0</v>
      </c>
      <c r="AS22" s="123">
        <f t="shared" si="27"/>
        <v>0</v>
      </c>
      <c r="AT22" s="123">
        <f t="shared" si="27"/>
        <v>0</v>
      </c>
      <c r="AU22" s="123">
        <f t="shared" si="27"/>
        <v>0</v>
      </c>
      <c r="AV22" s="123">
        <f t="shared" si="27"/>
        <v>0</v>
      </c>
      <c r="AW22" s="123">
        <f t="shared" si="27"/>
        <v>0</v>
      </c>
      <c r="AX22" s="101"/>
      <c r="AY22" s="102"/>
    </row>
    <row r="23" spans="1:52" ht="25.5" x14ac:dyDescent="0.2">
      <c r="A23" s="45" t="s">
        <v>152</v>
      </c>
      <c r="B23" s="45" t="s">
        <v>153</v>
      </c>
      <c r="C23" s="46" t="s">
        <v>147</v>
      </c>
      <c r="D23" s="46" t="s">
        <v>724</v>
      </c>
      <c r="E23" s="173" t="s">
        <v>1167</v>
      </c>
      <c r="F23" s="356" t="str">
        <f t="shared" si="1"/>
        <v>-</v>
      </c>
      <c r="G23" s="161"/>
      <c r="H23" s="178">
        <f t="shared" si="26"/>
        <v>0</v>
      </c>
      <c r="I23" s="139"/>
      <c r="J23" s="126"/>
      <c r="K23" s="123">
        <f t="shared" ref="K23:AW23" si="28">IF(K$4&gt;40,10,IF(K$4&gt;30,K$4-30,0))</f>
        <v>0</v>
      </c>
      <c r="L23" s="123">
        <f t="shared" si="28"/>
        <v>0</v>
      </c>
      <c r="M23" s="123">
        <f t="shared" si="28"/>
        <v>0</v>
      </c>
      <c r="N23" s="123">
        <f t="shared" si="28"/>
        <v>0</v>
      </c>
      <c r="O23" s="123">
        <f t="shared" si="28"/>
        <v>0</v>
      </c>
      <c r="P23" s="123">
        <f t="shared" si="28"/>
        <v>0</v>
      </c>
      <c r="Q23" s="123">
        <f t="shared" si="28"/>
        <v>0</v>
      </c>
      <c r="R23" s="123">
        <f t="shared" si="28"/>
        <v>0</v>
      </c>
      <c r="S23" s="123">
        <f t="shared" si="28"/>
        <v>0</v>
      </c>
      <c r="T23" s="123">
        <f t="shared" si="28"/>
        <v>0</v>
      </c>
      <c r="U23" s="123">
        <f t="shared" si="28"/>
        <v>0</v>
      </c>
      <c r="V23" s="123">
        <f t="shared" si="28"/>
        <v>0</v>
      </c>
      <c r="W23" s="123">
        <f t="shared" si="28"/>
        <v>0</v>
      </c>
      <c r="X23" s="123">
        <f t="shared" si="28"/>
        <v>0</v>
      </c>
      <c r="Y23" s="123">
        <f t="shared" si="28"/>
        <v>0</v>
      </c>
      <c r="Z23" s="123">
        <f t="shared" si="28"/>
        <v>0</v>
      </c>
      <c r="AA23" s="123">
        <f t="shared" si="28"/>
        <v>0</v>
      </c>
      <c r="AB23" s="123">
        <f t="shared" si="28"/>
        <v>0</v>
      </c>
      <c r="AC23" s="123">
        <f t="shared" si="28"/>
        <v>0</v>
      </c>
      <c r="AD23" s="123">
        <f t="shared" si="28"/>
        <v>0</v>
      </c>
      <c r="AE23" s="123">
        <f t="shared" si="28"/>
        <v>0</v>
      </c>
      <c r="AF23" s="123">
        <f t="shared" si="28"/>
        <v>0</v>
      </c>
      <c r="AG23" s="123">
        <f t="shared" si="28"/>
        <v>0</v>
      </c>
      <c r="AH23" s="123">
        <f t="shared" si="28"/>
        <v>0</v>
      </c>
      <c r="AI23" s="123">
        <f t="shared" si="28"/>
        <v>0</v>
      </c>
      <c r="AJ23" s="123">
        <f t="shared" si="28"/>
        <v>0</v>
      </c>
      <c r="AK23" s="123">
        <f t="shared" si="28"/>
        <v>0</v>
      </c>
      <c r="AL23" s="123">
        <f t="shared" si="28"/>
        <v>0</v>
      </c>
      <c r="AM23" s="123">
        <f t="shared" si="28"/>
        <v>0</v>
      </c>
      <c r="AN23" s="123">
        <f t="shared" si="28"/>
        <v>0</v>
      </c>
      <c r="AO23" s="123">
        <f t="shared" si="28"/>
        <v>0</v>
      </c>
      <c r="AP23" s="123">
        <f t="shared" si="28"/>
        <v>0</v>
      </c>
      <c r="AQ23" s="123">
        <f t="shared" si="28"/>
        <v>0</v>
      </c>
      <c r="AR23" s="123">
        <f t="shared" si="28"/>
        <v>0</v>
      </c>
      <c r="AS23" s="123">
        <f t="shared" si="28"/>
        <v>0</v>
      </c>
      <c r="AT23" s="123">
        <f t="shared" si="28"/>
        <v>0</v>
      </c>
      <c r="AU23" s="123">
        <f t="shared" si="28"/>
        <v>0</v>
      </c>
      <c r="AV23" s="123">
        <f t="shared" si="28"/>
        <v>0</v>
      </c>
      <c r="AW23" s="123">
        <f t="shared" si="28"/>
        <v>0</v>
      </c>
      <c r="AX23" s="101"/>
      <c r="AY23" s="102"/>
    </row>
    <row r="24" spans="1:52" ht="25.5" x14ac:dyDescent="0.2">
      <c r="A24" s="45" t="s">
        <v>154</v>
      </c>
      <c r="B24" s="45" t="s">
        <v>155</v>
      </c>
      <c r="C24" s="46" t="s">
        <v>147</v>
      </c>
      <c r="D24" s="46" t="s">
        <v>724</v>
      </c>
      <c r="E24" s="173" t="s">
        <v>1167</v>
      </c>
      <c r="F24" s="356" t="str">
        <f t="shared" si="1"/>
        <v>-</v>
      </c>
      <c r="G24" s="162"/>
      <c r="H24" s="178">
        <f t="shared" si="26"/>
        <v>0</v>
      </c>
      <c r="I24" s="143"/>
      <c r="J24" s="126"/>
      <c r="K24" s="123">
        <f t="shared" ref="K24:AW24" si="29">IF(K$4&gt;50,10,IF(K$4&gt;40,K$4-40,0))</f>
        <v>0</v>
      </c>
      <c r="L24" s="123">
        <f t="shared" si="29"/>
        <v>0</v>
      </c>
      <c r="M24" s="123">
        <f t="shared" si="29"/>
        <v>0</v>
      </c>
      <c r="N24" s="123">
        <f t="shared" si="29"/>
        <v>0</v>
      </c>
      <c r="O24" s="123">
        <f t="shared" si="29"/>
        <v>0</v>
      </c>
      <c r="P24" s="123">
        <f t="shared" si="29"/>
        <v>0</v>
      </c>
      <c r="Q24" s="123">
        <f t="shared" si="29"/>
        <v>0</v>
      </c>
      <c r="R24" s="123">
        <f t="shared" si="29"/>
        <v>0</v>
      </c>
      <c r="S24" s="123">
        <f t="shared" si="29"/>
        <v>0</v>
      </c>
      <c r="T24" s="123">
        <f t="shared" si="29"/>
        <v>0</v>
      </c>
      <c r="U24" s="123">
        <f t="shared" si="29"/>
        <v>0</v>
      </c>
      <c r="V24" s="123">
        <f t="shared" si="29"/>
        <v>0</v>
      </c>
      <c r="W24" s="123">
        <f t="shared" si="29"/>
        <v>0</v>
      </c>
      <c r="X24" s="123">
        <f t="shared" si="29"/>
        <v>0</v>
      </c>
      <c r="Y24" s="123">
        <f t="shared" si="29"/>
        <v>0</v>
      </c>
      <c r="Z24" s="123">
        <f t="shared" si="29"/>
        <v>0</v>
      </c>
      <c r="AA24" s="123">
        <f t="shared" si="29"/>
        <v>0</v>
      </c>
      <c r="AB24" s="123">
        <f t="shared" si="29"/>
        <v>0</v>
      </c>
      <c r="AC24" s="123">
        <f t="shared" si="29"/>
        <v>0</v>
      </c>
      <c r="AD24" s="123">
        <f t="shared" si="29"/>
        <v>0</v>
      </c>
      <c r="AE24" s="123">
        <f t="shared" si="29"/>
        <v>0</v>
      </c>
      <c r="AF24" s="123">
        <f t="shared" si="29"/>
        <v>0</v>
      </c>
      <c r="AG24" s="123">
        <f t="shared" si="29"/>
        <v>0</v>
      </c>
      <c r="AH24" s="123">
        <f t="shared" si="29"/>
        <v>0</v>
      </c>
      <c r="AI24" s="123">
        <f t="shared" si="29"/>
        <v>0</v>
      </c>
      <c r="AJ24" s="123">
        <f t="shared" si="29"/>
        <v>0</v>
      </c>
      <c r="AK24" s="123">
        <f t="shared" si="29"/>
        <v>0</v>
      </c>
      <c r="AL24" s="123">
        <f t="shared" si="29"/>
        <v>0</v>
      </c>
      <c r="AM24" s="123">
        <f t="shared" si="29"/>
        <v>0</v>
      </c>
      <c r="AN24" s="123">
        <f t="shared" si="29"/>
        <v>0</v>
      </c>
      <c r="AO24" s="123">
        <f t="shared" si="29"/>
        <v>0</v>
      </c>
      <c r="AP24" s="123">
        <f t="shared" si="29"/>
        <v>0</v>
      </c>
      <c r="AQ24" s="123">
        <f t="shared" si="29"/>
        <v>0</v>
      </c>
      <c r="AR24" s="123">
        <f t="shared" si="29"/>
        <v>0</v>
      </c>
      <c r="AS24" s="123">
        <f t="shared" si="29"/>
        <v>0</v>
      </c>
      <c r="AT24" s="123">
        <f t="shared" si="29"/>
        <v>0</v>
      </c>
      <c r="AU24" s="123">
        <f t="shared" si="29"/>
        <v>0</v>
      </c>
      <c r="AV24" s="123">
        <f t="shared" si="29"/>
        <v>0</v>
      </c>
      <c r="AW24" s="123">
        <f t="shared" si="29"/>
        <v>0</v>
      </c>
      <c r="AX24" s="101"/>
      <c r="AY24" s="102"/>
    </row>
    <row r="25" spans="1:52" ht="25.5" x14ac:dyDescent="0.2">
      <c r="A25" s="45" t="s">
        <v>156</v>
      </c>
      <c r="B25" s="45" t="s">
        <v>157</v>
      </c>
      <c r="C25" s="46" t="s">
        <v>158</v>
      </c>
      <c r="D25" s="46">
        <f>H25</f>
        <v>2</v>
      </c>
      <c r="E25" s="46"/>
      <c r="F25" s="356">
        <f t="shared" si="1"/>
        <v>0</v>
      </c>
      <c r="G25" s="161"/>
      <c r="H25" s="178">
        <f t="shared" si="26"/>
        <v>2</v>
      </c>
      <c r="I25" s="142">
        <v>2</v>
      </c>
      <c r="J25" s="128" t="s">
        <v>1175</v>
      </c>
      <c r="K25" s="123">
        <f t="shared" ref="K25:AW25" si="30">MAX(K$11:K$13)*$I25</f>
        <v>2</v>
      </c>
      <c r="L25" s="123">
        <f t="shared" si="30"/>
        <v>0</v>
      </c>
      <c r="M25" s="123">
        <f t="shared" si="30"/>
        <v>0</v>
      </c>
      <c r="N25" s="123">
        <f t="shared" si="30"/>
        <v>0</v>
      </c>
      <c r="O25" s="123">
        <f t="shared" si="30"/>
        <v>0</v>
      </c>
      <c r="P25" s="123">
        <f t="shared" si="30"/>
        <v>0</v>
      </c>
      <c r="Q25" s="123">
        <f t="shared" si="30"/>
        <v>0</v>
      </c>
      <c r="R25" s="123">
        <f t="shared" si="30"/>
        <v>0</v>
      </c>
      <c r="S25" s="123">
        <f t="shared" si="30"/>
        <v>0</v>
      </c>
      <c r="T25" s="123">
        <f t="shared" si="30"/>
        <v>0</v>
      </c>
      <c r="U25" s="123">
        <f t="shared" si="30"/>
        <v>0</v>
      </c>
      <c r="V25" s="123">
        <f t="shared" si="30"/>
        <v>0</v>
      </c>
      <c r="W25" s="123">
        <f t="shared" si="30"/>
        <v>0</v>
      </c>
      <c r="X25" s="123">
        <f t="shared" si="30"/>
        <v>0</v>
      </c>
      <c r="Y25" s="123">
        <f t="shared" si="30"/>
        <v>0</v>
      </c>
      <c r="Z25" s="123">
        <f t="shared" si="30"/>
        <v>0</v>
      </c>
      <c r="AA25" s="123">
        <f t="shared" si="30"/>
        <v>0</v>
      </c>
      <c r="AB25" s="123">
        <f t="shared" si="30"/>
        <v>0</v>
      </c>
      <c r="AC25" s="123">
        <f t="shared" si="30"/>
        <v>0</v>
      </c>
      <c r="AD25" s="123">
        <f t="shared" si="30"/>
        <v>0</v>
      </c>
      <c r="AE25" s="123">
        <f t="shared" si="30"/>
        <v>0</v>
      </c>
      <c r="AF25" s="123">
        <f t="shared" si="30"/>
        <v>0</v>
      </c>
      <c r="AG25" s="123">
        <f t="shared" si="30"/>
        <v>0</v>
      </c>
      <c r="AH25" s="123">
        <f t="shared" si="30"/>
        <v>0</v>
      </c>
      <c r="AI25" s="123">
        <f t="shared" si="30"/>
        <v>0</v>
      </c>
      <c r="AJ25" s="123">
        <f t="shared" si="30"/>
        <v>0</v>
      </c>
      <c r="AK25" s="123">
        <f t="shared" si="30"/>
        <v>0</v>
      </c>
      <c r="AL25" s="123">
        <f t="shared" si="30"/>
        <v>0</v>
      </c>
      <c r="AM25" s="123">
        <f t="shared" si="30"/>
        <v>0</v>
      </c>
      <c r="AN25" s="123">
        <f t="shared" si="30"/>
        <v>0</v>
      </c>
      <c r="AO25" s="123">
        <f t="shared" si="30"/>
        <v>0</v>
      </c>
      <c r="AP25" s="123">
        <f t="shared" si="30"/>
        <v>0</v>
      </c>
      <c r="AQ25" s="123">
        <f t="shared" si="30"/>
        <v>0</v>
      </c>
      <c r="AR25" s="123">
        <f t="shared" si="30"/>
        <v>0</v>
      </c>
      <c r="AS25" s="123">
        <f t="shared" si="30"/>
        <v>0</v>
      </c>
      <c r="AT25" s="123">
        <f t="shared" si="30"/>
        <v>0</v>
      </c>
      <c r="AU25" s="123">
        <f t="shared" si="30"/>
        <v>0</v>
      </c>
      <c r="AV25" s="123">
        <f t="shared" si="30"/>
        <v>0</v>
      </c>
      <c r="AW25" s="123">
        <f t="shared" si="30"/>
        <v>0</v>
      </c>
      <c r="AX25" s="101"/>
      <c r="AY25" s="102"/>
    </row>
    <row r="26" spans="1:52" ht="51" x14ac:dyDescent="0.2">
      <c r="A26" s="45" t="s">
        <v>159</v>
      </c>
      <c r="B26" s="45" t="s">
        <v>160</v>
      </c>
      <c r="C26" s="46" t="s">
        <v>68</v>
      </c>
      <c r="D26" s="46" t="s">
        <v>724</v>
      </c>
      <c r="E26" s="173" t="s">
        <v>1167</v>
      </c>
      <c r="F26" s="356" t="str">
        <f t="shared" si="1"/>
        <v>-</v>
      </c>
      <c r="G26" s="161"/>
      <c r="H26" s="178">
        <f t="shared" si="26"/>
        <v>0</v>
      </c>
      <c r="I26" s="139"/>
      <c r="J26" s="126"/>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01"/>
      <c r="AY26" s="102"/>
    </row>
    <row r="27" spans="1:52" ht="38.25" x14ac:dyDescent="0.2">
      <c r="A27" s="45" t="s">
        <v>161</v>
      </c>
      <c r="B27" s="45" t="s">
        <v>162</v>
      </c>
      <c r="C27" s="46" t="s">
        <v>163</v>
      </c>
      <c r="D27" s="46">
        <f>ROUNDUP(H27,0)</f>
        <v>1</v>
      </c>
      <c r="E27" s="46"/>
      <c r="F27" s="356">
        <f t="shared" si="1"/>
        <v>0</v>
      </c>
      <c r="G27" s="161"/>
      <c r="H27" s="178">
        <f t="shared" si="26"/>
        <v>0.25132741228718347</v>
      </c>
      <c r="I27" s="142">
        <v>0.2</v>
      </c>
      <c r="J27" s="128" t="s">
        <v>1176</v>
      </c>
      <c r="K27" s="123">
        <f>(PI()*$I27^2)/4*K$4</f>
        <v>0.25132741228718347</v>
      </c>
      <c r="L27" s="123">
        <f t="shared" ref="L27:AW27" si="31">(PI()*$I27^2)/4*L$4</f>
        <v>0</v>
      </c>
      <c r="M27" s="123">
        <f t="shared" si="31"/>
        <v>0</v>
      </c>
      <c r="N27" s="123">
        <f t="shared" si="31"/>
        <v>0</v>
      </c>
      <c r="O27" s="123">
        <f t="shared" si="31"/>
        <v>0</v>
      </c>
      <c r="P27" s="123">
        <f t="shared" si="31"/>
        <v>0</v>
      </c>
      <c r="Q27" s="123">
        <f t="shared" si="31"/>
        <v>0</v>
      </c>
      <c r="R27" s="123">
        <f t="shared" si="31"/>
        <v>0</v>
      </c>
      <c r="S27" s="123">
        <f t="shared" si="31"/>
        <v>0</v>
      </c>
      <c r="T27" s="123">
        <f t="shared" si="31"/>
        <v>0</v>
      </c>
      <c r="U27" s="123">
        <f t="shared" si="31"/>
        <v>0</v>
      </c>
      <c r="V27" s="123">
        <f t="shared" si="31"/>
        <v>0</v>
      </c>
      <c r="W27" s="123">
        <f t="shared" si="31"/>
        <v>0</v>
      </c>
      <c r="X27" s="123">
        <f t="shared" si="31"/>
        <v>0</v>
      </c>
      <c r="Y27" s="123">
        <f t="shared" si="31"/>
        <v>0</v>
      </c>
      <c r="Z27" s="123">
        <f t="shared" si="31"/>
        <v>0</v>
      </c>
      <c r="AA27" s="123">
        <f t="shared" si="31"/>
        <v>0</v>
      </c>
      <c r="AB27" s="123">
        <f t="shared" si="31"/>
        <v>0</v>
      </c>
      <c r="AC27" s="123">
        <f t="shared" si="31"/>
        <v>0</v>
      </c>
      <c r="AD27" s="123">
        <f t="shared" si="31"/>
        <v>0</v>
      </c>
      <c r="AE27" s="123">
        <f t="shared" si="31"/>
        <v>0</v>
      </c>
      <c r="AF27" s="123">
        <f t="shared" si="31"/>
        <v>0</v>
      </c>
      <c r="AG27" s="123">
        <f t="shared" si="31"/>
        <v>0</v>
      </c>
      <c r="AH27" s="123">
        <f t="shared" si="31"/>
        <v>0</v>
      </c>
      <c r="AI27" s="123">
        <f t="shared" si="31"/>
        <v>0</v>
      </c>
      <c r="AJ27" s="123">
        <f t="shared" si="31"/>
        <v>0</v>
      </c>
      <c r="AK27" s="123">
        <f t="shared" si="31"/>
        <v>0</v>
      </c>
      <c r="AL27" s="123">
        <f t="shared" si="31"/>
        <v>0</v>
      </c>
      <c r="AM27" s="123">
        <f t="shared" si="31"/>
        <v>0</v>
      </c>
      <c r="AN27" s="123">
        <f t="shared" si="31"/>
        <v>0</v>
      </c>
      <c r="AO27" s="123">
        <f t="shared" si="31"/>
        <v>0</v>
      </c>
      <c r="AP27" s="123">
        <f t="shared" si="31"/>
        <v>0</v>
      </c>
      <c r="AQ27" s="123">
        <f t="shared" si="31"/>
        <v>0</v>
      </c>
      <c r="AR27" s="123">
        <f t="shared" si="31"/>
        <v>0</v>
      </c>
      <c r="AS27" s="123">
        <f t="shared" si="31"/>
        <v>0</v>
      </c>
      <c r="AT27" s="123">
        <f t="shared" si="31"/>
        <v>0</v>
      </c>
      <c r="AU27" s="123">
        <f t="shared" si="31"/>
        <v>0</v>
      </c>
      <c r="AV27" s="123">
        <f t="shared" si="31"/>
        <v>0</v>
      </c>
      <c r="AW27" s="123">
        <f t="shared" si="31"/>
        <v>0</v>
      </c>
      <c r="AX27" s="101"/>
      <c r="AY27" s="102"/>
    </row>
    <row r="28" spans="1:52" ht="25.5" x14ac:dyDescent="0.2">
      <c r="A28" s="45" t="s">
        <v>164</v>
      </c>
      <c r="B28" s="45" t="s">
        <v>165</v>
      </c>
      <c r="C28" s="46" t="s">
        <v>158</v>
      </c>
      <c r="D28" s="46">
        <f>ROUNDUP(H28,0)</f>
        <v>1</v>
      </c>
      <c r="E28" s="46"/>
      <c r="F28" s="356">
        <f t="shared" si="1"/>
        <v>0</v>
      </c>
      <c r="G28" s="161"/>
      <c r="H28" s="178">
        <f t="shared" si="26"/>
        <v>0.5</v>
      </c>
      <c r="I28" s="142">
        <v>0.5</v>
      </c>
      <c r="J28" s="128" t="s">
        <v>1175</v>
      </c>
      <c r="K28" s="123">
        <f t="shared" ref="K28:AW28" si="32">MAX(K$11:K$13)*$I28</f>
        <v>0.5</v>
      </c>
      <c r="L28" s="123">
        <f t="shared" si="32"/>
        <v>0</v>
      </c>
      <c r="M28" s="123">
        <f t="shared" si="32"/>
        <v>0</v>
      </c>
      <c r="N28" s="123">
        <f t="shared" si="32"/>
        <v>0</v>
      </c>
      <c r="O28" s="123">
        <f t="shared" si="32"/>
        <v>0</v>
      </c>
      <c r="P28" s="123">
        <f t="shared" si="32"/>
        <v>0</v>
      </c>
      <c r="Q28" s="123">
        <f t="shared" si="32"/>
        <v>0</v>
      </c>
      <c r="R28" s="123">
        <f t="shared" si="32"/>
        <v>0</v>
      </c>
      <c r="S28" s="123">
        <f t="shared" si="32"/>
        <v>0</v>
      </c>
      <c r="T28" s="123">
        <f t="shared" si="32"/>
        <v>0</v>
      </c>
      <c r="U28" s="123">
        <f t="shared" si="32"/>
        <v>0</v>
      </c>
      <c r="V28" s="123">
        <f t="shared" si="32"/>
        <v>0</v>
      </c>
      <c r="W28" s="123">
        <f t="shared" si="32"/>
        <v>0</v>
      </c>
      <c r="X28" s="123">
        <f t="shared" si="32"/>
        <v>0</v>
      </c>
      <c r="Y28" s="123">
        <f t="shared" si="32"/>
        <v>0</v>
      </c>
      <c r="Z28" s="123">
        <f t="shared" si="32"/>
        <v>0</v>
      </c>
      <c r="AA28" s="123">
        <f t="shared" si="32"/>
        <v>0</v>
      </c>
      <c r="AB28" s="123">
        <f t="shared" si="32"/>
        <v>0</v>
      </c>
      <c r="AC28" s="123">
        <f t="shared" si="32"/>
        <v>0</v>
      </c>
      <c r="AD28" s="123">
        <f t="shared" si="32"/>
        <v>0</v>
      </c>
      <c r="AE28" s="123">
        <f t="shared" si="32"/>
        <v>0</v>
      </c>
      <c r="AF28" s="123">
        <f t="shared" si="32"/>
        <v>0</v>
      </c>
      <c r="AG28" s="123">
        <f t="shared" si="32"/>
        <v>0</v>
      </c>
      <c r="AH28" s="123">
        <f t="shared" si="32"/>
        <v>0</v>
      </c>
      <c r="AI28" s="123">
        <f t="shared" si="32"/>
        <v>0</v>
      </c>
      <c r="AJ28" s="123">
        <f t="shared" si="32"/>
        <v>0</v>
      </c>
      <c r="AK28" s="123">
        <f t="shared" si="32"/>
        <v>0</v>
      </c>
      <c r="AL28" s="123">
        <f t="shared" si="32"/>
        <v>0</v>
      </c>
      <c r="AM28" s="123">
        <f t="shared" si="32"/>
        <v>0</v>
      </c>
      <c r="AN28" s="123">
        <f t="shared" si="32"/>
        <v>0</v>
      </c>
      <c r="AO28" s="123">
        <f t="shared" si="32"/>
        <v>0</v>
      </c>
      <c r="AP28" s="123">
        <f t="shared" si="32"/>
        <v>0</v>
      </c>
      <c r="AQ28" s="123">
        <f t="shared" si="32"/>
        <v>0</v>
      </c>
      <c r="AR28" s="123">
        <f t="shared" si="32"/>
        <v>0</v>
      </c>
      <c r="AS28" s="123">
        <f t="shared" si="32"/>
        <v>0</v>
      </c>
      <c r="AT28" s="123">
        <f t="shared" si="32"/>
        <v>0</v>
      </c>
      <c r="AU28" s="123">
        <f t="shared" si="32"/>
        <v>0</v>
      </c>
      <c r="AV28" s="123">
        <f t="shared" si="32"/>
        <v>0</v>
      </c>
      <c r="AW28" s="123">
        <f t="shared" si="32"/>
        <v>0</v>
      </c>
      <c r="AX28" s="101"/>
      <c r="AY28" s="102"/>
    </row>
    <row r="29" spans="1:52" ht="29.1" customHeight="1" x14ac:dyDescent="0.2">
      <c r="A29" s="467"/>
      <c r="B29" s="83" t="s">
        <v>166</v>
      </c>
      <c r="C29" s="46"/>
      <c r="D29" s="46"/>
      <c r="E29" s="46"/>
      <c r="F29" s="309"/>
      <c r="G29" s="161"/>
      <c r="H29" s="178">
        <f t="shared" si="26"/>
        <v>0</v>
      </c>
      <c r="I29" s="139"/>
      <c r="J29" s="126"/>
      <c r="K29" s="12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2"/>
    </row>
    <row r="30" spans="1:52" ht="38.25" x14ac:dyDescent="0.2">
      <c r="A30" s="45" t="s">
        <v>167</v>
      </c>
      <c r="B30" s="45" t="s">
        <v>168</v>
      </c>
      <c r="C30" s="46" t="s">
        <v>68</v>
      </c>
      <c r="D30" s="46" t="s">
        <v>724</v>
      </c>
      <c r="E30" s="46"/>
      <c r="F30" s="356" t="str">
        <f t="shared" ref="F30:F38" si="33">IF(ISNUMBER(SEARCH("incl",$D30)),"-",IF(ISNUMBER(SEARCH("not r",$D30)),"-",IF(ISNUMBER(SEARCH("refer",$D30)),"-",IF(C30="sum","",$D30*$E30))))</f>
        <v>-</v>
      </c>
      <c r="G30" s="161"/>
      <c r="H30" s="178">
        <f t="shared" si="26"/>
        <v>0</v>
      </c>
      <c r="I30" s="139"/>
      <c r="J30" s="126"/>
      <c r="K30" s="12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2"/>
    </row>
    <row r="31" spans="1:52" ht="25.5" x14ac:dyDescent="0.2">
      <c r="A31" s="45" t="s">
        <v>169</v>
      </c>
      <c r="B31" s="45" t="s">
        <v>170</v>
      </c>
      <c r="C31" s="46" t="s">
        <v>68</v>
      </c>
      <c r="D31" s="46" t="s">
        <v>724</v>
      </c>
      <c r="E31" s="46"/>
      <c r="F31" s="356" t="str">
        <f t="shared" si="33"/>
        <v>-</v>
      </c>
      <c r="G31" s="161"/>
      <c r="H31" s="178">
        <f t="shared" si="26"/>
        <v>0</v>
      </c>
      <c r="I31" s="139"/>
      <c r="J31" s="126"/>
      <c r="K31" s="12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2"/>
    </row>
    <row r="32" spans="1:52" ht="63.75" x14ac:dyDescent="0.2">
      <c r="A32" s="45" t="s">
        <v>171</v>
      </c>
      <c r="B32" s="45" t="s">
        <v>1194</v>
      </c>
      <c r="C32" s="46" t="s">
        <v>68</v>
      </c>
      <c r="D32" s="46" t="s">
        <v>724</v>
      </c>
      <c r="E32" s="46"/>
      <c r="F32" s="356" t="str">
        <f t="shared" si="33"/>
        <v>-</v>
      </c>
      <c r="G32" s="162"/>
      <c r="H32" s="178">
        <f t="shared" si="26"/>
        <v>0</v>
      </c>
      <c r="I32" s="139"/>
      <c r="J32" s="126"/>
      <c r="K32" s="12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2"/>
    </row>
    <row r="33" spans="1:51" ht="25.5" x14ac:dyDescent="0.2">
      <c r="A33" s="45" t="s">
        <v>172</v>
      </c>
      <c r="B33" s="45" t="s">
        <v>173</v>
      </c>
      <c r="C33" s="46" t="s">
        <v>158</v>
      </c>
      <c r="D33" s="46" t="s">
        <v>724</v>
      </c>
      <c r="E33" s="46"/>
      <c r="F33" s="356" t="str">
        <f t="shared" si="33"/>
        <v>-</v>
      </c>
      <c r="G33" s="161"/>
      <c r="H33" s="178">
        <f t="shared" si="26"/>
        <v>0</v>
      </c>
      <c r="I33" s="139"/>
      <c r="J33" s="126"/>
      <c r="K33" s="12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2"/>
    </row>
    <row r="34" spans="1:51" ht="25.5" x14ac:dyDescent="0.2">
      <c r="A34" s="45" t="s">
        <v>174</v>
      </c>
      <c r="B34" s="45" t="s">
        <v>175</v>
      </c>
      <c r="C34" s="46" t="s">
        <v>147</v>
      </c>
      <c r="D34" s="46" t="s">
        <v>724</v>
      </c>
      <c r="E34" s="46"/>
      <c r="F34" s="356" t="str">
        <f t="shared" si="33"/>
        <v>-</v>
      </c>
      <c r="G34" s="161"/>
      <c r="H34" s="178">
        <f t="shared" si="26"/>
        <v>0</v>
      </c>
      <c r="I34" s="139"/>
      <c r="J34" s="126"/>
      <c r="K34" s="12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2"/>
    </row>
    <row r="35" spans="1:51" ht="25.5" x14ac:dyDescent="0.2">
      <c r="A35" s="45" t="s">
        <v>176</v>
      </c>
      <c r="B35" s="45" t="s">
        <v>177</v>
      </c>
      <c r="C35" s="46" t="s">
        <v>147</v>
      </c>
      <c r="D35" s="46" t="s">
        <v>724</v>
      </c>
      <c r="E35" s="46"/>
      <c r="F35" s="356" t="str">
        <f t="shared" si="33"/>
        <v>-</v>
      </c>
      <c r="G35" s="162"/>
      <c r="H35" s="178">
        <f t="shared" si="26"/>
        <v>0</v>
      </c>
      <c r="I35" s="143"/>
      <c r="J35" s="126"/>
      <c r="K35" s="12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2"/>
    </row>
    <row r="36" spans="1:51" ht="25.5" x14ac:dyDescent="0.2">
      <c r="A36" s="45" t="s">
        <v>178</v>
      </c>
      <c r="B36" s="45" t="s">
        <v>179</v>
      </c>
      <c r="C36" s="46" t="s">
        <v>147</v>
      </c>
      <c r="D36" s="46" t="s">
        <v>724</v>
      </c>
      <c r="E36" s="46"/>
      <c r="F36" s="356" t="str">
        <f t="shared" si="33"/>
        <v>-</v>
      </c>
      <c r="G36" s="161"/>
      <c r="H36" s="178">
        <f t="shared" si="26"/>
        <v>0</v>
      </c>
      <c r="I36" s="139"/>
      <c r="J36" s="126"/>
      <c r="K36" s="12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2"/>
    </row>
    <row r="37" spans="1:51" ht="25.5" x14ac:dyDescent="0.2">
      <c r="A37" s="45" t="s">
        <v>180</v>
      </c>
      <c r="B37" s="45" t="s">
        <v>181</v>
      </c>
      <c r="C37" s="46" t="s">
        <v>182</v>
      </c>
      <c r="D37" s="46" t="s">
        <v>724</v>
      </c>
      <c r="E37" s="46"/>
      <c r="F37" s="356" t="str">
        <f t="shared" si="33"/>
        <v>-</v>
      </c>
      <c r="G37" s="161"/>
      <c r="H37" s="178">
        <f t="shared" si="26"/>
        <v>0</v>
      </c>
      <c r="I37" s="139"/>
      <c r="J37" s="126"/>
      <c r="K37" s="12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2"/>
    </row>
    <row r="38" spans="1:51" ht="51" x14ac:dyDescent="0.2">
      <c r="A38" s="45" t="s">
        <v>183</v>
      </c>
      <c r="B38" s="45" t="s">
        <v>184</v>
      </c>
      <c r="C38" s="46" t="s">
        <v>163</v>
      </c>
      <c r="D38" s="46" t="s">
        <v>724</v>
      </c>
      <c r="E38" s="46"/>
      <c r="F38" s="356" t="str">
        <f t="shared" si="33"/>
        <v>-</v>
      </c>
      <c r="G38" s="162"/>
      <c r="H38" s="178">
        <f t="shared" si="26"/>
        <v>0</v>
      </c>
      <c r="I38" s="143"/>
      <c r="J38" s="126"/>
      <c r="K38" s="12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2"/>
    </row>
    <row r="39" spans="1:51" s="76" customFormat="1" ht="39.75" customHeight="1" x14ac:dyDescent="0.2">
      <c r="A39" s="45"/>
      <c r="B39" s="83" t="s">
        <v>185</v>
      </c>
      <c r="C39" s="46"/>
      <c r="D39" s="46"/>
      <c r="E39" s="46"/>
      <c r="F39" s="309"/>
      <c r="G39" s="163"/>
      <c r="H39" s="153"/>
      <c r="I39" s="144"/>
      <c r="J39" s="129"/>
      <c r="K39" s="124"/>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9"/>
    </row>
    <row r="40" spans="1:51" ht="25.5" x14ac:dyDescent="0.2">
      <c r="A40" s="45" t="s">
        <v>186</v>
      </c>
      <c r="B40" s="45" t="s">
        <v>187</v>
      </c>
      <c r="C40" s="46" t="s">
        <v>188</v>
      </c>
      <c r="D40" s="46" t="s">
        <v>1183</v>
      </c>
      <c r="E40" s="46" t="s">
        <v>1167</v>
      </c>
      <c r="F40" s="356" t="str">
        <f>IF(ISNUMBER(SEARCH("incl",$D40)),"-",IF(ISNUMBER(SEARCH("not r",$D40)),"-",IF(ISNUMBER(SEARCH("refer",$D40)),"-",IF(C40="sum","",$D40*$E40))))</f>
        <v>-</v>
      </c>
      <c r="G40" s="162"/>
      <c r="H40" s="178">
        <f>SUM(K40:AU40)</f>
        <v>0</v>
      </c>
      <c r="I40" s="145" t="s">
        <v>1185</v>
      </c>
      <c r="J40" s="126"/>
      <c r="K40" s="12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2"/>
    </row>
    <row r="41" spans="1:51" ht="38.25" x14ac:dyDescent="0.2">
      <c r="A41" s="45" t="s">
        <v>189</v>
      </c>
      <c r="B41" s="45" t="s">
        <v>190</v>
      </c>
      <c r="C41" s="46" t="s">
        <v>188</v>
      </c>
      <c r="D41" s="173" t="s">
        <v>1184</v>
      </c>
      <c r="E41" s="46" t="s">
        <v>1167</v>
      </c>
      <c r="F41" s="356" t="str">
        <f>IF(ISNUMBER(SEARCH("incl",$D41)),"-",IF(ISNUMBER(SEARCH("not r",$D41)),"-",IF(ISNUMBER(SEARCH("refer",$D41)),"-",IF(C41="sum","",$D41*$E41))))</f>
        <v>-</v>
      </c>
      <c r="G41" s="161"/>
      <c r="H41" s="178">
        <f>SUM(K41:AU41)</f>
        <v>0</v>
      </c>
      <c r="I41" s="145" t="s">
        <v>1186</v>
      </c>
      <c r="J41" s="126"/>
      <c r="K41" s="12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2"/>
    </row>
    <row r="42" spans="1:51" ht="25.5" x14ac:dyDescent="0.2">
      <c r="A42" s="45" t="s">
        <v>191</v>
      </c>
      <c r="B42" s="45" t="s">
        <v>192</v>
      </c>
      <c r="C42" s="46" t="s">
        <v>188</v>
      </c>
      <c r="D42" s="46" t="s">
        <v>1183</v>
      </c>
      <c r="E42" s="46" t="s">
        <v>1167</v>
      </c>
      <c r="F42" s="356" t="str">
        <f>IF(ISNUMBER(SEARCH("incl",$D42)),"-",IF(ISNUMBER(SEARCH("not r",$D42)),"-",IF(ISNUMBER(SEARCH("refer",$D42)),"-",IF(C42="sum","",$D42*$E42))))</f>
        <v>-</v>
      </c>
      <c r="G42" s="161"/>
      <c r="H42" s="178">
        <f>SUM(K42:AU42)</f>
        <v>0</v>
      </c>
      <c r="I42" s="145" t="s">
        <v>1185</v>
      </c>
      <c r="J42" s="126"/>
      <c r="K42" s="12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2"/>
    </row>
    <row r="43" spans="1:51" ht="25.5" x14ac:dyDescent="0.2">
      <c r="A43" s="45" t="s">
        <v>193</v>
      </c>
      <c r="B43" s="45" t="s">
        <v>194</v>
      </c>
      <c r="C43" s="46" t="s">
        <v>68</v>
      </c>
      <c r="D43" s="46" t="s">
        <v>724</v>
      </c>
      <c r="E43" s="45" t="s">
        <v>1167</v>
      </c>
      <c r="F43" s="356" t="str">
        <f>IF(ISNUMBER(SEARCH("incl",$D43)),"-",IF(ISNUMBER(SEARCH("not r",$D43)),"-",IF(ISNUMBER(SEARCH("refer",$D43)),"-",IF(C43="sum","",$D43*$E43))))</f>
        <v>-</v>
      </c>
      <c r="G43" s="161"/>
      <c r="H43" s="178">
        <f>SUM(K43:AU43)</f>
        <v>0</v>
      </c>
      <c r="I43" s="139"/>
      <c r="J43" s="126"/>
      <c r="K43" s="12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2"/>
    </row>
    <row r="44" spans="1:51" ht="51.75" thickBot="1" x14ac:dyDescent="0.25">
      <c r="A44" s="45" t="s">
        <v>195</v>
      </c>
      <c r="B44" s="45" t="s">
        <v>196</v>
      </c>
      <c r="C44" s="46" t="s">
        <v>163</v>
      </c>
      <c r="D44" s="46">
        <f>ROUNDUP(H44,0)</f>
        <v>1</v>
      </c>
      <c r="E44" s="46"/>
      <c r="F44" s="356">
        <f>IF(ISNUMBER(SEARCH("incl",$D44)),"-",IF(ISNUMBER(SEARCH("not r",$D44)),"-",IF(ISNUMBER(SEARCH("refer",$D44)),"-",IF(C44="sum","",$D44*$E44))))</f>
        <v>0</v>
      </c>
      <c r="G44" s="161"/>
      <c r="H44" s="179">
        <f>SUM(K44:AU44)</f>
        <v>0.12566370614359174</v>
      </c>
      <c r="I44" s="146">
        <v>0.5</v>
      </c>
      <c r="J44" s="130" t="s">
        <v>1187</v>
      </c>
      <c r="K44" s="123">
        <f t="shared" ref="K44:AW44" si="34">K$27*$I44</f>
        <v>0.12566370614359174</v>
      </c>
      <c r="L44" s="123">
        <f t="shared" si="34"/>
        <v>0</v>
      </c>
      <c r="M44" s="123">
        <f t="shared" si="34"/>
        <v>0</v>
      </c>
      <c r="N44" s="123">
        <f t="shared" si="34"/>
        <v>0</v>
      </c>
      <c r="O44" s="123">
        <f t="shared" si="34"/>
        <v>0</v>
      </c>
      <c r="P44" s="123">
        <f t="shared" si="34"/>
        <v>0</v>
      </c>
      <c r="Q44" s="123">
        <f t="shared" si="34"/>
        <v>0</v>
      </c>
      <c r="R44" s="123">
        <f t="shared" si="34"/>
        <v>0</v>
      </c>
      <c r="S44" s="123">
        <f t="shared" si="34"/>
        <v>0</v>
      </c>
      <c r="T44" s="123">
        <f t="shared" si="34"/>
        <v>0</v>
      </c>
      <c r="U44" s="123">
        <f t="shared" si="34"/>
        <v>0</v>
      </c>
      <c r="V44" s="123">
        <f t="shared" si="34"/>
        <v>0</v>
      </c>
      <c r="W44" s="123">
        <f t="shared" si="34"/>
        <v>0</v>
      </c>
      <c r="X44" s="123">
        <f t="shared" si="34"/>
        <v>0</v>
      </c>
      <c r="Y44" s="123">
        <f t="shared" si="34"/>
        <v>0</v>
      </c>
      <c r="Z44" s="123">
        <f t="shared" si="34"/>
        <v>0</v>
      </c>
      <c r="AA44" s="123">
        <f t="shared" si="34"/>
        <v>0</v>
      </c>
      <c r="AB44" s="123">
        <f t="shared" si="34"/>
        <v>0</v>
      </c>
      <c r="AC44" s="123">
        <f t="shared" si="34"/>
        <v>0</v>
      </c>
      <c r="AD44" s="123">
        <f t="shared" si="34"/>
        <v>0</v>
      </c>
      <c r="AE44" s="123">
        <f t="shared" si="34"/>
        <v>0</v>
      </c>
      <c r="AF44" s="123">
        <f t="shared" si="34"/>
        <v>0</v>
      </c>
      <c r="AG44" s="123">
        <f t="shared" si="34"/>
        <v>0</v>
      </c>
      <c r="AH44" s="123">
        <f t="shared" si="34"/>
        <v>0</v>
      </c>
      <c r="AI44" s="123">
        <f t="shared" si="34"/>
        <v>0</v>
      </c>
      <c r="AJ44" s="123">
        <f t="shared" si="34"/>
        <v>0</v>
      </c>
      <c r="AK44" s="123">
        <f t="shared" si="34"/>
        <v>0</v>
      </c>
      <c r="AL44" s="123">
        <f t="shared" si="34"/>
        <v>0</v>
      </c>
      <c r="AM44" s="123">
        <f t="shared" si="34"/>
        <v>0</v>
      </c>
      <c r="AN44" s="123">
        <f t="shared" si="34"/>
        <v>0</v>
      </c>
      <c r="AO44" s="123">
        <f t="shared" si="34"/>
        <v>0</v>
      </c>
      <c r="AP44" s="123">
        <f t="shared" si="34"/>
        <v>0</v>
      </c>
      <c r="AQ44" s="123">
        <f t="shared" si="34"/>
        <v>0</v>
      </c>
      <c r="AR44" s="123">
        <f t="shared" si="34"/>
        <v>0</v>
      </c>
      <c r="AS44" s="123">
        <f t="shared" si="34"/>
        <v>0</v>
      </c>
      <c r="AT44" s="123">
        <f t="shared" si="34"/>
        <v>0</v>
      </c>
      <c r="AU44" s="123">
        <f t="shared" si="34"/>
        <v>0</v>
      </c>
      <c r="AV44" s="123">
        <f t="shared" si="34"/>
        <v>0</v>
      </c>
      <c r="AW44" s="123">
        <f t="shared" si="34"/>
        <v>0</v>
      </c>
      <c r="AX44" s="101"/>
      <c r="AY44" s="102"/>
    </row>
    <row r="45" spans="1:51" x14ac:dyDescent="0.2">
      <c r="A45" s="489" t="s">
        <v>197</v>
      </c>
      <c r="B45" s="490"/>
      <c r="C45" s="490"/>
      <c r="D45" s="490"/>
      <c r="E45" s="491"/>
      <c r="F45" s="492">
        <f>SUM(F10:F44)</f>
        <v>0</v>
      </c>
      <c r="G45" s="156"/>
      <c r="H45" s="177"/>
      <c r="I45" s="115"/>
      <c r="K45" s="113"/>
      <c r="L45" s="113"/>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2"/>
    </row>
    <row r="46" spans="1:51" x14ac:dyDescent="0.2">
      <c r="H46" s="150"/>
      <c r="K46" s="113"/>
      <c r="L46" s="113"/>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2"/>
    </row>
    <row r="47" spans="1:51" x14ac:dyDescent="0.2">
      <c r="H47" s="150"/>
      <c r="K47" s="113"/>
      <c r="L47" s="113"/>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2"/>
    </row>
    <row r="48" spans="1:51" x14ac:dyDescent="0.2">
      <c r="H48" s="150"/>
      <c r="K48" s="113"/>
      <c r="L48" s="113"/>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2"/>
    </row>
    <row r="49" spans="8:51" x14ac:dyDescent="0.2">
      <c r="H49" s="150"/>
      <c r="K49" s="113"/>
      <c r="L49" s="113"/>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2"/>
    </row>
    <row r="50" spans="8:51" x14ac:dyDescent="0.2">
      <c r="H50" s="150"/>
      <c r="K50" s="113"/>
      <c r="L50" s="113"/>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2"/>
    </row>
    <row r="51" spans="8:51" x14ac:dyDescent="0.2">
      <c r="H51" s="150"/>
      <c r="K51" s="113"/>
      <c r="L51" s="113"/>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2"/>
    </row>
    <row r="52" spans="8:51" x14ac:dyDescent="0.2">
      <c r="H52" s="150"/>
      <c r="K52" s="113"/>
      <c r="L52" s="113"/>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2"/>
    </row>
    <row r="53" spans="8:51" x14ac:dyDescent="0.2">
      <c r="H53" s="150"/>
      <c r="K53" s="113"/>
      <c r="L53" s="113"/>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2"/>
    </row>
    <row r="54" spans="8:51" x14ac:dyDescent="0.2">
      <c r="H54" s="150"/>
      <c r="K54" s="113"/>
      <c r="L54" s="113"/>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2"/>
    </row>
    <row r="55" spans="8:51" x14ac:dyDescent="0.2">
      <c r="H55" s="150"/>
      <c r="K55" s="113"/>
      <c r="L55" s="113"/>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2"/>
    </row>
    <row r="56" spans="8:51" x14ac:dyDescent="0.2">
      <c r="H56" s="150"/>
      <c r="K56" s="113"/>
      <c r="L56" s="113"/>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2"/>
    </row>
    <row r="57" spans="8:51" x14ac:dyDescent="0.2">
      <c r="H57" s="150"/>
      <c r="K57" s="113"/>
      <c r="L57" s="113"/>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2"/>
    </row>
    <row r="58" spans="8:51" x14ac:dyDescent="0.2">
      <c r="H58" s="150"/>
      <c r="K58" s="113"/>
      <c r="L58" s="113"/>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2"/>
    </row>
    <row r="59" spans="8:51" x14ac:dyDescent="0.2">
      <c r="H59" s="150"/>
      <c r="K59" s="113"/>
      <c r="L59" s="113"/>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2"/>
    </row>
    <row r="60" spans="8:51" x14ac:dyDescent="0.2">
      <c r="H60" s="150"/>
      <c r="K60" s="113"/>
      <c r="L60" s="113"/>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2"/>
    </row>
    <row r="61" spans="8:51" x14ac:dyDescent="0.2">
      <c r="H61" s="150"/>
      <c r="K61" s="113"/>
      <c r="L61" s="113"/>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2"/>
    </row>
    <row r="62" spans="8:51" x14ac:dyDescent="0.2">
      <c r="H62" s="150"/>
      <c r="K62" s="113"/>
      <c r="L62" s="113"/>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2"/>
    </row>
    <row r="63" spans="8:51" x14ac:dyDescent="0.2">
      <c r="H63" s="150"/>
      <c r="K63" s="113"/>
      <c r="L63" s="113"/>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2"/>
    </row>
    <row r="64" spans="8:51" x14ac:dyDescent="0.2">
      <c r="H64" s="150"/>
      <c r="K64" s="113"/>
      <c r="L64" s="113"/>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2"/>
    </row>
    <row r="65" spans="8:51" x14ac:dyDescent="0.2">
      <c r="H65" s="150"/>
      <c r="K65" s="113"/>
      <c r="L65" s="113"/>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2"/>
    </row>
    <row r="66" spans="8:51" x14ac:dyDescent="0.2">
      <c r="H66" s="150"/>
      <c r="K66" s="113"/>
      <c r="L66" s="113"/>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2"/>
    </row>
    <row r="67" spans="8:51" x14ac:dyDescent="0.2">
      <c r="H67" s="150"/>
      <c r="K67" s="113"/>
      <c r="L67" s="113"/>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2"/>
    </row>
    <row r="68" spans="8:51" x14ac:dyDescent="0.2">
      <c r="H68" s="150"/>
      <c r="K68" s="113"/>
      <c r="L68" s="113"/>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2"/>
    </row>
    <row r="69" spans="8:51" x14ac:dyDescent="0.2">
      <c r="H69" s="150"/>
      <c r="K69" s="113"/>
      <c r="L69" s="113"/>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2"/>
    </row>
    <row r="70" spans="8:51" x14ac:dyDescent="0.2">
      <c r="H70" s="150"/>
      <c r="K70" s="113"/>
      <c r="L70" s="113"/>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2"/>
    </row>
    <row r="71" spans="8:51" x14ac:dyDescent="0.2">
      <c r="H71" s="150"/>
      <c r="K71" s="113"/>
      <c r="L71" s="113"/>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2"/>
    </row>
    <row r="72" spans="8:51" x14ac:dyDescent="0.2">
      <c r="H72" s="150"/>
      <c r="K72" s="113"/>
      <c r="L72" s="113"/>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2"/>
    </row>
    <row r="73" spans="8:51" x14ac:dyDescent="0.2">
      <c r="H73" s="150"/>
      <c r="K73" s="113"/>
      <c r="L73" s="113"/>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2"/>
    </row>
    <row r="74" spans="8:51" x14ac:dyDescent="0.2">
      <c r="H74" s="150"/>
      <c r="K74" s="113"/>
      <c r="L74" s="113"/>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2"/>
    </row>
    <row r="75" spans="8:51" x14ac:dyDescent="0.2">
      <c r="H75" s="150"/>
      <c r="K75" s="113"/>
      <c r="L75" s="113"/>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2"/>
    </row>
    <row r="76" spans="8:51" x14ac:dyDescent="0.2">
      <c r="H76" s="150"/>
      <c r="K76" s="113"/>
      <c r="L76" s="113"/>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2"/>
    </row>
    <row r="77" spans="8:51" x14ac:dyDescent="0.2">
      <c r="H77" s="150"/>
      <c r="K77" s="113"/>
      <c r="L77" s="113"/>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2"/>
    </row>
    <row r="78" spans="8:51" x14ac:dyDescent="0.2">
      <c r="H78" s="150"/>
      <c r="K78" s="113"/>
      <c r="L78" s="113"/>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2"/>
    </row>
    <row r="79" spans="8:51" x14ac:dyDescent="0.2">
      <c r="H79" s="150"/>
      <c r="K79" s="113"/>
      <c r="L79" s="113"/>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2"/>
    </row>
    <row r="80" spans="8:51" x14ac:dyDescent="0.2">
      <c r="H80" s="150"/>
      <c r="K80" s="113"/>
      <c r="L80" s="113"/>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2"/>
    </row>
    <row r="81" spans="8:51" x14ac:dyDescent="0.2">
      <c r="H81" s="150"/>
      <c r="K81" s="113"/>
      <c r="L81" s="113"/>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2"/>
    </row>
    <row r="82" spans="8:51" x14ac:dyDescent="0.2">
      <c r="H82" s="150"/>
      <c r="K82" s="113"/>
      <c r="L82" s="113"/>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2"/>
    </row>
    <row r="83" spans="8:51" x14ac:dyDescent="0.2">
      <c r="H83" s="150"/>
      <c r="K83" s="113"/>
      <c r="L83" s="113"/>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2"/>
    </row>
    <row r="84" spans="8:51" x14ac:dyDescent="0.2">
      <c r="H84" s="150"/>
      <c r="K84" s="113"/>
      <c r="L84" s="113"/>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2"/>
    </row>
    <row r="85" spans="8:51" x14ac:dyDescent="0.2">
      <c r="H85" s="150"/>
      <c r="K85" s="113"/>
      <c r="L85" s="113"/>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2"/>
    </row>
    <row r="86" spans="8:51" x14ac:dyDescent="0.2">
      <c r="H86" s="150"/>
      <c r="K86" s="113"/>
      <c r="L86" s="113"/>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2"/>
    </row>
    <row r="87" spans="8:51" x14ac:dyDescent="0.2">
      <c r="H87" s="150"/>
      <c r="K87" s="113"/>
      <c r="L87" s="113"/>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2"/>
    </row>
    <row r="88" spans="8:51" x14ac:dyDescent="0.2">
      <c r="H88" s="150"/>
      <c r="K88" s="113"/>
      <c r="L88" s="113"/>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2"/>
    </row>
    <row r="89" spans="8:51" x14ac:dyDescent="0.2">
      <c r="H89" s="150"/>
      <c r="K89" s="113"/>
      <c r="L89" s="113"/>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2"/>
    </row>
    <row r="90" spans="8:51" x14ac:dyDescent="0.2">
      <c r="H90" s="150"/>
      <c r="K90" s="113"/>
      <c r="L90" s="113"/>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2"/>
    </row>
    <row r="91" spans="8:51" x14ac:dyDescent="0.2">
      <c r="H91" s="150"/>
      <c r="K91" s="113"/>
      <c r="L91" s="113"/>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2"/>
    </row>
    <row r="92" spans="8:51" x14ac:dyDescent="0.2">
      <c r="H92" s="150"/>
      <c r="K92" s="113"/>
      <c r="L92" s="113"/>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2"/>
    </row>
    <row r="93" spans="8:51" x14ac:dyDescent="0.2">
      <c r="H93" s="150"/>
      <c r="K93" s="113"/>
      <c r="L93" s="113"/>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2"/>
    </row>
    <row r="94" spans="8:51" x14ac:dyDescent="0.2">
      <c r="H94" s="150"/>
      <c r="K94" s="113"/>
      <c r="L94" s="113"/>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2"/>
    </row>
    <row r="95" spans="8:51" x14ac:dyDescent="0.2">
      <c r="H95" s="150"/>
      <c r="K95" s="113"/>
      <c r="L95" s="113"/>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2"/>
    </row>
    <row r="96" spans="8:51" x14ac:dyDescent="0.2">
      <c r="H96" s="150"/>
      <c r="K96" s="113"/>
      <c r="L96" s="113"/>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2"/>
    </row>
    <row r="97" spans="8:51" x14ac:dyDescent="0.2">
      <c r="H97" s="150"/>
      <c r="K97" s="113"/>
      <c r="L97" s="113"/>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2"/>
    </row>
    <row r="98" spans="8:51" x14ac:dyDescent="0.2">
      <c r="H98" s="150"/>
      <c r="K98" s="113"/>
      <c r="L98" s="113"/>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2"/>
    </row>
    <row r="99" spans="8:51" x14ac:dyDescent="0.2">
      <c r="H99" s="150"/>
      <c r="K99" s="113"/>
      <c r="L99" s="113"/>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2"/>
    </row>
    <row r="100" spans="8:51" x14ac:dyDescent="0.2">
      <c r="H100" s="150"/>
      <c r="K100" s="113"/>
      <c r="L100" s="113"/>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2"/>
    </row>
    <row r="101" spans="8:51" x14ac:dyDescent="0.2">
      <c r="H101" s="150"/>
      <c r="K101" s="113"/>
      <c r="L101" s="113"/>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2"/>
    </row>
    <row r="102" spans="8:51" x14ac:dyDescent="0.2">
      <c r="H102" s="150"/>
      <c r="K102" s="113"/>
      <c r="L102" s="113"/>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2"/>
    </row>
    <row r="103" spans="8:51" x14ac:dyDescent="0.2">
      <c r="H103" s="150"/>
      <c r="K103" s="113"/>
      <c r="L103" s="113"/>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2"/>
    </row>
    <row r="104" spans="8:51" x14ac:dyDescent="0.2">
      <c r="H104" s="150"/>
      <c r="K104" s="113"/>
      <c r="L104" s="113"/>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2"/>
    </row>
    <row r="105" spans="8:51" x14ac:dyDescent="0.2">
      <c r="H105" s="150"/>
      <c r="K105" s="113"/>
      <c r="L105" s="113"/>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2"/>
    </row>
    <row r="106" spans="8:51" x14ac:dyDescent="0.2">
      <c r="H106" s="150"/>
      <c r="K106" s="113"/>
      <c r="L106" s="113"/>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2"/>
    </row>
    <row r="107" spans="8:51" x14ac:dyDescent="0.2">
      <c r="H107" s="150"/>
      <c r="K107" s="113"/>
      <c r="L107" s="113"/>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2"/>
    </row>
    <row r="108" spans="8:51" x14ac:dyDescent="0.2">
      <c r="H108" s="150"/>
      <c r="K108" s="113"/>
      <c r="L108" s="113"/>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2"/>
    </row>
    <row r="109" spans="8:51" x14ac:dyDescent="0.2">
      <c r="H109" s="150"/>
      <c r="K109" s="113"/>
      <c r="L109" s="113"/>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2"/>
    </row>
    <row r="110" spans="8:51" x14ac:dyDescent="0.2">
      <c r="H110" s="150"/>
      <c r="K110" s="113"/>
      <c r="L110" s="113"/>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2"/>
    </row>
    <row r="111" spans="8:51" x14ac:dyDescent="0.2">
      <c r="H111" s="150"/>
      <c r="K111" s="113"/>
      <c r="L111" s="113"/>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2"/>
    </row>
    <row r="112" spans="8:51" x14ac:dyDescent="0.2">
      <c r="H112" s="150"/>
      <c r="K112" s="113"/>
      <c r="L112" s="113"/>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2"/>
    </row>
    <row r="113" spans="8:51" x14ac:dyDescent="0.2">
      <c r="H113" s="150"/>
      <c r="K113" s="113"/>
      <c r="L113" s="113"/>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2"/>
    </row>
    <row r="114" spans="8:51" ht="13.5" thickBot="1" x14ac:dyDescent="0.25">
      <c r="H114" s="151"/>
      <c r="K114" s="113"/>
      <c r="L114" s="113"/>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2"/>
    </row>
    <row r="115" spans="8:51" x14ac:dyDescent="0.2">
      <c r="K115" s="113"/>
      <c r="L115" s="113"/>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2"/>
    </row>
    <row r="116" spans="8:51" x14ac:dyDescent="0.2">
      <c r="K116" s="113"/>
      <c r="L116" s="113"/>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2"/>
    </row>
    <row r="117" spans="8:51" x14ac:dyDescent="0.2">
      <c r="K117" s="113"/>
      <c r="L117" s="113"/>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2"/>
    </row>
    <row r="118" spans="8:51" x14ac:dyDescent="0.2">
      <c r="K118" s="113"/>
      <c r="L118" s="113"/>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2"/>
    </row>
    <row r="119" spans="8:51" x14ac:dyDescent="0.2">
      <c r="K119" s="113"/>
      <c r="L119" s="113"/>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2"/>
    </row>
    <row r="120" spans="8:51" x14ac:dyDescent="0.2">
      <c r="K120" s="113"/>
      <c r="L120" s="113"/>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2"/>
    </row>
    <row r="121" spans="8:51" x14ac:dyDescent="0.2">
      <c r="K121" s="113"/>
      <c r="L121" s="113"/>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2"/>
    </row>
    <row r="122" spans="8:51" x14ac:dyDescent="0.2">
      <c r="K122" s="113"/>
      <c r="L122" s="113"/>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2"/>
    </row>
    <row r="123" spans="8:51" x14ac:dyDescent="0.2">
      <c r="K123" s="113"/>
      <c r="L123" s="113"/>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2"/>
    </row>
    <row r="124" spans="8:51" x14ac:dyDescent="0.2">
      <c r="K124" s="113"/>
      <c r="L124" s="113"/>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2"/>
    </row>
    <row r="125" spans="8:51" x14ac:dyDescent="0.2">
      <c r="K125" s="113"/>
      <c r="L125" s="113"/>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2"/>
    </row>
    <row r="126" spans="8:51" x14ac:dyDescent="0.2">
      <c r="K126" s="113"/>
      <c r="L126" s="113"/>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2"/>
    </row>
    <row r="127" spans="8:51" x14ac:dyDescent="0.2">
      <c r="K127" s="113"/>
      <c r="L127" s="113"/>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2"/>
    </row>
    <row r="128" spans="8:51" x14ac:dyDescent="0.2">
      <c r="K128" s="113"/>
      <c r="L128" s="113"/>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2"/>
    </row>
    <row r="129" spans="11:51" x14ac:dyDescent="0.2">
      <c r="K129" s="113"/>
      <c r="L129" s="113"/>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2"/>
    </row>
    <row r="130" spans="11:51" x14ac:dyDescent="0.2">
      <c r="K130" s="113"/>
      <c r="L130" s="113"/>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2"/>
    </row>
    <row r="131" spans="11:51" x14ac:dyDescent="0.2">
      <c r="K131" s="113"/>
      <c r="L131" s="113"/>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2"/>
    </row>
    <row r="132" spans="11:51" x14ac:dyDescent="0.2">
      <c r="K132" s="113"/>
      <c r="L132" s="113"/>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2"/>
    </row>
    <row r="133" spans="11:51" x14ac:dyDescent="0.2">
      <c r="K133" s="113"/>
      <c r="L133" s="113"/>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2"/>
    </row>
    <row r="134" spans="11:51" x14ac:dyDescent="0.2">
      <c r="K134" s="113"/>
      <c r="L134" s="113"/>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2"/>
    </row>
    <row r="135" spans="11:51" x14ac:dyDescent="0.2">
      <c r="K135" s="113"/>
      <c r="L135" s="113"/>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2"/>
    </row>
    <row r="136" spans="11:51" x14ac:dyDescent="0.2">
      <c r="K136" s="113"/>
      <c r="L136" s="113"/>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2"/>
    </row>
    <row r="137" spans="11:51" x14ac:dyDescent="0.2">
      <c r="K137" s="113"/>
      <c r="L137" s="113"/>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2"/>
    </row>
    <row r="138" spans="11:51" x14ac:dyDescent="0.2">
      <c r="K138" s="113"/>
      <c r="L138" s="113"/>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2"/>
    </row>
    <row r="139" spans="11:51" x14ac:dyDescent="0.2">
      <c r="K139" s="113"/>
      <c r="L139" s="113"/>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2"/>
    </row>
    <row r="140" spans="11:51" x14ac:dyDescent="0.2">
      <c r="K140" s="113"/>
      <c r="L140" s="113"/>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2"/>
    </row>
    <row r="141" spans="11:51" x14ac:dyDescent="0.2">
      <c r="K141" s="113"/>
      <c r="L141" s="113"/>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2"/>
    </row>
    <row r="142" spans="11:51" x14ac:dyDescent="0.2">
      <c r="K142" s="113"/>
      <c r="L142" s="113"/>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2"/>
    </row>
    <row r="143" spans="11:51" x14ac:dyDescent="0.2">
      <c r="K143" s="113"/>
      <c r="L143" s="113"/>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2"/>
    </row>
    <row r="144" spans="11:51" x14ac:dyDescent="0.2">
      <c r="K144" s="113"/>
      <c r="L144" s="113"/>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2"/>
    </row>
    <row r="145" spans="11:51" x14ac:dyDescent="0.2">
      <c r="K145" s="113"/>
      <c r="L145" s="113"/>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2"/>
    </row>
    <row r="146" spans="11:51" x14ac:dyDescent="0.2">
      <c r="K146" s="113"/>
      <c r="L146" s="113"/>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2"/>
    </row>
    <row r="147" spans="11:51" x14ac:dyDescent="0.2">
      <c r="K147" s="113"/>
      <c r="L147" s="113"/>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2"/>
    </row>
    <row r="148" spans="11:51" x14ac:dyDescent="0.2">
      <c r="K148" s="113"/>
      <c r="L148" s="113"/>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2"/>
    </row>
    <row r="149" spans="11:51" x14ac:dyDescent="0.2">
      <c r="K149" s="113"/>
      <c r="L149" s="113"/>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2"/>
    </row>
    <row r="150" spans="11:51" x14ac:dyDescent="0.2">
      <c r="K150" s="113"/>
      <c r="L150" s="113"/>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2"/>
    </row>
    <row r="151" spans="11:51" x14ac:dyDescent="0.2">
      <c r="K151" s="113"/>
      <c r="L151" s="113"/>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2"/>
    </row>
    <row r="152" spans="11:51" x14ac:dyDescent="0.2">
      <c r="K152" s="113"/>
      <c r="L152" s="113"/>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2"/>
    </row>
    <row r="153" spans="11:51" x14ac:dyDescent="0.2">
      <c r="K153" s="113"/>
      <c r="L153" s="113"/>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2"/>
    </row>
    <row r="154" spans="11:51" x14ac:dyDescent="0.2">
      <c r="K154" s="113"/>
      <c r="L154" s="113"/>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2"/>
    </row>
    <row r="155" spans="11:51" x14ac:dyDescent="0.2">
      <c r="K155" s="113"/>
      <c r="L155" s="113"/>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2"/>
    </row>
    <row r="156" spans="11:51" x14ac:dyDescent="0.2">
      <c r="K156" s="113"/>
      <c r="L156" s="113"/>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2"/>
    </row>
    <row r="157" spans="11:51" x14ac:dyDescent="0.2">
      <c r="K157" s="113"/>
      <c r="L157" s="113"/>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2"/>
    </row>
    <row r="158" spans="11:51" x14ac:dyDescent="0.2">
      <c r="K158" s="113"/>
      <c r="L158" s="113"/>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2"/>
    </row>
    <row r="159" spans="11:51" x14ac:dyDescent="0.2">
      <c r="K159" s="113"/>
      <c r="L159" s="113"/>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2"/>
    </row>
    <row r="160" spans="11:51" x14ac:dyDescent="0.2">
      <c r="K160" s="113"/>
      <c r="L160" s="113"/>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2"/>
    </row>
    <row r="161" spans="11:51" x14ac:dyDescent="0.2">
      <c r="K161" s="113"/>
      <c r="L161" s="113"/>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2"/>
    </row>
    <row r="162" spans="11:51" x14ac:dyDescent="0.2">
      <c r="K162" s="113"/>
      <c r="L162" s="113"/>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2"/>
    </row>
    <row r="163" spans="11:51" x14ac:dyDescent="0.2">
      <c r="K163" s="113"/>
      <c r="L163" s="113"/>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2"/>
    </row>
    <row r="164" spans="11:51" x14ac:dyDescent="0.2">
      <c r="K164" s="113"/>
      <c r="L164" s="113"/>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2"/>
    </row>
    <row r="165" spans="11:51" x14ac:dyDescent="0.2">
      <c r="K165" s="113"/>
      <c r="L165" s="113"/>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2"/>
    </row>
    <row r="166" spans="11:51" x14ac:dyDescent="0.2">
      <c r="K166" s="113"/>
      <c r="L166" s="113"/>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2"/>
    </row>
    <row r="167" spans="11:51" x14ac:dyDescent="0.2">
      <c r="K167" s="113"/>
      <c r="L167" s="113"/>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2"/>
    </row>
    <row r="168" spans="11:51" x14ac:dyDescent="0.2">
      <c r="K168" s="113"/>
      <c r="L168" s="113"/>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2"/>
    </row>
    <row r="169" spans="11:51" x14ac:dyDescent="0.2">
      <c r="K169" s="113"/>
      <c r="L169" s="113"/>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2"/>
    </row>
    <row r="170" spans="11:51" x14ac:dyDescent="0.2">
      <c r="K170" s="113"/>
      <c r="L170" s="113"/>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2"/>
    </row>
    <row r="171" spans="11:51" x14ac:dyDescent="0.2">
      <c r="K171" s="113"/>
      <c r="L171" s="113"/>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2"/>
    </row>
    <row r="172" spans="11:51" x14ac:dyDescent="0.2">
      <c r="K172" s="113"/>
      <c r="L172" s="113"/>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2"/>
    </row>
    <row r="173" spans="11:51" x14ac:dyDescent="0.2">
      <c r="K173" s="113"/>
      <c r="L173" s="113"/>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2"/>
    </row>
    <row r="174" spans="11:51" x14ac:dyDescent="0.2">
      <c r="K174" s="113"/>
      <c r="L174" s="113"/>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2"/>
    </row>
    <row r="175" spans="11:51" x14ac:dyDescent="0.2">
      <c r="K175" s="113"/>
      <c r="L175" s="113"/>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2"/>
    </row>
    <row r="176" spans="11:51" x14ac:dyDescent="0.2">
      <c r="K176" s="113"/>
      <c r="L176" s="113"/>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2"/>
    </row>
    <row r="177" spans="11:51" x14ac:dyDescent="0.2">
      <c r="K177" s="113"/>
      <c r="L177" s="113"/>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2"/>
    </row>
    <row r="178" spans="11:51" x14ac:dyDescent="0.2">
      <c r="K178" s="113"/>
      <c r="L178" s="113"/>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2"/>
    </row>
    <row r="179" spans="11:51" x14ac:dyDescent="0.2">
      <c r="K179" s="113"/>
      <c r="L179" s="113"/>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2"/>
    </row>
    <row r="180" spans="11:51" x14ac:dyDescent="0.2">
      <c r="K180" s="113"/>
      <c r="L180" s="113"/>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2"/>
    </row>
    <row r="181" spans="11:51" x14ac:dyDescent="0.2">
      <c r="K181" s="113"/>
      <c r="L181" s="113"/>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2"/>
    </row>
    <row r="182" spans="11:51" x14ac:dyDescent="0.2">
      <c r="K182" s="113"/>
      <c r="L182" s="113"/>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2"/>
    </row>
    <row r="183" spans="11:51" x14ac:dyDescent="0.2">
      <c r="K183" s="113"/>
      <c r="L183" s="113"/>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2"/>
    </row>
    <row r="184" spans="11:51" x14ac:dyDescent="0.2">
      <c r="K184" s="113"/>
      <c r="L184" s="113"/>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2"/>
    </row>
    <row r="185" spans="11:51" x14ac:dyDescent="0.2">
      <c r="K185" s="113"/>
      <c r="L185" s="113"/>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2"/>
    </row>
    <row r="186" spans="11:51" x14ac:dyDescent="0.2">
      <c r="K186" s="113"/>
      <c r="L186" s="113"/>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2"/>
    </row>
    <row r="187" spans="11:51" x14ac:dyDescent="0.2">
      <c r="K187" s="113"/>
      <c r="L187" s="113"/>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2"/>
    </row>
    <row r="188" spans="11:51" x14ac:dyDescent="0.2">
      <c r="K188" s="113"/>
      <c r="L188" s="113"/>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2"/>
    </row>
    <row r="189" spans="11:51" x14ac:dyDescent="0.2">
      <c r="K189" s="113"/>
      <c r="L189" s="113"/>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2"/>
    </row>
    <row r="190" spans="11:51" x14ac:dyDescent="0.2">
      <c r="K190" s="113"/>
      <c r="L190" s="113"/>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2"/>
    </row>
    <row r="191" spans="11:51" x14ac:dyDescent="0.2">
      <c r="K191" s="113"/>
      <c r="L191" s="113"/>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2"/>
    </row>
    <row r="192" spans="11:51" x14ac:dyDescent="0.2">
      <c r="K192" s="113"/>
      <c r="L192" s="113"/>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2"/>
    </row>
    <row r="193" spans="11:51" x14ac:dyDescent="0.2">
      <c r="K193" s="113"/>
      <c r="L193" s="113"/>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2"/>
    </row>
    <row r="194" spans="11:51" x14ac:dyDescent="0.2">
      <c r="K194" s="113"/>
      <c r="L194" s="113"/>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2"/>
    </row>
    <row r="195" spans="11:51" x14ac:dyDescent="0.2">
      <c r="K195" s="113"/>
      <c r="L195" s="113"/>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2"/>
    </row>
    <row r="196" spans="11:51" x14ac:dyDescent="0.2">
      <c r="K196" s="113"/>
      <c r="L196" s="113"/>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2"/>
    </row>
    <row r="197" spans="11:51" x14ac:dyDescent="0.2">
      <c r="K197" s="113"/>
      <c r="L197" s="113"/>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2"/>
    </row>
    <row r="198" spans="11:51" x14ac:dyDescent="0.2">
      <c r="K198" s="113"/>
      <c r="L198" s="113"/>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2"/>
    </row>
    <row r="199" spans="11:51" x14ac:dyDescent="0.2">
      <c r="K199" s="113"/>
      <c r="L199" s="113"/>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2"/>
    </row>
    <row r="200" spans="11:51" x14ac:dyDescent="0.2">
      <c r="K200" s="113"/>
      <c r="L200" s="113"/>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2"/>
    </row>
    <row r="201" spans="11:51" x14ac:dyDescent="0.2">
      <c r="K201" s="113"/>
      <c r="L201" s="113"/>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2"/>
    </row>
    <row r="202" spans="11:51" x14ac:dyDescent="0.2">
      <c r="K202" s="113"/>
      <c r="L202" s="113"/>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2"/>
    </row>
    <row r="203" spans="11:51" x14ac:dyDescent="0.2">
      <c r="K203" s="113"/>
      <c r="L203" s="113"/>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2"/>
    </row>
    <row r="204" spans="11:51" x14ac:dyDescent="0.2">
      <c r="K204" s="113"/>
      <c r="L204" s="113"/>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2"/>
    </row>
    <row r="205" spans="11:51" x14ac:dyDescent="0.2">
      <c r="K205" s="113"/>
      <c r="L205" s="113"/>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2"/>
    </row>
  </sheetData>
  <mergeCells count="1">
    <mergeCell ref="A45:E45"/>
  </mergeCells>
  <conditionalFormatting sqref="K9 M9:AW9 K10:AW52">
    <cfRule type="cellIs" dxfId="42" priority="6" operator="equal">
      <formula>0</formula>
    </cfRule>
  </conditionalFormatting>
  <conditionalFormatting sqref="K7 M6:AW7 K6:L6">
    <cfRule type="cellIs" dxfId="41" priority="5" operator="equal">
      <formula>0</formula>
    </cfRule>
  </conditionalFormatting>
  <conditionalFormatting sqref="L9">
    <cfRule type="cellIs" dxfId="40" priority="4" operator="equal">
      <formula>0</formula>
    </cfRule>
  </conditionalFormatting>
  <conditionalFormatting sqref="L7">
    <cfRule type="cellIs" dxfId="39" priority="3" operator="equal">
      <formula>0</formula>
    </cfRule>
  </conditionalFormatting>
  <conditionalFormatting sqref="K8 M8:AW8">
    <cfRule type="cellIs" dxfId="38" priority="2" operator="equal">
      <formula>0</formula>
    </cfRule>
  </conditionalFormatting>
  <conditionalFormatting sqref="L8">
    <cfRule type="cellIs" dxfId="37" priority="1" operator="equal">
      <formula>0</formula>
    </cfRule>
  </conditionalFormatting>
  <pageMargins left="0.7" right="0.7" top="0.75" bottom="0.75" header="0.3" footer="0.3"/>
  <pageSetup paperSize="9" orientation="portrait" r:id="rId1"/>
  <headerFooter>
    <oddFooter>&amp;A&amp;RPage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115"/>
  <sheetViews>
    <sheetView zoomScale="90" zoomScaleNormal="90" zoomScaleSheetLayoutView="80" zoomScalePageLayoutView="60" workbookViewId="0">
      <pane xSplit="2" ySplit="2" topLeftCell="C3" activePane="bottomRight" state="frozen"/>
      <selection pane="topRight" activeCell="C1" sqref="C1"/>
      <selection pane="bottomLeft" activeCell="A3" sqref="A3"/>
      <selection pane="bottomRight" activeCell="B26" sqref="B26"/>
    </sheetView>
  </sheetViews>
  <sheetFormatPr defaultRowHeight="12.75" x14ac:dyDescent="0.2"/>
  <cols>
    <col min="2" max="2" width="35.7109375" customWidth="1"/>
    <col min="3" max="3" width="8.85546875" style="1" customWidth="1"/>
    <col min="4" max="5" width="11.42578125" style="1" customWidth="1"/>
    <col min="6" max="6" width="11.42578125" style="295" customWidth="1"/>
    <col min="7" max="7" width="1.5703125" style="154" customWidth="1"/>
    <col min="8" max="8" width="8.42578125" style="1" customWidth="1"/>
    <col min="9" max="9" width="7.5703125" customWidth="1"/>
    <col min="10" max="10" width="10.42578125" customWidth="1"/>
    <col min="11" max="49" width="0" hidden="1" customWidth="1"/>
  </cols>
  <sheetData>
    <row r="1" spans="1:52" ht="15" x14ac:dyDescent="0.25">
      <c r="J1" s="254" t="s">
        <v>1381</v>
      </c>
      <c r="K1" s="371">
        <f>'Section B'!K1</f>
        <v>0</v>
      </c>
      <c r="L1" s="371">
        <f>'Section B'!L1</f>
        <v>0</v>
      </c>
      <c r="M1" s="371">
        <f>'Section B'!M1</f>
        <v>0</v>
      </c>
      <c r="N1" s="372">
        <f>'Section B'!N1</f>
        <v>0</v>
      </c>
      <c r="O1" s="371">
        <f>'Section B'!O1</f>
        <v>0</v>
      </c>
      <c r="P1" s="371">
        <f>'Section B'!P1</f>
        <v>0</v>
      </c>
      <c r="Q1" s="371">
        <f>'Section B'!Q1</f>
        <v>0</v>
      </c>
      <c r="R1" s="371">
        <f>'Section B'!R1</f>
        <v>0</v>
      </c>
      <c r="S1" s="371">
        <f>'Section B'!S1</f>
        <v>0</v>
      </c>
      <c r="T1" s="371">
        <f>'Section B'!T1</f>
        <v>0</v>
      </c>
      <c r="U1" s="371">
        <f>'Section B'!U1</f>
        <v>0</v>
      </c>
      <c r="V1" s="371">
        <f>'Section B'!V1</f>
        <v>0</v>
      </c>
      <c r="W1" s="371">
        <f>'Section B'!W1</f>
        <v>0</v>
      </c>
      <c r="X1" s="371">
        <f>'Section B'!X1</f>
        <v>0</v>
      </c>
      <c r="Y1" s="371">
        <f>'Section B'!Y1</f>
        <v>0</v>
      </c>
      <c r="Z1" s="371">
        <f>'Section B'!Z1</f>
        <v>0</v>
      </c>
      <c r="AA1" s="371">
        <f>'Section B'!AA1</f>
        <v>0</v>
      </c>
      <c r="AB1" s="371">
        <f>'Section B'!AB1</f>
        <v>0</v>
      </c>
      <c r="AC1" s="371">
        <f>'Section B'!AC1</f>
        <v>0</v>
      </c>
      <c r="AD1" s="371">
        <f>'Section B'!AD1</f>
        <v>0</v>
      </c>
      <c r="AE1" s="371">
        <f>'Section B'!AE1</f>
        <v>0</v>
      </c>
      <c r="AF1" s="371">
        <f>'Section B'!AF1</f>
        <v>0</v>
      </c>
      <c r="AG1" s="371">
        <f>'Section B'!AG1</f>
        <v>0</v>
      </c>
      <c r="AH1" s="371">
        <f>'Section B'!AH1</f>
        <v>0</v>
      </c>
      <c r="AI1" s="371">
        <f>'Section B'!AI1</f>
        <v>0</v>
      </c>
      <c r="AJ1" s="371">
        <f>'Section B'!AJ1</f>
        <v>0</v>
      </c>
      <c r="AK1" s="371">
        <f>'Section B'!AK1</f>
        <v>0</v>
      </c>
      <c r="AL1" s="371">
        <f>'Section B'!AL1</f>
        <v>0</v>
      </c>
      <c r="AM1" s="371">
        <f>'Section B'!AM1</f>
        <v>0</v>
      </c>
      <c r="AN1" s="371">
        <f>'Section B'!AN1</f>
        <v>0</v>
      </c>
      <c r="AO1" s="371">
        <f>'Section B'!AO1</f>
        <v>0</v>
      </c>
      <c r="AP1" s="371">
        <f>'Section B'!AP1</f>
        <v>0</v>
      </c>
      <c r="AQ1" s="371">
        <f>'Section B'!AQ1</f>
        <v>0</v>
      </c>
      <c r="AR1" s="371">
        <f>'Section B'!AR1</f>
        <v>0</v>
      </c>
      <c r="AS1" s="371">
        <f>'Section B'!AS1</f>
        <v>0</v>
      </c>
      <c r="AT1" s="371">
        <f>'Section B'!AT1</f>
        <v>0</v>
      </c>
      <c r="AU1" s="371">
        <f>'Section B'!AU1</f>
        <v>0</v>
      </c>
      <c r="AV1" s="371">
        <f>'Section B'!AV1</f>
        <v>0</v>
      </c>
      <c r="AW1" s="371">
        <f>'Section B'!AW1</f>
        <v>0</v>
      </c>
    </row>
    <row r="2" spans="1:52" ht="15" x14ac:dyDescent="0.25">
      <c r="J2" s="255" t="s">
        <v>1325</v>
      </c>
      <c r="K2" s="111" t="str">
        <f>'Section B'!K2</f>
        <v>BH 1</v>
      </c>
      <c r="L2" s="111" t="str">
        <f>'Section B'!L2</f>
        <v>BH 2</v>
      </c>
      <c r="M2" s="111">
        <f>'Section B'!M2</f>
        <v>0</v>
      </c>
      <c r="N2" s="111">
        <f>'Section B'!N2</f>
        <v>0</v>
      </c>
      <c r="O2" s="111">
        <f>'Section B'!O2</f>
        <v>0</v>
      </c>
      <c r="P2" s="111">
        <f>'Section B'!P2</f>
        <v>0</v>
      </c>
      <c r="Q2" s="111">
        <f>'Section B'!Q2</f>
        <v>0</v>
      </c>
      <c r="R2" s="111">
        <f>'Section B'!R2</f>
        <v>0</v>
      </c>
      <c r="S2" s="111">
        <f>'Section B'!S2</f>
        <v>0</v>
      </c>
      <c r="T2" s="111">
        <f>'Section B'!T2</f>
        <v>0</v>
      </c>
      <c r="U2" s="111">
        <f>'Section B'!U2</f>
        <v>0</v>
      </c>
      <c r="V2" s="111">
        <f>'Section B'!V2</f>
        <v>0</v>
      </c>
      <c r="W2" s="111">
        <f>'Section B'!W2</f>
        <v>0</v>
      </c>
      <c r="X2" s="111">
        <f>'Section B'!X2</f>
        <v>0</v>
      </c>
      <c r="Y2" s="111">
        <f>'Section B'!Y2</f>
        <v>0</v>
      </c>
      <c r="Z2" s="111">
        <f>'Section B'!Z2</f>
        <v>0</v>
      </c>
      <c r="AA2" s="111">
        <f>'Section B'!AA2</f>
        <v>0</v>
      </c>
      <c r="AB2" s="111">
        <f>'Section B'!AB2</f>
        <v>0</v>
      </c>
      <c r="AC2" s="111">
        <f>'Section B'!AC2</f>
        <v>0</v>
      </c>
      <c r="AD2" s="111">
        <f>'Section B'!AD2</f>
        <v>0</v>
      </c>
      <c r="AE2" s="111">
        <f>'Section B'!AE2</f>
        <v>0</v>
      </c>
      <c r="AF2" s="111">
        <f>'Section B'!AF2</f>
        <v>0</v>
      </c>
      <c r="AG2" s="111">
        <f>'Section B'!AG2</f>
        <v>0</v>
      </c>
      <c r="AH2" s="111">
        <f>'Section B'!AH2</f>
        <v>0</v>
      </c>
      <c r="AI2" s="111">
        <f>'Section B'!AI2</f>
        <v>0</v>
      </c>
      <c r="AJ2" s="111">
        <f>'Section B'!AJ2</f>
        <v>0</v>
      </c>
      <c r="AK2" s="111">
        <f>'Section B'!AK2</f>
        <v>0</v>
      </c>
      <c r="AL2" s="111">
        <f>'Section B'!AL2</f>
        <v>0</v>
      </c>
      <c r="AM2" s="111">
        <f>'Section B'!AM2</f>
        <v>0</v>
      </c>
      <c r="AN2" s="111">
        <f>'Section B'!AN2</f>
        <v>0</v>
      </c>
      <c r="AO2" s="111">
        <f>'Section B'!AO2</f>
        <v>0</v>
      </c>
      <c r="AP2" s="111">
        <f>'Section B'!AP2</f>
        <v>0</v>
      </c>
      <c r="AQ2" s="111">
        <f>'Section B'!AQ2</f>
        <v>0</v>
      </c>
      <c r="AR2" s="111">
        <f>'Section B'!AR2</f>
        <v>0</v>
      </c>
      <c r="AS2" s="111">
        <f>'Section B'!AS2</f>
        <v>0</v>
      </c>
      <c r="AT2" s="111">
        <f>'Section B'!AT2</f>
        <v>0</v>
      </c>
      <c r="AU2" s="111">
        <f>'Section B'!AU2</f>
        <v>0</v>
      </c>
      <c r="AV2" s="111">
        <f>'Section B'!AV2</f>
        <v>0</v>
      </c>
      <c r="AW2" s="111">
        <f>'Section B'!AW2</f>
        <v>0</v>
      </c>
    </row>
    <row r="3" spans="1:52" ht="15" x14ac:dyDescent="0.2">
      <c r="B3" t="s">
        <v>1202</v>
      </c>
      <c r="I3">
        <v>10</v>
      </c>
      <c r="J3" s="107" t="s">
        <v>1172</v>
      </c>
      <c r="K3" s="111">
        <f>'Section B'!K3</f>
        <v>19</v>
      </c>
      <c r="L3" s="111">
        <f>'Section B'!L3</f>
        <v>0</v>
      </c>
      <c r="M3" s="111">
        <f>'Section B'!M3</f>
        <v>0</v>
      </c>
      <c r="N3" s="111">
        <f>'Section B'!N3</f>
        <v>0</v>
      </c>
      <c r="O3" s="111">
        <f>'Section B'!O3</f>
        <v>0</v>
      </c>
      <c r="P3" s="111">
        <f>'Section B'!P3</f>
        <v>0</v>
      </c>
      <c r="Q3" s="111">
        <f>'Section B'!Q3</f>
        <v>0</v>
      </c>
      <c r="R3" s="111">
        <f>'Section B'!R3</f>
        <v>0</v>
      </c>
      <c r="S3" s="111">
        <f>'Section B'!S3</f>
        <v>0</v>
      </c>
      <c r="T3" s="258">
        <f>'Section B'!T3</f>
        <v>0</v>
      </c>
      <c r="U3" s="111">
        <f>'Section B'!U3</f>
        <v>0</v>
      </c>
      <c r="V3" s="258">
        <f>'Section B'!V3</f>
        <v>0</v>
      </c>
      <c r="W3" s="258">
        <f>'Section B'!W3</f>
        <v>0</v>
      </c>
      <c r="X3" s="258">
        <f>'Section B'!X3</f>
        <v>0</v>
      </c>
      <c r="Y3" s="258">
        <f>'Section B'!Y3</f>
        <v>0</v>
      </c>
      <c r="Z3" s="111">
        <f>'Section B'!Z3</f>
        <v>0</v>
      </c>
      <c r="AA3" s="111">
        <f>'Section B'!AA3</f>
        <v>0</v>
      </c>
      <c r="AB3" s="258">
        <f>'Section B'!AB3</f>
        <v>0</v>
      </c>
      <c r="AC3" s="258">
        <f>'Section B'!AC3</f>
        <v>0</v>
      </c>
      <c r="AD3" s="111">
        <f>'Section B'!AD3</f>
        <v>0</v>
      </c>
      <c r="AE3" s="111">
        <f>'Section B'!AE3</f>
        <v>0</v>
      </c>
      <c r="AF3" s="111">
        <f>'Section B'!AF3</f>
        <v>0</v>
      </c>
      <c r="AG3" s="111">
        <f>'Section B'!AG3</f>
        <v>0</v>
      </c>
      <c r="AH3" s="258">
        <f>'Section B'!AH3</f>
        <v>0</v>
      </c>
      <c r="AI3" s="111">
        <f>'Section B'!AI3</f>
        <v>0</v>
      </c>
      <c r="AJ3" s="111">
        <f>'Section B'!AJ3</f>
        <v>0</v>
      </c>
      <c r="AK3" s="111">
        <f>'Section B'!AK3</f>
        <v>0</v>
      </c>
      <c r="AL3" s="111">
        <f>'Section B'!AL3</f>
        <v>0</v>
      </c>
      <c r="AM3" s="111">
        <f>'Section B'!AM3</f>
        <v>0</v>
      </c>
      <c r="AN3" s="111">
        <f>'Section B'!AN3</f>
        <v>0</v>
      </c>
      <c r="AO3" s="111">
        <f>'Section B'!AO3</f>
        <v>0</v>
      </c>
      <c r="AP3" s="111">
        <f>'Section B'!AP3</f>
        <v>0</v>
      </c>
      <c r="AQ3" s="111">
        <f>'Section B'!AQ3</f>
        <v>0</v>
      </c>
      <c r="AR3" s="111">
        <f>'Section B'!AR3</f>
        <v>0</v>
      </c>
      <c r="AS3" s="111">
        <f>'Section B'!AS3</f>
        <v>0</v>
      </c>
      <c r="AT3" s="111">
        <f>'Section B'!AT3</f>
        <v>0</v>
      </c>
      <c r="AU3" s="111">
        <f>'Section B'!AU3</f>
        <v>0</v>
      </c>
      <c r="AV3" s="258">
        <f>'Section B'!AV3</f>
        <v>0</v>
      </c>
      <c r="AW3" s="258">
        <f>'Section B'!AW3</f>
        <v>0</v>
      </c>
    </row>
    <row r="4" spans="1:52" ht="15" x14ac:dyDescent="0.2">
      <c r="H4" s="114" t="s">
        <v>1188</v>
      </c>
      <c r="I4">
        <v>5</v>
      </c>
      <c r="J4" s="108" t="s">
        <v>1173</v>
      </c>
      <c r="K4" s="111">
        <f>'Section B'!K4</f>
        <v>8</v>
      </c>
      <c r="L4" s="111">
        <f>'Section B'!L4</f>
        <v>0</v>
      </c>
      <c r="M4" s="111">
        <f>'Section B'!M4</f>
        <v>0</v>
      </c>
      <c r="N4" s="111">
        <f>'Section B'!N4</f>
        <v>0</v>
      </c>
      <c r="O4" s="111">
        <f>'Section B'!O4</f>
        <v>0</v>
      </c>
      <c r="P4" s="111">
        <f>'Section B'!P4</f>
        <v>0</v>
      </c>
      <c r="Q4" s="111">
        <f>'Section B'!Q4</f>
        <v>0</v>
      </c>
      <c r="R4" s="111">
        <f>'Section B'!R4</f>
        <v>0</v>
      </c>
      <c r="S4" s="111">
        <f>'Section B'!S4</f>
        <v>0</v>
      </c>
      <c r="T4" s="258">
        <f>'Section B'!T4</f>
        <v>0</v>
      </c>
      <c r="U4" s="111">
        <f>'Section B'!U4</f>
        <v>0</v>
      </c>
      <c r="V4" s="258">
        <f>'Section B'!V4</f>
        <v>0</v>
      </c>
      <c r="W4" s="258">
        <f>'Section B'!W4</f>
        <v>0</v>
      </c>
      <c r="X4" s="258">
        <f>'Section B'!X4</f>
        <v>0</v>
      </c>
      <c r="Y4" s="258">
        <f>'Section B'!Y4</f>
        <v>0</v>
      </c>
      <c r="Z4" s="111">
        <f>'Section B'!Z4</f>
        <v>0</v>
      </c>
      <c r="AA4" s="111">
        <f>'Section B'!AA4</f>
        <v>0</v>
      </c>
      <c r="AB4" s="258">
        <f>'Section B'!AB4</f>
        <v>0</v>
      </c>
      <c r="AC4" s="258">
        <f>'Section B'!AC4</f>
        <v>0</v>
      </c>
      <c r="AD4" s="111">
        <f>'Section B'!AD4</f>
        <v>0</v>
      </c>
      <c r="AE4" s="111">
        <f>'Section B'!AE4</f>
        <v>0</v>
      </c>
      <c r="AF4" s="111">
        <f>'Section B'!AF4</f>
        <v>0</v>
      </c>
      <c r="AG4" s="111">
        <f>'Section B'!AG4</f>
        <v>0</v>
      </c>
      <c r="AH4" s="258">
        <f>'Section B'!AH4</f>
        <v>0</v>
      </c>
      <c r="AI4" s="111">
        <f>'Section B'!AI4</f>
        <v>0</v>
      </c>
      <c r="AJ4" s="111">
        <f>'Section B'!AJ4</f>
        <v>0</v>
      </c>
      <c r="AK4" s="111">
        <f>'Section B'!AK4</f>
        <v>0</v>
      </c>
      <c r="AL4" s="111">
        <f>'Section B'!AL4</f>
        <v>0</v>
      </c>
      <c r="AM4" s="111">
        <f>'Section B'!AM4</f>
        <v>0</v>
      </c>
      <c r="AN4" s="111">
        <f>'Section B'!AN4</f>
        <v>0</v>
      </c>
      <c r="AO4" s="111">
        <f>'Section B'!AO4</f>
        <v>0</v>
      </c>
      <c r="AP4" s="120">
        <f>'Section B'!AP4</f>
        <v>0</v>
      </c>
      <c r="AQ4" s="111">
        <f>'Section B'!AQ4</f>
        <v>0</v>
      </c>
      <c r="AR4" s="111">
        <f>'Section B'!AR4</f>
        <v>0</v>
      </c>
      <c r="AS4" s="111">
        <f>'Section B'!AS4</f>
        <v>0</v>
      </c>
      <c r="AT4" s="111">
        <f>'Section B'!AT4</f>
        <v>0</v>
      </c>
      <c r="AU4" s="111">
        <f>'Section B'!AU4</f>
        <v>0</v>
      </c>
      <c r="AV4" s="258">
        <f>'Section B'!AV4</f>
        <v>0</v>
      </c>
      <c r="AW4" s="258">
        <f>'Section B'!AW4</f>
        <v>0</v>
      </c>
    </row>
    <row r="5" spans="1:52" ht="15" x14ac:dyDescent="0.2">
      <c r="H5" s="114"/>
      <c r="J5" s="134" t="s">
        <v>1174</v>
      </c>
      <c r="K5" s="116">
        <f t="shared" ref="K5" si="0">K3-K4</f>
        <v>11</v>
      </c>
      <c r="L5" s="116">
        <f t="shared" ref="L5:AW5" si="1">L3-L4</f>
        <v>0</v>
      </c>
      <c r="M5" s="116">
        <f t="shared" si="1"/>
        <v>0</v>
      </c>
      <c r="N5" s="116">
        <f t="shared" si="1"/>
        <v>0</v>
      </c>
      <c r="O5" s="116">
        <f t="shared" si="1"/>
        <v>0</v>
      </c>
      <c r="P5" s="116">
        <f t="shared" si="1"/>
        <v>0</v>
      </c>
      <c r="Q5" s="116">
        <f t="shared" si="1"/>
        <v>0</v>
      </c>
      <c r="R5" s="116">
        <f t="shared" si="1"/>
        <v>0</v>
      </c>
      <c r="S5" s="116">
        <f t="shared" si="1"/>
        <v>0</v>
      </c>
      <c r="T5" s="116">
        <f t="shared" si="1"/>
        <v>0</v>
      </c>
      <c r="U5" s="116">
        <f t="shared" si="1"/>
        <v>0</v>
      </c>
      <c r="V5" s="116">
        <f t="shared" si="1"/>
        <v>0</v>
      </c>
      <c r="W5" s="116">
        <f t="shared" si="1"/>
        <v>0</v>
      </c>
      <c r="X5" s="116">
        <f t="shared" si="1"/>
        <v>0</v>
      </c>
      <c r="Y5" s="116">
        <f t="shared" si="1"/>
        <v>0</v>
      </c>
      <c r="Z5" s="116">
        <f t="shared" si="1"/>
        <v>0</v>
      </c>
      <c r="AA5" s="116">
        <f>AA3-AA4</f>
        <v>0</v>
      </c>
      <c r="AB5" s="116">
        <f t="shared" si="1"/>
        <v>0</v>
      </c>
      <c r="AC5" s="116">
        <f t="shared" si="1"/>
        <v>0</v>
      </c>
      <c r="AD5" s="116">
        <f t="shared" si="1"/>
        <v>0</v>
      </c>
      <c r="AE5" s="116">
        <f t="shared" si="1"/>
        <v>0</v>
      </c>
      <c r="AF5" s="116">
        <f t="shared" si="1"/>
        <v>0</v>
      </c>
      <c r="AG5" s="116">
        <f t="shared" si="1"/>
        <v>0</v>
      </c>
      <c r="AH5" s="116">
        <f t="shared" si="1"/>
        <v>0</v>
      </c>
      <c r="AI5" s="116">
        <f t="shared" si="1"/>
        <v>0</v>
      </c>
      <c r="AJ5" s="116">
        <f t="shared" si="1"/>
        <v>0</v>
      </c>
      <c r="AK5" s="116">
        <f t="shared" si="1"/>
        <v>0</v>
      </c>
      <c r="AL5" s="116">
        <f t="shared" si="1"/>
        <v>0</v>
      </c>
      <c r="AM5" s="116">
        <f t="shared" si="1"/>
        <v>0</v>
      </c>
      <c r="AN5" s="116">
        <f t="shared" si="1"/>
        <v>0</v>
      </c>
      <c r="AO5" s="116">
        <f t="shared" si="1"/>
        <v>0</v>
      </c>
      <c r="AP5" s="116">
        <f t="shared" si="1"/>
        <v>0</v>
      </c>
      <c r="AQ5" s="116">
        <f t="shared" si="1"/>
        <v>0</v>
      </c>
      <c r="AR5" s="116">
        <f t="shared" si="1"/>
        <v>0</v>
      </c>
      <c r="AS5" s="116">
        <f t="shared" si="1"/>
        <v>0</v>
      </c>
      <c r="AT5" s="116">
        <f t="shared" si="1"/>
        <v>0</v>
      </c>
      <c r="AU5" s="116">
        <f t="shared" si="1"/>
        <v>0</v>
      </c>
      <c r="AV5" s="116">
        <f t="shared" si="1"/>
        <v>0</v>
      </c>
      <c r="AW5" s="116">
        <f t="shared" si="1"/>
        <v>0</v>
      </c>
    </row>
    <row r="6" spans="1:52" ht="15" x14ac:dyDescent="0.2">
      <c r="H6" s="114"/>
      <c r="J6" s="225" t="s">
        <v>1252</v>
      </c>
      <c r="K6" s="111">
        <f>'Section B'!K6</f>
        <v>0</v>
      </c>
      <c r="L6" s="111">
        <f>'Section B'!L6</f>
        <v>0</v>
      </c>
      <c r="M6" s="111">
        <f>'Section B'!M6</f>
        <v>0</v>
      </c>
      <c r="N6" s="111">
        <f>'Section B'!N6</f>
        <v>0</v>
      </c>
      <c r="O6" s="111">
        <f>'Section B'!O6</f>
        <v>0</v>
      </c>
      <c r="P6" s="111">
        <f>'Section B'!P6</f>
        <v>0</v>
      </c>
      <c r="Q6" s="111">
        <f>'Section B'!Q6</f>
        <v>0</v>
      </c>
      <c r="R6" s="111">
        <f>'Section B'!R6</f>
        <v>0</v>
      </c>
      <c r="S6" s="111">
        <f>'Section B'!S6</f>
        <v>0</v>
      </c>
      <c r="T6" s="261">
        <f>'Section B'!T6</f>
        <v>0</v>
      </c>
      <c r="U6" s="111">
        <f>'Section B'!U6</f>
        <v>0</v>
      </c>
      <c r="V6" s="260">
        <f>'Section B'!V6</f>
        <v>0</v>
      </c>
      <c r="W6" s="260">
        <f>'Section B'!W6</f>
        <v>0</v>
      </c>
      <c r="X6" s="260">
        <f>'Section B'!X6</f>
        <v>0</v>
      </c>
      <c r="Y6" s="111">
        <f>'Section B'!Y6</f>
        <v>0</v>
      </c>
      <c r="Z6" s="111">
        <f>'Section B'!Z6</f>
        <v>0</v>
      </c>
      <c r="AA6" s="111">
        <f>'Section B'!AA6</f>
        <v>0</v>
      </c>
      <c r="AB6" s="260">
        <f>'Section B'!AB6</f>
        <v>0</v>
      </c>
      <c r="AC6" s="260">
        <f>'Section B'!AC6</f>
        <v>0</v>
      </c>
      <c r="AD6" s="111">
        <f>'Section B'!AD6</f>
        <v>0</v>
      </c>
      <c r="AE6" s="111">
        <f>'Section B'!AE6</f>
        <v>0</v>
      </c>
      <c r="AF6" s="111">
        <f>'Section B'!AF6</f>
        <v>0</v>
      </c>
      <c r="AG6" s="111">
        <f>'Section B'!AG6</f>
        <v>0</v>
      </c>
      <c r="AH6" s="111">
        <f>'Section B'!AH6</f>
        <v>0</v>
      </c>
      <c r="AI6" s="111">
        <f>'Section B'!AI6</f>
        <v>0</v>
      </c>
      <c r="AJ6" s="111">
        <f>'Section B'!AJ6</f>
        <v>0</v>
      </c>
      <c r="AK6" s="111">
        <f>'Section B'!AK6</f>
        <v>0</v>
      </c>
      <c r="AL6" s="111">
        <f>'Section B'!AL6</f>
        <v>0</v>
      </c>
      <c r="AM6" s="111">
        <f>'Section B'!AM6</f>
        <v>0</v>
      </c>
      <c r="AN6" s="111">
        <f>'Section B'!AN6</f>
        <v>0</v>
      </c>
      <c r="AO6" s="111">
        <f>'Section B'!AO6</f>
        <v>0</v>
      </c>
      <c r="AP6" s="111">
        <f>'Section B'!AP6</f>
        <v>0</v>
      </c>
      <c r="AQ6" s="111">
        <f>'Section B'!AQ6</f>
        <v>0</v>
      </c>
      <c r="AR6" s="111">
        <f>'Section B'!AR6</f>
        <v>0</v>
      </c>
      <c r="AS6" s="111">
        <f>'Section B'!AS6</f>
        <v>0</v>
      </c>
      <c r="AT6" s="111">
        <f>'Section B'!AT6</f>
        <v>0</v>
      </c>
      <c r="AU6" s="111">
        <f>'Section B'!AU6</f>
        <v>0</v>
      </c>
      <c r="AV6" s="111">
        <f>'Section B'!AV6</f>
        <v>0</v>
      </c>
      <c r="AW6" s="111">
        <f>'Section B'!AW6</f>
        <v>0</v>
      </c>
    </row>
    <row r="7" spans="1:52" ht="13.5" thickBot="1" x14ac:dyDescent="0.25">
      <c r="A7" s="5" t="s">
        <v>0</v>
      </c>
      <c r="B7" s="5" t="s">
        <v>1</v>
      </c>
      <c r="C7" s="5" t="s">
        <v>2</v>
      </c>
      <c r="D7" s="5" t="s">
        <v>3</v>
      </c>
      <c r="E7" s="5" t="s">
        <v>4</v>
      </c>
      <c r="F7" s="289" t="s">
        <v>5</v>
      </c>
      <c r="G7" s="155"/>
      <c r="H7" s="115" t="s">
        <v>1189</v>
      </c>
    </row>
    <row r="8" spans="1:52" x14ac:dyDescent="0.2">
      <c r="A8" s="8"/>
      <c r="B8" s="8"/>
      <c r="C8" s="9"/>
      <c r="D8" s="9"/>
      <c r="E8" s="9" t="s">
        <v>6</v>
      </c>
      <c r="F8" s="307" t="s">
        <v>6</v>
      </c>
      <c r="G8" s="156"/>
      <c r="H8" s="147"/>
      <c r="I8" s="137"/>
      <c r="J8" s="125"/>
      <c r="K8" s="132"/>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AM8" s="100"/>
      <c r="AN8" s="100"/>
      <c r="AO8" s="100"/>
      <c r="AP8" s="100"/>
      <c r="AQ8" s="100"/>
      <c r="AR8" s="100"/>
      <c r="AS8" s="100"/>
      <c r="AT8" s="100"/>
      <c r="AU8" s="100"/>
      <c r="AV8" s="100"/>
      <c r="AW8" s="100"/>
      <c r="AX8" s="100"/>
      <c r="AY8" s="100"/>
      <c r="AZ8" s="100"/>
    </row>
    <row r="9" spans="1:52" x14ac:dyDescent="0.2">
      <c r="A9" s="467" t="s">
        <v>1435</v>
      </c>
      <c r="B9" s="172" t="s">
        <v>198</v>
      </c>
      <c r="C9" s="45"/>
      <c r="D9" s="45"/>
      <c r="E9" s="45"/>
      <c r="F9" s="493"/>
      <c r="G9" s="157"/>
      <c r="H9" s="148"/>
      <c r="I9" s="133"/>
      <c r="J9" s="126"/>
      <c r="K9" s="133"/>
      <c r="L9" s="101"/>
      <c r="M9" s="101"/>
      <c r="N9" s="101"/>
      <c r="O9" s="101"/>
      <c r="P9" s="101"/>
      <c r="Q9" s="101"/>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row>
    <row r="10" spans="1:52" x14ac:dyDescent="0.2">
      <c r="A10" s="467"/>
      <c r="B10" s="172" t="s">
        <v>199</v>
      </c>
      <c r="C10" s="45"/>
      <c r="D10" s="45"/>
      <c r="E10" s="45"/>
      <c r="F10" s="493"/>
      <c r="G10" s="157"/>
      <c r="H10" s="148"/>
      <c r="I10" s="133"/>
      <c r="J10" s="126"/>
      <c r="K10" s="133"/>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row>
    <row r="11" spans="1:52" ht="25.5" x14ac:dyDescent="0.2">
      <c r="A11" s="45" t="s">
        <v>200</v>
      </c>
      <c r="B11" s="45" t="s">
        <v>201</v>
      </c>
      <c r="C11" s="45" t="s">
        <v>68</v>
      </c>
      <c r="D11" s="46" t="s">
        <v>96</v>
      </c>
      <c r="E11" s="46"/>
      <c r="F11" s="356" t="str">
        <f t="shared" ref="F11:F16" si="2">IF(ISNUMBER(SEARCH("incl",$D11)),"-",IF(ISNUMBER(SEARCH("not r",$D11)),"-",IF(ISNUMBER(SEARCH("refer",$D11)),"-",IF(C11="sum","",$D11*$E11))))</f>
        <v>-</v>
      </c>
      <c r="G11" s="158"/>
      <c r="H11" s="171">
        <f t="shared" ref="H11:H16" si="3">SUM(K11:AU11)</f>
        <v>0</v>
      </c>
      <c r="I11" s="133"/>
      <c r="J11" s="126"/>
      <c r="K11" s="133"/>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row>
    <row r="12" spans="1:52" ht="25.5" x14ac:dyDescent="0.2">
      <c r="A12" s="45" t="s">
        <v>202</v>
      </c>
      <c r="B12" s="45" t="s">
        <v>203</v>
      </c>
      <c r="C12" s="45" t="s">
        <v>147</v>
      </c>
      <c r="D12" s="46" t="s">
        <v>96</v>
      </c>
      <c r="E12" s="46"/>
      <c r="F12" s="356" t="str">
        <f t="shared" si="2"/>
        <v>-</v>
      </c>
      <c r="G12" s="158"/>
      <c r="H12" s="171">
        <f t="shared" si="3"/>
        <v>0</v>
      </c>
      <c r="I12" s="133"/>
      <c r="J12" s="126"/>
      <c r="K12" s="133"/>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row>
    <row r="13" spans="1:52" ht="25.5" x14ac:dyDescent="0.2">
      <c r="A13" s="45" t="s">
        <v>204</v>
      </c>
      <c r="B13" s="45" t="s">
        <v>205</v>
      </c>
      <c r="C13" s="45" t="s">
        <v>147</v>
      </c>
      <c r="D13" s="46" t="s">
        <v>96</v>
      </c>
      <c r="E13" s="46"/>
      <c r="F13" s="356" t="str">
        <f t="shared" si="2"/>
        <v>-</v>
      </c>
      <c r="G13" s="158"/>
      <c r="H13" s="171">
        <f t="shared" si="3"/>
        <v>0</v>
      </c>
      <c r="I13" s="133"/>
      <c r="J13" s="126"/>
      <c r="K13" s="133"/>
      <c r="L13" s="101"/>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row>
    <row r="14" spans="1:52" ht="25.5" x14ac:dyDescent="0.2">
      <c r="A14" s="45" t="s">
        <v>206</v>
      </c>
      <c r="B14" s="45" t="s">
        <v>207</v>
      </c>
      <c r="C14" s="45" t="s">
        <v>158</v>
      </c>
      <c r="D14" s="46" t="s">
        <v>96</v>
      </c>
      <c r="E14" s="46"/>
      <c r="F14" s="356" t="str">
        <f t="shared" si="2"/>
        <v>-</v>
      </c>
      <c r="G14" s="158"/>
      <c r="H14" s="171">
        <f t="shared" si="3"/>
        <v>0</v>
      </c>
      <c r="I14" s="133"/>
      <c r="J14" s="126"/>
      <c r="K14" s="133"/>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row>
    <row r="15" spans="1:52" ht="51" x14ac:dyDescent="0.2">
      <c r="A15" s="45" t="s">
        <v>208</v>
      </c>
      <c r="B15" s="45" t="s">
        <v>209</v>
      </c>
      <c r="C15" s="45" t="s">
        <v>210</v>
      </c>
      <c r="D15" s="46" t="s">
        <v>96</v>
      </c>
      <c r="E15" s="46"/>
      <c r="F15" s="356" t="str">
        <f t="shared" si="2"/>
        <v>-</v>
      </c>
      <c r="G15" s="158"/>
      <c r="H15" s="171">
        <f t="shared" si="3"/>
        <v>0</v>
      </c>
      <c r="I15" s="133"/>
      <c r="J15" s="126"/>
      <c r="K15" s="133"/>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row>
    <row r="16" spans="1:52" ht="38.25" x14ac:dyDescent="0.2">
      <c r="A16" s="45" t="s">
        <v>211</v>
      </c>
      <c r="B16" s="45" t="s">
        <v>212</v>
      </c>
      <c r="C16" s="45" t="s">
        <v>147</v>
      </c>
      <c r="D16" s="46" t="s">
        <v>96</v>
      </c>
      <c r="E16" s="46"/>
      <c r="F16" s="356" t="str">
        <f t="shared" si="2"/>
        <v>-</v>
      </c>
      <c r="G16" s="158"/>
      <c r="H16" s="171">
        <f t="shared" si="3"/>
        <v>0</v>
      </c>
      <c r="I16" s="133"/>
      <c r="J16" s="126"/>
      <c r="K16" s="133"/>
      <c r="L16" s="101"/>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row>
    <row r="17" spans="1:52" ht="25.5" x14ac:dyDescent="0.2">
      <c r="A17" s="45"/>
      <c r="B17" s="172" t="s">
        <v>213</v>
      </c>
      <c r="C17" s="45"/>
      <c r="D17" s="46"/>
      <c r="E17" s="46"/>
      <c r="F17" s="309"/>
      <c r="G17" s="158"/>
      <c r="H17" s="152"/>
      <c r="I17" s="133"/>
      <c r="J17" s="126"/>
      <c r="K17" s="133"/>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row>
    <row r="18" spans="1:52" ht="38.25" x14ac:dyDescent="0.2">
      <c r="A18" s="235" t="s">
        <v>214</v>
      </c>
      <c r="B18" s="235" t="s">
        <v>1195</v>
      </c>
      <c r="C18" s="235" t="s">
        <v>68</v>
      </c>
      <c r="D18" s="46" t="s">
        <v>96</v>
      </c>
      <c r="E18" s="46"/>
      <c r="F18" s="356" t="str">
        <f t="shared" ref="F18:F26" si="4">IF(ISNUMBER(SEARCH("incl",$D18)),"-",IF(ISNUMBER(SEARCH("not r",$D18)),"-",IF(ISNUMBER(SEARCH("refer",$D18)),"-",IF(C18="sum","",$D18*$E18))))</f>
        <v>-</v>
      </c>
      <c r="G18" s="158"/>
      <c r="H18" s="171">
        <f t="shared" ref="H18:H26" si="5">SUM(K18:AU18)</f>
        <v>0</v>
      </c>
      <c r="I18" s="133"/>
      <c r="J18" s="126"/>
      <c r="K18" s="133"/>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row>
    <row r="19" spans="1:52" ht="63.75" x14ac:dyDescent="0.2">
      <c r="A19" s="235" t="s">
        <v>215</v>
      </c>
      <c r="B19" s="235" t="s">
        <v>1196</v>
      </c>
      <c r="C19" s="235" t="s">
        <v>68</v>
      </c>
      <c r="D19" s="46" t="s">
        <v>96</v>
      </c>
      <c r="E19" s="46"/>
      <c r="F19" s="356" t="str">
        <f t="shared" si="4"/>
        <v>-</v>
      </c>
      <c r="G19" s="158"/>
      <c r="H19" s="171">
        <f t="shared" si="5"/>
        <v>0</v>
      </c>
      <c r="I19" s="133"/>
      <c r="J19" s="126"/>
      <c r="K19" s="133"/>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row>
    <row r="20" spans="1:52" ht="25.5" x14ac:dyDescent="0.2">
      <c r="A20" s="235" t="s">
        <v>216</v>
      </c>
      <c r="B20" s="235" t="s">
        <v>217</v>
      </c>
      <c r="C20" s="235" t="s">
        <v>68</v>
      </c>
      <c r="D20" s="46" t="s">
        <v>96</v>
      </c>
      <c r="E20" s="46"/>
      <c r="F20" s="356" t="str">
        <f t="shared" si="4"/>
        <v>-</v>
      </c>
      <c r="G20" s="158"/>
      <c r="H20" s="171">
        <f t="shared" si="5"/>
        <v>0</v>
      </c>
      <c r="I20" s="133"/>
      <c r="J20" s="126"/>
      <c r="K20" s="133"/>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row>
    <row r="21" spans="1:52" ht="38.25" x14ac:dyDescent="0.2">
      <c r="A21" s="235" t="s">
        <v>218</v>
      </c>
      <c r="B21" s="235" t="s">
        <v>1295</v>
      </c>
      <c r="C21" s="235" t="s">
        <v>1115</v>
      </c>
      <c r="D21" s="46" t="s">
        <v>96</v>
      </c>
      <c r="E21" s="46"/>
      <c r="F21" s="356" t="str">
        <f t="shared" si="4"/>
        <v>-</v>
      </c>
      <c r="G21" s="158"/>
      <c r="H21" s="171">
        <f t="shared" si="5"/>
        <v>0</v>
      </c>
      <c r="I21" s="133"/>
      <c r="J21" s="126"/>
      <c r="K21" s="133"/>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row>
    <row r="22" spans="1:52" ht="25.5" x14ac:dyDescent="0.2">
      <c r="A22" s="235" t="s">
        <v>219</v>
      </c>
      <c r="B22" s="235" t="s">
        <v>1197</v>
      </c>
      <c r="C22" s="235" t="s">
        <v>158</v>
      </c>
      <c r="D22" s="46" t="s">
        <v>96</v>
      </c>
      <c r="E22" s="46"/>
      <c r="F22" s="356" t="str">
        <f t="shared" si="4"/>
        <v>-</v>
      </c>
      <c r="G22" s="158"/>
      <c r="H22" s="171">
        <f t="shared" si="5"/>
        <v>0</v>
      </c>
      <c r="I22" s="133"/>
      <c r="J22" s="126"/>
      <c r="K22" s="133"/>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row>
    <row r="23" spans="1:52" ht="38.25" x14ac:dyDescent="0.2">
      <c r="A23" s="45" t="s">
        <v>220</v>
      </c>
      <c r="B23" s="45" t="s">
        <v>1198</v>
      </c>
      <c r="C23" s="45" t="s">
        <v>147</v>
      </c>
      <c r="D23" s="46" t="s">
        <v>96</v>
      </c>
      <c r="E23" s="46"/>
      <c r="F23" s="356" t="str">
        <f t="shared" si="4"/>
        <v>-</v>
      </c>
      <c r="G23" s="158"/>
      <c r="H23" s="171">
        <f t="shared" si="5"/>
        <v>0</v>
      </c>
      <c r="I23" s="133"/>
      <c r="J23" s="126"/>
      <c r="K23" s="133"/>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row>
    <row r="24" spans="1:52" ht="25.5" x14ac:dyDescent="0.2">
      <c r="A24" s="45" t="s">
        <v>221</v>
      </c>
      <c r="B24" s="45" t="s">
        <v>1199</v>
      </c>
      <c r="C24" s="45" t="s">
        <v>147</v>
      </c>
      <c r="D24" s="46" t="s">
        <v>96</v>
      </c>
      <c r="E24" s="46"/>
      <c r="F24" s="356" t="str">
        <f t="shared" si="4"/>
        <v>-</v>
      </c>
      <c r="G24" s="158"/>
      <c r="H24" s="171">
        <f t="shared" si="5"/>
        <v>0</v>
      </c>
      <c r="I24" s="133"/>
      <c r="J24" s="126"/>
      <c r="K24" s="133"/>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row>
    <row r="25" spans="1:52" ht="25.5" x14ac:dyDescent="0.2">
      <c r="A25" s="45" t="s">
        <v>222</v>
      </c>
      <c r="B25" s="45" t="s">
        <v>1200</v>
      </c>
      <c r="C25" s="45" t="s">
        <v>147</v>
      </c>
      <c r="D25" s="46" t="s">
        <v>96</v>
      </c>
      <c r="E25" s="46"/>
      <c r="F25" s="356" t="str">
        <f t="shared" si="4"/>
        <v>-</v>
      </c>
      <c r="G25" s="158"/>
      <c r="H25" s="171">
        <f t="shared" si="5"/>
        <v>0</v>
      </c>
      <c r="I25" s="133"/>
      <c r="J25" s="126"/>
      <c r="K25" s="133"/>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row>
    <row r="26" spans="1:52" ht="38.25" x14ac:dyDescent="0.2">
      <c r="A26" s="45" t="s">
        <v>223</v>
      </c>
      <c r="B26" s="45" t="s">
        <v>224</v>
      </c>
      <c r="C26" s="45" t="s">
        <v>147</v>
      </c>
      <c r="D26" s="46" t="s">
        <v>96</v>
      </c>
      <c r="E26" s="46"/>
      <c r="F26" s="356" t="str">
        <f t="shared" si="4"/>
        <v>-</v>
      </c>
      <c r="G26" s="158"/>
      <c r="H26" s="171">
        <f t="shared" si="5"/>
        <v>0</v>
      </c>
      <c r="I26" s="133"/>
      <c r="J26" s="126"/>
      <c r="K26" s="133"/>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row>
    <row r="27" spans="1:52" ht="25.5" x14ac:dyDescent="0.2">
      <c r="A27" s="45"/>
      <c r="B27" s="172" t="s">
        <v>1211</v>
      </c>
      <c r="C27" s="45"/>
      <c r="D27" s="46"/>
      <c r="E27" s="46"/>
      <c r="F27" s="309"/>
      <c r="G27" s="158"/>
      <c r="H27" s="152"/>
      <c r="I27" s="133"/>
      <c r="J27" s="126"/>
      <c r="K27" s="133"/>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row>
    <row r="28" spans="1:52" ht="51" x14ac:dyDescent="0.2">
      <c r="A28" s="45" t="s">
        <v>225</v>
      </c>
      <c r="B28" s="45" t="s">
        <v>1201</v>
      </c>
      <c r="C28" s="45" t="s">
        <v>68</v>
      </c>
      <c r="D28" s="46" t="s">
        <v>1299</v>
      </c>
      <c r="E28" s="46" t="s">
        <v>1205</v>
      </c>
      <c r="F28" s="356" t="str">
        <f t="shared" ref="F28:F38" si="6">IF(ISNUMBER(SEARCH("incl",$D28)),"-",IF(ISNUMBER(SEARCH("not r",$D28)),"-",IF(ISNUMBER(SEARCH("refer",$D28)),"-",IF(C28="sum","",$D28*$E28))))</f>
        <v>-</v>
      </c>
      <c r="G28" s="158"/>
      <c r="H28" s="171">
        <f t="shared" ref="H28:H35" si="7">SUM(K28:AU28)</f>
        <v>0</v>
      </c>
      <c r="I28" s="133"/>
      <c r="J28" s="126"/>
      <c r="K28" s="133"/>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row>
    <row r="29" spans="1:52" ht="51" x14ac:dyDescent="0.2">
      <c r="A29" s="235" t="s">
        <v>1300</v>
      </c>
      <c r="B29" s="235" t="s">
        <v>1278</v>
      </c>
      <c r="C29" s="45" t="s">
        <v>68</v>
      </c>
      <c r="D29" s="46">
        <f>H29</f>
        <v>1</v>
      </c>
      <c r="E29" s="46"/>
      <c r="F29" s="356">
        <f t="shared" si="6"/>
        <v>0</v>
      </c>
      <c r="G29" s="158"/>
      <c r="H29" s="171">
        <f t="shared" si="7"/>
        <v>1</v>
      </c>
      <c r="I29" s="133"/>
      <c r="J29" s="126"/>
      <c r="K29" s="116">
        <f>IF(K$5=0,0,IF(K$4=0,0,IF(K$6=0,1,0)))</f>
        <v>1</v>
      </c>
      <c r="L29" s="116">
        <f t="shared" ref="L29:AW29" si="8">IF(L$5=0,0,IF(L$4=0,0,IF(L$6=0,1,0)))</f>
        <v>0</v>
      </c>
      <c r="M29" s="116">
        <f t="shared" si="8"/>
        <v>0</v>
      </c>
      <c r="N29" s="116">
        <f t="shared" si="8"/>
        <v>0</v>
      </c>
      <c r="O29" s="116">
        <f t="shared" si="8"/>
        <v>0</v>
      </c>
      <c r="P29" s="116">
        <f t="shared" si="8"/>
        <v>0</v>
      </c>
      <c r="Q29" s="116">
        <f t="shared" si="8"/>
        <v>0</v>
      </c>
      <c r="R29" s="116">
        <f t="shared" si="8"/>
        <v>0</v>
      </c>
      <c r="S29" s="116">
        <f t="shared" si="8"/>
        <v>0</v>
      </c>
      <c r="T29" s="116">
        <f t="shared" si="8"/>
        <v>0</v>
      </c>
      <c r="U29" s="116">
        <f t="shared" si="8"/>
        <v>0</v>
      </c>
      <c r="V29" s="116">
        <f t="shared" si="8"/>
        <v>0</v>
      </c>
      <c r="W29" s="116">
        <f t="shared" si="8"/>
        <v>0</v>
      </c>
      <c r="X29" s="116">
        <f t="shared" si="8"/>
        <v>0</v>
      </c>
      <c r="Y29" s="116">
        <f t="shared" si="8"/>
        <v>0</v>
      </c>
      <c r="Z29" s="116">
        <f t="shared" si="8"/>
        <v>0</v>
      </c>
      <c r="AA29" s="116">
        <f t="shared" si="8"/>
        <v>0</v>
      </c>
      <c r="AB29" s="116">
        <f t="shared" si="8"/>
        <v>0</v>
      </c>
      <c r="AC29" s="116">
        <f t="shared" si="8"/>
        <v>0</v>
      </c>
      <c r="AD29" s="116">
        <f t="shared" si="8"/>
        <v>0</v>
      </c>
      <c r="AE29" s="116">
        <f t="shared" si="8"/>
        <v>0</v>
      </c>
      <c r="AF29" s="116">
        <f t="shared" si="8"/>
        <v>0</v>
      </c>
      <c r="AG29" s="116">
        <f t="shared" si="8"/>
        <v>0</v>
      </c>
      <c r="AH29" s="116">
        <f t="shared" si="8"/>
        <v>0</v>
      </c>
      <c r="AI29" s="116">
        <f t="shared" si="8"/>
        <v>0</v>
      </c>
      <c r="AJ29" s="116">
        <f t="shared" si="8"/>
        <v>0</v>
      </c>
      <c r="AK29" s="116">
        <f t="shared" si="8"/>
        <v>0</v>
      </c>
      <c r="AL29" s="116">
        <f t="shared" si="8"/>
        <v>0</v>
      </c>
      <c r="AM29" s="116">
        <f t="shared" si="8"/>
        <v>0</v>
      </c>
      <c r="AN29" s="116">
        <f t="shared" si="8"/>
        <v>0</v>
      </c>
      <c r="AO29" s="116">
        <f t="shared" si="8"/>
        <v>0</v>
      </c>
      <c r="AP29" s="116">
        <f t="shared" si="8"/>
        <v>0</v>
      </c>
      <c r="AQ29" s="116">
        <f t="shared" si="8"/>
        <v>0</v>
      </c>
      <c r="AR29" s="116">
        <f t="shared" si="8"/>
        <v>0</v>
      </c>
      <c r="AS29" s="116">
        <f t="shared" si="8"/>
        <v>0</v>
      </c>
      <c r="AT29" s="116">
        <f t="shared" si="8"/>
        <v>0</v>
      </c>
      <c r="AU29" s="116">
        <f t="shared" si="8"/>
        <v>0</v>
      </c>
      <c r="AV29" s="116">
        <f t="shared" si="8"/>
        <v>0</v>
      </c>
      <c r="AW29" s="116">
        <f t="shared" si="8"/>
        <v>0</v>
      </c>
      <c r="AX29" s="101"/>
      <c r="AY29" s="101"/>
      <c r="AZ29" s="101"/>
    </row>
    <row r="30" spans="1:52" ht="63.75" x14ac:dyDescent="0.2">
      <c r="A30" s="235" t="s">
        <v>1301</v>
      </c>
      <c r="B30" s="235" t="s">
        <v>1296</v>
      </c>
      <c r="C30" s="45" t="s">
        <v>68</v>
      </c>
      <c r="D30" s="46">
        <f>H30</f>
        <v>0</v>
      </c>
      <c r="E30" s="46"/>
      <c r="F30" s="356">
        <f t="shared" si="6"/>
        <v>0</v>
      </c>
      <c r="G30" s="158"/>
      <c r="H30" s="171">
        <f t="shared" si="7"/>
        <v>0</v>
      </c>
      <c r="I30" s="133"/>
      <c r="J30" s="126"/>
      <c r="K30" s="116">
        <f>IF(K$5=0,0,IF(K$4=0,0,IF(K$6=0,0,1)))</f>
        <v>0</v>
      </c>
      <c r="L30" s="116">
        <f t="shared" ref="L30:AW30" si="9">IF(L$5=0,0,IF(L$4=0,0,IF(L$6=0,0,1)))</f>
        <v>0</v>
      </c>
      <c r="M30" s="116">
        <f t="shared" si="9"/>
        <v>0</v>
      </c>
      <c r="N30" s="116">
        <f t="shared" si="9"/>
        <v>0</v>
      </c>
      <c r="O30" s="116">
        <f t="shared" si="9"/>
        <v>0</v>
      </c>
      <c r="P30" s="116">
        <f t="shared" si="9"/>
        <v>0</v>
      </c>
      <c r="Q30" s="116">
        <f t="shared" si="9"/>
        <v>0</v>
      </c>
      <c r="R30" s="116">
        <f t="shared" si="9"/>
        <v>0</v>
      </c>
      <c r="S30" s="116">
        <f t="shared" si="9"/>
        <v>0</v>
      </c>
      <c r="T30" s="116">
        <f t="shared" si="9"/>
        <v>0</v>
      </c>
      <c r="U30" s="116">
        <f t="shared" si="9"/>
        <v>0</v>
      </c>
      <c r="V30" s="116">
        <f t="shared" si="9"/>
        <v>0</v>
      </c>
      <c r="W30" s="116">
        <f t="shared" si="9"/>
        <v>0</v>
      </c>
      <c r="X30" s="116">
        <f t="shared" si="9"/>
        <v>0</v>
      </c>
      <c r="Y30" s="116">
        <f t="shared" si="9"/>
        <v>0</v>
      </c>
      <c r="Z30" s="116">
        <f t="shared" si="9"/>
        <v>0</v>
      </c>
      <c r="AA30" s="116">
        <f t="shared" si="9"/>
        <v>0</v>
      </c>
      <c r="AB30" s="116">
        <f t="shared" si="9"/>
        <v>0</v>
      </c>
      <c r="AC30" s="116">
        <f t="shared" si="9"/>
        <v>0</v>
      </c>
      <c r="AD30" s="116">
        <f t="shared" si="9"/>
        <v>0</v>
      </c>
      <c r="AE30" s="116">
        <f t="shared" si="9"/>
        <v>0</v>
      </c>
      <c r="AF30" s="116">
        <f t="shared" si="9"/>
        <v>0</v>
      </c>
      <c r="AG30" s="116">
        <f t="shared" si="9"/>
        <v>0</v>
      </c>
      <c r="AH30" s="116">
        <f t="shared" si="9"/>
        <v>0</v>
      </c>
      <c r="AI30" s="116">
        <f t="shared" si="9"/>
        <v>0</v>
      </c>
      <c r="AJ30" s="116">
        <f t="shared" si="9"/>
        <v>0</v>
      </c>
      <c r="AK30" s="116">
        <f t="shared" si="9"/>
        <v>0</v>
      </c>
      <c r="AL30" s="116">
        <f t="shared" si="9"/>
        <v>0</v>
      </c>
      <c r="AM30" s="116">
        <f t="shared" si="9"/>
        <v>0</v>
      </c>
      <c r="AN30" s="116">
        <f t="shared" si="9"/>
        <v>0</v>
      </c>
      <c r="AO30" s="116">
        <f t="shared" si="9"/>
        <v>0</v>
      </c>
      <c r="AP30" s="116">
        <f t="shared" si="9"/>
        <v>0</v>
      </c>
      <c r="AQ30" s="116">
        <f t="shared" si="9"/>
        <v>0</v>
      </c>
      <c r="AR30" s="116">
        <f t="shared" si="9"/>
        <v>0</v>
      </c>
      <c r="AS30" s="116">
        <f t="shared" si="9"/>
        <v>0</v>
      </c>
      <c r="AT30" s="116">
        <f t="shared" si="9"/>
        <v>0</v>
      </c>
      <c r="AU30" s="116">
        <f t="shared" si="9"/>
        <v>0</v>
      </c>
      <c r="AV30" s="116">
        <f t="shared" si="9"/>
        <v>0</v>
      </c>
      <c r="AW30" s="116">
        <f t="shared" si="9"/>
        <v>0</v>
      </c>
      <c r="AX30" s="101"/>
      <c r="AY30" s="101"/>
      <c r="AZ30" s="101"/>
    </row>
    <row r="31" spans="1:52" ht="51" x14ac:dyDescent="0.2">
      <c r="A31" s="235" t="s">
        <v>1302</v>
      </c>
      <c r="B31" s="235" t="s">
        <v>1279</v>
      </c>
      <c r="C31" s="45" t="s">
        <v>68</v>
      </c>
      <c r="D31" s="46">
        <f t="shared" ref="D31:D32" si="10">H31</f>
        <v>0</v>
      </c>
      <c r="E31" s="46"/>
      <c r="F31" s="356">
        <f t="shared" si="6"/>
        <v>0</v>
      </c>
      <c r="G31" s="158"/>
      <c r="H31" s="171">
        <f t="shared" si="7"/>
        <v>0</v>
      </c>
      <c r="I31" s="133"/>
      <c r="J31" s="126"/>
      <c r="K31" s="116">
        <f>IF(K$5=0,0,IF(K$4=0,IF(K$6=0,1,0),0))</f>
        <v>0</v>
      </c>
      <c r="L31" s="116">
        <f t="shared" ref="L31:AW31" si="11">IF(L$5=0,0,IF(L$4=0,IF(L$6=0,1,0),0))</f>
        <v>0</v>
      </c>
      <c r="M31" s="116">
        <f t="shared" si="11"/>
        <v>0</v>
      </c>
      <c r="N31" s="116">
        <f t="shared" si="11"/>
        <v>0</v>
      </c>
      <c r="O31" s="116">
        <f t="shared" si="11"/>
        <v>0</v>
      </c>
      <c r="P31" s="116">
        <f t="shared" si="11"/>
        <v>0</v>
      </c>
      <c r="Q31" s="116">
        <f t="shared" si="11"/>
        <v>0</v>
      </c>
      <c r="R31" s="116">
        <f t="shared" si="11"/>
        <v>0</v>
      </c>
      <c r="S31" s="116">
        <f t="shared" si="11"/>
        <v>0</v>
      </c>
      <c r="T31" s="116">
        <f t="shared" si="11"/>
        <v>0</v>
      </c>
      <c r="U31" s="116">
        <f t="shared" si="11"/>
        <v>0</v>
      </c>
      <c r="V31" s="116">
        <f t="shared" si="11"/>
        <v>0</v>
      </c>
      <c r="W31" s="116">
        <f t="shared" si="11"/>
        <v>0</v>
      </c>
      <c r="X31" s="116">
        <f t="shared" si="11"/>
        <v>0</v>
      </c>
      <c r="Y31" s="116">
        <f t="shared" si="11"/>
        <v>0</v>
      </c>
      <c r="Z31" s="116">
        <f t="shared" si="11"/>
        <v>0</v>
      </c>
      <c r="AA31" s="116">
        <f t="shared" si="11"/>
        <v>0</v>
      </c>
      <c r="AB31" s="116">
        <f t="shared" si="11"/>
        <v>0</v>
      </c>
      <c r="AC31" s="116">
        <f t="shared" si="11"/>
        <v>0</v>
      </c>
      <c r="AD31" s="116">
        <f t="shared" si="11"/>
        <v>0</v>
      </c>
      <c r="AE31" s="116">
        <f t="shared" si="11"/>
        <v>0</v>
      </c>
      <c r="AF31" s="116">
        <f t="shared" si="11"/>
        <v>0</v>
      </c>
      <c r="AG31" s="116">
        <f t="shared" si="11"/>
        <v>0</v>
      </c>
      <c r="AH31" s="116">
        <f t="shared" si="11"/>
        <v>0</v>
      </c>
      <c r="AI31" s="116">
        <f t="shared" si="11"/>
        <v>0</v>
      </c>
      <c r="AJ31" s="116">
        <f t="shared" si="11"/>
        <v>0</v>
      </c>
      <c r="AK31" s="116">
        <f t="shared" si="11"/>
        <v>0</v>
      </c>
      <c r="AL31" s="116">
        <f t="shared" si="11"/>
        <v>0</v>
      </c>
      <c r="AM31" s="116">
        <f t="shared" si="11"/>
        <v>0</v>
      </c>
      <c r="AN31" s="116">
        <f t="shared" si="11"/>
        <v>0</v>
      </c>
      <c r="AO31" s="116">
        <f t="shared" si="11"/>
        <v>0</v>
      </c>
      <c r="AP31" s="116">
        <f t="shared" si="11"/>
        <v>0</v>
      </c>
      <c r="AQ31" s="116">
        <f t="shared" si="11"/>
        <v>0</v>
      </c>
      <c r="AR31" s="116">
        <f t="shared" si="11"/>
        <v>0</v>
      </c>
      <c r="AS31" s="116">
        <f t="shared" si="11"/>
        <v>0</v>
      </c>
      <c r="AT31" s="116">
        <f t="shared" si="11"/>
        <v>0</v>
      </c>
      <c r="AU31" s="116">
        <f t="shared" si="11"/>
        <v>0</v>
      </c>
      <c r="AV31" s="116">
        <f t="shared" si="11"/>
        <v>0</v>
      </c>
      <c r="AW31" s="116">
        <f t="shared" si="11"/>
        <v>0</v>
      </c>
      <c r="AX31" s="101"/>
      <c r="AY31" s="101"/>
      <c r="AZ31" s="101"/>
    </row>
    <row r="32" spans="1:52" ht="63.75" x14ac:dyDescent="0.2">
      <c r="A32" s="235" t="s">
        <v>1303</v>
      </c>
      <c r="B32" s="235" t="s">
        <v>1297</v>
      </c>
      <c r="C32" s="45" t="s">
        <v>68</v>
      </c>
      <c r="D32" s="46">
        <f t="shared" si="10"/>
        <v>0</v>
      </c>
      <c r="E32" s="46"/>
      <c r="F32" s="356">
        <f t="shared" si="6"/>
        <v>0</v>
      </c>
      <c r="G32" s="158"/>
      <c r="H32" s="171">
        <f t="shared" si="7"/>
        <v>0</v>
      </c>
      <c r="I32" s="133"/>
      <c r="J32" s="126"/>
      <c r="K32" s="116">
        <f>IF(K$5=0,0,IF(K$4=0,IF(K$6=0,0,1),0))</f>
        <v>0</v>
      </c>
      <c r="L32" s="116">
        <f t="shared" ref="L32:AW32" si="12">IF(L$5=0,0,IF(L$4=0,IF(L$6=0,0,1),0))</f>
        <v>0</v>
      </c>
      <c r="M32" s="116">
        <f t="shared" si="12"/>
        <v>0</v>
      </c>
      <c r="N32" s="116">
        <f t="shared" si="12"/>
        <v>0</v>
      </c>
      <c r="O32" s="116">
        <f t="shared" si="12"/>
        <v>0</v>
      </c>
      <c r="P32" s="116">
        <f t="shared" si="12"/>
        <v>0</v>
      </c>
      <c r="Q32" s="116">
        <f t="shared" si="12"/>
        <v>0</v>
      </c>
      <c r="R32" s="116">
        <f t="shared" si="12"/>
        <v>0</v>
      </c>
      <c r="S32" s="116">
        <f t="shared" si="12"/>
        <v>0</v>
      </c>
      <c r="T32" s="116">
        <f t="shared" si="12"/>
        <v>0</v>
      </c>
      <c r="U32" s="116">
        <f t="shared" si="12"/>
        <v>0</v>
      </c>
      <c r="V32" s="116">
        <f t="shared" si="12"/>
        <v>0</v>
      </c>
      <c r="W32" s="116">
        <f t="shared" si="12"/>
        <v>0</v>
      </c>
      <c r="X32" s="116">
        <f t="shared" si="12"/>
        <v>0</v>
      </c>
      <c r="Y32" s="116">
        <f t="shared" si="12"/>
        <v>0</v>
      </c>
      <c r="Z32" s="116">
        <f t="shared" si="12"/>
        <v>0</v>
      </c>
      <c r="AA32" s="116">
        <f t="shared" si="12"/>
        <v>0</v>
      </c>
      <c r="AB32" s="116">
        <f t="shared" si="12"/>
        <v>0</v>
      </c>
      <c r="AC32" s="116">
        <f t="shared" si="12"/>
        <v>0</v>
      </c>
      <c r="AD32" s="116">
        <f t="shared" si="12"/>
        <v>0</v>
      </c>
      <c r="AE32" s="116">
        <f t="shared" si="12"/>
        <v>0</v>
      </c>
      <c r="AF32" s="116">
        <f t="shared" si="12"/>
        <v>0</v>
      </c>
      <c r="AG32" s="116">
        <f t="shared" si="12"/>
        <v>0</v>
      </c>
      <c r="AH32" s="116">
        <f t="shared" si="12"/>
        <v>0</v>
      </c>
      <c r="AI32" s="116">
        <f t="shared" si="12"/>
        <v>0</v>
      </c>
      <c r="AJ32" s="116">
        <f t="shared" si="12"/>
        <v>0</v>
      </c>
      <c r="AK32" s="116">
        <f t="shared" si="12"/>
        <v>0</v>
      </c>
      <c r="AL32" s="116">
        <f t="shared" si="12"/>
        <v>0</v>
      </c>
      <c r="AM32" s="116">
        <f t="shared" si="12"/>
        <v>0</v>
      </c>
      <c r="AN32" s="116">
        <f t="shared" si="12"/>
        <v>0</v>
      </c>
      <c r="AO32" s="116">
        <f t="shared" si="12"/>
        <v>0</v>
      </c>
      <c r="AP32" s="116">
        <f t="shared" si="12"/>
        <v>0</v>
      </c>
      <c r="AQ32" s="116">
        <f t="shared" si="12"/>
        <v>0</v>
      </c>
      <c r="AR32" s="116">
        <f t="shared" si="12"/>
        <v>0</v>
      </c>
      <c r="AS32" s="116">
        <f t="shared" si="12"/>
        <v>0</v>
      </c>
      <c r="AT32" s="116">
        <f t="shared" si="12"/>
        <v>0</v>
      </c>
      <c r="AU32" s="116">
        <f t="shared" si="12"/>
        <v>0</v>
      </c>
      <c r="AV32" s="116">
        <f t="shared" si="12"/>
        <v>0</v>
      </c>
      <c r="AW32" s="116">
        <f t="shared" si="12"/>
        <v>0</v>
      </c>
      <c r="AX32" s="101"/>
      <c r="AY32" s="101"/>
      <c r="AZ32" s="101"/>
    </row>
    <row r="33" spans="1:52" ht="76.5" x14ac:dyDescent="0.2">
      <c r="A33" s="235" t="s">
        <v>1204</v>
      </c>
      <c r="B33" s="235" t="s">
        <v>1203</v>
      </c>
      <c r="C33" s="45" t="s">
        <v>68</v>
      </c>
      <c r="D33" s="353">
        <f>H33</f>
        <v>0</v>
      </c>
      <c r="E33" s="46"/>
      <c r="F33" s="356">
        <f t="shared" si="6"/>
        <v>0</v>
      </c>
      <c r="G33" s="158"/>
      <c r="H33" s="171">
        <f t="shared" si="7"/>
        <v>0</v>
      </c>
      <c r="I33" s="133"/>
      <c r="J33" s="126"/>
      <c r="K33" s="116">
        <f>K31</f>
        <v>0</v>
      </c>
      <c r="L33" s="116">
        <f t="shared" ref="L33" si="13">L31</f>
        <v>0</v>
      </c>
      <c r="M33" s="116">
        <f t="shared" ref="M33" si="14">M31</f>
        <v>0</v>
      </c>
      <c r="N33" s="116">
        <f t="shared" ref="N33:AW33" si="15">N31</f>
        <v>0</v>
      </c>
      <c r="O33" s="116">
        <f t="shared" si="15"/>
        <v>0</v>
      </c>
      <c r="P33" s="116">
        <f t="shared" si="15"/>
        <v>0</v>
      </c>
      <c r="Q33" s="116">
        <f t="shared" si="15"/>
        <v>0</v>
      </c>
      <c r="R33" s="116">
        <f t="shared" si="15"/>
        <v>0</v>
      </c>
      <c r="S33" s="116">
        <f t="shared" si="15"/>
        <v>0</v>
      </c>
      <c r="T33" s="116">
        <f t="shared" si="15"/>
        <v>0</v>
      </c>
      <c r="U33" s="116">
        <f t="shared" si="15"/>
        <v>0</v>
      </c>
      <c r="V33" s="116">
        <f t="shared" si="15"/>
        <v>0</v>
      </c>
      <c r="W33" s="116">
        <f t="shared" si="15"/>
        <v>0</v>
      </c>
      <c r="X33" s="116">
        <f t="shared" si="15"/>
        <v>0</v>
      </c>
      <c r="Y33" s="116">
        <f t="shared" si="15"/>
        <v>0</v>
      </c>
      <c r="Z33" s="116">
        <f t="shared" si="15"/>
        <v>0</v>
      </c>
      <c r="AA33" s="116">
        <f t="shared" si="15"/>
        <v>0</v>
      </c>
      <c r="AB33" s="116">
        <f t="shared" si="15"/>
        <v>0</v>
      </c>
      <c r="AC33" s="116">
        <f t="shared" si="15"/>
        <v>0</v>
      </c>
      <c r="AD33" s="116">
        <f t="shared" si="15"/>
        <v>0</v>
      </c>
      <c r="AE33" s="116">
        <f t="shared" si="15"/>
        <v>0</v>
      </c>
      <c r="AF33" s="116">
        <f t="shared" si="15"/>
        <v>0</v>
      </c>
      <c r="AG33" s="116">
        <f t="shared" si="15"/>
        <v>0</v>
      </c>
      <c r="AH33" s="116">
        <f t="shared" si="15"/>
        <v>0</v>
      </c>
      <c r="AI33" s="116">
        <f t="shared" si="15"/>
        <v>0</v>
      </c>
      <c r="AJ33" s="116">
        <f t="shared" si="15"/>
        <v>0</v>
      </c>
      <c r="AK33" s="116">
        <f t="shared" si="15"/>
        <v>0</v>
      </c>
      <c r="AL33" s="116">
        <f t="shared" si="15"/>
        <v>0</v>
      </c>
      <c r="AM33" s="116">
        <f t="shared" si="15"/>
        <v>0</v>
      </c>
      <c r="AN33" s="116">
        <f t="shared" si="15"/>
        <v>0</v>
      </c>
      <c r="AO33" s="116">
        <f t="shared" si="15"/>
        <v>0</v>
      </c>
      <c r="AP33" s="116">
        <f t="shared" si="15"/>
        <v>0</v>
      </c>
      <c r="AQ33" s="116">
        <f t="shared" si="15"/>
        <v>0</v>
      </c>
      <c r="AR33" s="116">
        <f t="shared" si="15"/>
        <v>0</v>
      </c>
      <c r="AS33" s="116">
        <f t="shared" si="15"/>
        <v>0</v>
      </c>
      <c r="AT33" s="116">
        <f t="shared" si="15"/>
        <v>0</v>
      </c>
      <c r="AU33" s="116">
        <f t="shared" si="15"/>
        <v>0</v>
      </c>
      <c r="AV33" s="116">
        <f t="shared" si="15"/>
        <v>0</v>
      </c>
      <c r="AW33" s="116">
        <f t="shared" si="15"/>
        <v>0</v>
      </c>
      <c r="AX33" s="101"/>
      <c r="AY33" s="101"/>
      <c r="AZ33" s="101"/>
    </row>
    <row r="34" spans="1:52" ht="35.1" customHeight="1" x14ac:dyDescent="0.2">
      <c r="A34" s="45" t="s">
        <v>226</v>
      </c>
      <c r="B34" s="45" t="s">
        <v>1225</v>
      </c>
      <c r="C34" s="45" t="s">
        <v>68</v>
      </c>
      <c r="D34" s="46" t="s">
        <v>96</v>
      </c>
      <c r="E34" s="46" t="s">
        <v>1167</v>
      </c>
      <c r="F34" s="356" t="str">
        <f t="shared" si="6"/>
        <v>-</v>
      </c>
      <c r="G34" s="158"/>
      <c r="H34" s="171">
        <f t="shared" si="7"/>
        <v>0</v>
      </c>
      <c r="I34" s="133"/>
      <c r="J34" s="126"/>
      <c r="K34" s="133"/>
      <c r="L34" s="133"/>
      <c r="M34" s="133"/>
      <c r="N34" s="133"/>
      <c r="O34" s="133"/>
      <c r="P34" s="133"/>
      <c r="Q34" s="133"/>
      <c r="R34" s="264"/>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01"/>
      <c r="AY34" s="101"/>
      <c r="AZ34" s="101"/>
    </row>
    <row r="35" spans="1:52" ht="25.5" x14ac:dyDescent="0.2">
      <c r="A35" s="45" t="s">
        <v>227</v>
      </c>
      <c r="B35" s="45" t="s">
        <v>228</v>
      </c>
      <c r="C35" s="45" t="s">
        <v>68</v>
      </c>
      <c r="D35" s="46" t="s">
        <v>96</v>
      </c>
      <c r="E35" s="46" t="s">
        <v>1167</v>
      </c>
      <c r="F35" s="356" t="str">
        <f t="shared" si="6"/>
        <v>-</v>
      </c>
      <c r="G35" s="158"/>
      <c r="H35" s="171">
        <f t="shared" si="7"/>
        <v>0</v>
      </c>
      <c r="I35" s="133"/>
      <c r="J35" s="126"/>
      <c r="K35" s="133"/>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row>
    <row r="36" spans="1:52" ht="38.25" x14ac:dyDescent="0.2">
      <c r="A36" s="235" t="s">
        <v>229</v>
      </c>
      <c r="B36" s="235" t="s">
        <v>1298</v>
      </c>
      <c r="C36" s="45" t="s">
        <v>1115</v>
      </c>
      <c r="D36" s="353">
        <v>1</v>
      </c>
      <c r="E36" s="46"/>
      <c r="F36" s="356">
        <f t="shared" si="6"/>
        <v>0</v>
      </c>
      <c r="G36" s="158"/>
      <c r="H36" s="354"/>
      <c r="I36" s="133">
        <v>1</v>
      </c>
      <c r="J36" s="234" t="s">
        <v>1246</v>
      </c>
      <c r="K36" s="133"/>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row>
    <row r="37" spans="1:52" ht="38.25" x14ac:dyDescent="0.2">
      <c r="A37" s="45" t="s">
        <v>230</v>
      </c>
      <c r="B37" s="45" t="s">
        <v>1224</v>
      </c>
      <c r="C37" s="45" t="s">
        <v>158</v>
      </c>
      <c r="D37" s="46">
        <f>H37</f>
        <v>0.5</v>
      </c>
      <c r="E37" s="46"/>
      <c r="F37" s="356">
        <f t="shared" si="6"/>
        <v>0</v>
      </c>
      <c r="G37" s="158"/>
      <c r="H37" s="171">
        <f>(H$29+H$31)*$I37</f>
        <v>0.5</v>
      </c>
      <c r="I37" s="121">
        <v>0.5</v>
      </c>
      <c r="J37" s="175" t="s">
        <v>1226</v>
      </c>
      <c r="K37" s="116">
        <f>MAX(K$29:K$31)*$I37</f>
        <v>0.5</v>
      </c>
      <c r="L37" s="116">
        <f t="shared" ref="L37:AW37" si="16">MAX(L$29:L$31)*$I37</f>
        <v>0</v>
      </c>
      <c r="M37" s="116">
        <f t="shared" si="16"/>
        <v>0</v>
      </c>
      <c r="N37" s="116">
        <f t="shared" si="16"/>
        <v>0</v>
      </c>
      <c r="O37" s="116">
        <f t="shared" si="16"/>
        <v>0</v>
      </c>
      <c r="P37" s="116">
        <f t="shared" si="16"/>
        <v>0</v>
      </c>
      <c r="Q37" s="116">
        <f t="shared" si="16"/>
        <v>0</v>
      </c>
      <c r="R37" s="116">
        <f t="shared" si="16"/>
        <v>0</v>
      </c>
      <c r="S37" s="116">
        <f t="shared" si="16"/>
        <v>0</v>
      </c>
      <c r="T37" s="116">
        <f t="shared" si="16"/>
        <v>0</v>
      </c>
      <c r="U37" s="116">
        <f t="shared" si="16"/>
        <v>0</v>
      </c>
      <c r="V37" s="116">
        <f t="shared" si="16"/>
        <v>0</v>
      </c>
      <c r="W37" s="116">
        <f t="shared" si="16"/>
        <v>0</v>
      </c>
      <c r="X37" s="116">
        <f t="shared" si="16"/>
        <v>0</v>
      </c>
      <c r="Y37" s="116">
        <f t="shared" si="16"/>
        <v>0</v>
      </c>
      <c r="Z37" s="116">
        <f t="shared" si="16"/>
        <v>0</v>
      </c>
      <c r="AA37" s="116">
        <f t="shared" si="16"/>
        <v>0</v>
      </c>
      <c r="AB37" s="116">
        <f t="shared" si="16"/>
        <v>0</v>
      </c>
      <c r="AC37" s="116">
        <f t="shared" si="16"/>
        <v>0</v>
      </c>
      <c r="AD37" s="116">
        <f t="shared" si="16"/>
        <v>0</v>
      </c>
      <c r="AE37" s="116">
        <f t="shared" si="16"/>
        <v>0</v>
      </c>
      <c r="AF37" s="116">
        <f t="shared" si="16"/>
        <v>0</v>
      </c>
      <c r="AG37" s="116">
        <f t="shared" si="16"/>
        <v>0</v>
      </c>
      <c r="AH37" s="116">
        <f t="shared" si="16"/>
        <v>0</v>
      </c>
      <c r="AI37" s="116">
        <f t="shared" si="16"/>
        <v>0</v>
      </c>
      <c r="AJ37" s="116">
        <f t="shared" si="16"/>
        <v>0</v>
      </c>
      <c r="AK37" s="116">
        <f t="shared" si="16"/>
        <v>0</v>
      </c>
      <c r="AL37" s="116">
        <f t="shared" si="16"/>
        <v>0</v>
      </c>
      <c r="AM37" s="116">
        <f t="shared" si="16"/>
        <v>0</v>
      </c>
      <c r="AN37" s="116">
        <f t="shared" si="16"/>
        <v>0</v>
      </c>
      <c r="AO37" s="116">
        <f t="shared" si="16"/>
        <v>0</v>
      </c>
      <c r="AP37" s="116">
        <f t="shared" si="16"/>
        <v>0</v>
      </c>
      <c r="AQ37" s="116">
        <f t="shared" si="16"/>
        <v>0</v>
      </c>
      <c r="AR37" s="116">
        <f t="shared" si="16"/>
        <v>0</v>
      </c>
      <c r="AS37" s="116">
        <f t="shared" si="16"/>
        <v>0</v>
      </c>
      <c r="AT37" s="116">
        <f t="shared" si="16"/>
        <v>0</v>
      </c>
      <c r="AU37" s="116">
        <f t="shared" si="16"/>
        <v>0</v>
      </c>
      <c r="AV37" s="116">
        <f t="shared" si="16"/>
        <v>0</v>
      </c>
      <c r="AW37" s="116">
        <f t="shared" si="16"/>
        <v>0</v>
      </c>
      <c r="AX37" s="101"/>
      <c r="AY37" s="101"/>
      <c r="AZ37" s="101"/>
    </row>
    <row r="38" spans="1:52" ht="38.25" x14ac:dyDescent="0.2">
      <c r="A38" s="45" t="s">
        <v>231</v>
      </c>
      <c r="B38" s="45" t="s">
        <v>232</v>
      </c>
      <c r="C38" s="45" t="s">
        <v>68</v>
      </c>
      <c r="D38" s="46" t="s">
        <v>96</v>
      </c>
      <c r="E38" s="46" t="s">
        <v>1167</v>
      </c>
      <c r="F38" s="356" t="str">
        <f t="shared" si="6"/>
        <v>-</v>
      </c>
      <c r="G38" s="158"/>
      <c r="H38" s="171">
        <f>SUM(K38:AU38)</f>
        <v>0</v>
      </c>
      <c r="I38" s="133"/>
      <c r="J38" s="126"/>
      <c r="K38" s="133"/>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row>
    <row r="39" spans="1:52" x14ac:dyDescent="0.2">
      <c r="A39" s="45"/>
      <c r="B39" s="172" t="s">
        <v>233</v>
      </c>
      <c r="C39" s="494"/>
      <c r="D39" s="46"/>
      <c r="E39" s="46"/>
      <c r="F39" s="309"/>
      <c r="G39" s="158"/>
      <c r="H39" s="149"/>
      <c r="I39" s="133"/>
      <c r="J39" s="126"/>
      <c r="K39" s="133"/>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row>
    <row r="40" spans="1:52" ht="63.75" x14ac:dyDescent="0.2">
      <c r="A40" s="45" t="s">
        <v>234</v>
      </c>
      <c r="B40" s="45" t="s">
        <v>1213</v>
      </c>
      <c r="C40" s="45" t="s">
        <v>147</v>
      </c>
      <c r="D40" s="46">
        <f>H40</f>
        <v>30</v>
      </c>
      <c r="E40" s="46"/>
      <c r="F40" s="356">
        <f t="shared" ref="F40:F103" si="17">IF(ISNUMBER(SEARCH("incl",$D40)),"-",IF(ISNUMBER(SEARCH("not r",$D40)),"-",IF(ISNUMBER(SEARCH("refer",$D40)),"-",IF(C40="sum","",$D40*$E40))))</f>
        <v>0</v>
      </c>
      <c r="G40" s="158"/>
      <c r="H40" s="171">
        <f>I40</f>
        <v>30</v>
      </c>
      <c r="I40" s="316">
        <f>SUM(K40:AW40)</f>
        <v>30</v>
      </c>
      <c r="J40" s="317"/>
      <c r="K40" s="133">
        <f>K1</f>
        <v>0</v>
      </c>
      <c r="L40" s="133">
        <f t="shared" ref="L40:AM40" si="18">L1</f>
        <v>0</v>
      </c>
      <c r="M40" s="133">
        <f t="shared" si="18"/>
        <v>0</v>
      </c>
      <c r="N40" s="133">
        <f t="shared" si="18"/>
        <v>0</v>
      </c>
      <c r="O40" s="133">
        <f t="shared" si="18"/>
        <v>0</v>
      </c>
      <c r="P40" s="133">
        <f t="shared" si="18"/>
        <v>0</v>
      </c>
      <c r="Q40" s="133">
        <f t="shared" si="18"/>
        <v>0</v>
      </c>
      <c r="R40" s="133">
        <f t="shared" si="18"/>
        <v>0</v>
      </c>
      <c r="S40" s="133">
        <f t="shared" si="18"/>
        <v>0</v>
      </c>
      <c r="T40" s="133">
        <f t="shared" si="18"/>
        <v>0</v>
      </c>
      <c r="U40" s="133">
        <f t="shared" si="18"/>
        <v>0</v>
      </c>
      <c r="V40" s="133">
        <f t="shared" si="18"/>
        <v>0</v>
      </c>
      <c r="W40" s="133">
        <f t="shared" si="18"/>
        <v>0</v>
      </c>
      <c r="X40" s="133">
        <f t="shared" si="18"/>
        <v>0</v>
      </c>
      <c r="Y40" s="133">
        <f t="shared" si="18"/>
        <v>0</v>
      </c>
      <c r="Z40" s="133">
        <f t="shared" si="18"/>
        <v>0</v>
      </c>
      <c r="AA40" s="133">
        <f t="shared" si="18"/>
        <v>0</v>
      </c>
      <c r="AB40" s="133">
        <f t="shared" si="18"/>
        <v>0</v>
      </c>
      <c r="AC40" s="133">
        <f t="shared" si="18"/>
        <v>0</v>
      </c>
      <c r="AD40" s="133">
        <f t="shared" si="18"/>
        <v>0</v>
      </c>
      <c r="AE40" s="133">
        <v>10</v>
      </c>
      <c r="AF40" s="133">
        <v>10</v>
      </c>
      <c r="AG40" s="133">
        <v>10</v>
      </c>
      <c r="AH40" s="133">
        <f t="shared" si="18"/>
        <v>0</v>
      </c>
      <c r="AI40" s="133">
        <f t="shared" si="18"/>
        <v>0</v>
      </c>
      <c r="AJ40" s="133">
        <f t="shared" si="18"/>
        <v>0</v>
      </c>
      <c r="AK40" s="133">
        <f t="shared" si="18"/>
        <v>0</v>
      </c>
      <c r="AL40" s="133">
        <f t="shared" si="18"/>
        <v>0</v>
      </c>
      <c r="AM40" s="133">
        <f t="shared" si="18"/>
        <v>0</v>
      </c>
      <c r="AN40" s="101"/>
      <c r="AO40" s="101"/>
      <c r="AP40" s="101"/>
      <c r="AQ40" s="101"/>
      <c r="AR40" s="101"/>
      <c r="AS40" s="101"/>
      <c r="AT40" s="101"/>
      <c r="AU40" s="101"/>
      <c r="AV40" s="101"/>
      <c r="AW40" s="101"/>
      <c r="AX40" s="101"/>
      <c r="AY40" s="101"/>
      <c r="AZ40" s="101"/>
    </row>
    <row r="41" spans="1:52" ht="25.5" x14ac:dyDescent="0.2">
      <c r="A41" s="45" t="s">
        <v>235</v>
      </c>
      <c r="B41" s="45" t="s">
        <v>1206</v>
      </c>
      <c r="C41" s="45" t="s">
        <v>147</v>
      </c>
      <c r="D41" s="46">
        <f>H41</f>
        <v>3</v>
      </c>
      <c r="E41" s="46"/>
      <c r="F41" s="356">
        <f t="shared" si="17"/>
        <v>0</v>
      </c>
      <c r="G41" s="158"/>
      <c r="H41" s="171">
        <f>I41</f>
        <v>3</v>
      </c>
      <c r="I41" s="316">
        <f>SUM(K41:AW41)</f>
        <v>3</v>
      </c>
      <c r="J41" s="317"/>
      <c r="K41" s="133"/>
      <c r="L41" s="101"/>
      <c r="M41" s="101"/>
      <c r="N41" s="101"/>
      <c r="O41" s="101"/>
      <c r="P41" s="101"/>
      <c r="Q41" s="101"/>
      <c r="R41" s="101"/>
      <c r="S41" s="101"/>
      <c r="T41" s="101"/>
      <c r="U41" s="101"/>
      <c r="V41" s="101"/>
      <c r="W41" s="101"/>
      <c r="X41" s="101"/>
      <c r="Y41" s="101"/>
      <c r="Z41" s="101"/>
      <c r="AA41" s="101"/>
      <c r="AB41" s="101"/>
      <c r="AC41" s="101"/>
      <c r="AD41" s="101"/>
      <c r="AE41" s="101">
        <v>1</v>
      </c>
      <c r="AF41" s="101">
        <v>1</v>
      </c>
      <c r="AG41" s="101">
        <v>1</v>
      </c>
      <c r="AH41" s="101"/>
      <c r="AI41" s="101"/>
      <c r="AJ41" s="101"/>
      <c r="AK41" s="101"/>
      <c r="AL41" s="101"/>
      <c r="AM41" s="101"/>
      <c r="AN41" s="101"/>
      <c r="AO41" s="101"/>
      <c r="AP41" s="101"/>
      <c r="AQ41" s="101"/>
      <c r="AR41" s="101"/>
      <c r="AS41" s="101"/>
      <c r="AT41" s="101"/>
      <c r="AU41" s="101"/>
      <c r="AV41" s="101"/>
      <c r="AW41" s="101"/>
      <c r="AX41" s="101"/>
      <c r="AY41" s="101"/>
      <c r="AZ41" s="101"/>
    </row>
    <row r="42" spans="1:52" ht="25.5" x14ac:dyDescent="0.2">
      <c r="A42" s="45" t="s">
        <v>236</v>
      </c>
      <c r="B42" s="45" t="s">
        <v>237</v>
      </c>
      <c r="C42" s="45" t="s">
        <v>147</v>
      </c>
      <c r="D42" s="46" t="s">
        <v>96</v>
      </c>
      <c r="E42" s="46" t="s">
        <v>1167</v>
      </c>
      <c r="F42" s="356" t="str">
        <f t="shared" si="17"/>
        <v>-</v>
      </c>
      <c r="G42" s="158"/>
      <c r="H42" s="171">
        <f t="shared" ref="H42:H51" si="19">SUM(K42:AU42)</f>
        <v>0</v>
      </c>
      <c r="I42" s="133"/>
      <c r="J42" s="126"/>
      <c r="K42" s="133"/>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row>
    <row r="43" spans="1:52" ht="25.5" x14ac:dyDescent="0.2">
      <c r="A43" s="45" t="s">
        <v>238</v>
      </c>
      <c r="B43" s="45" t="s">
        <v>239</v>
      </c>
      <c r="C43" s="45" t="s">
        <v>147</v>
      </c>
      <c r="D43" s="46" t="s">
        <v>96</v>
      </c>
      <c r="E43" s="46" t="s">
        <v>1167</v>
      </c>
      <c r="F43" s="356" t="str">
        <f t="shared" si="17"/>
        <v>-</v>
      </c>
      <c r="G43" s="158"/>
      <c r="H43" s="171">
        <f t="shared" si="19"/>
        <v>0</v>
      </c>
      <c r="I43" s="133"/>
      <c r="J43" s="126"/>
      <c r="K43" s="133"/>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row>
    <row r="44" spans="1:52" ht="25.5" x14ac:dyDescent="0.2">
      <c r="A44" s="45" t="s">
        <v>240</v>
      </c>
      <c r="B44" s="45" t="s">
        <v>241</v>
      </c>
      <c r="C44" s="45" t="s">
        <v>147</v>
      </c>
      <c r="D44" s="46" t="s">
        <v>96</v>
      </c>
      <c r="E44" s="46" t="s">
        <v>1167</v>
      </c>
      <c r="F44" s="356" t="str">
        <f t="shared" si="17"/>
        <v>-</v>
      </c>
      <c r="G44" s="158"/>
      <c r="H44" s="171">
        <f t="shared" si="19"/>
        <v>0</v>
      </c>
      <c r="I44" s="133"/>
      <c r="J44" s="126"/>
      <c r="K44" s="133"/>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row>
    <row r="45" spans="1:52" ht="25.5" x14ac:dyDescent="0.2">
      <c r="A45" s="45" t="s">
        <v>242</v>
      </c>
      <c r="B45" s="45" t="s">
        <v>243</v>
      </c>
      <c r="C45" s="45" t="s">
        <v>147</v>
      </c>
      <c r="D45" s="46" t="s">
        <v>96</v>
      </c>
      <c r="E45" s="46" t="s">
        <v>1167</v>
      </c>
      <c r="F45" s="356" t="str">
        <f t="shared" si="17"/>
        <v>-</v>
      </c>
      <c r="G45" s="158"/>
      <c r="H45" s="171">
        <f t="shared" si="19"/>
        <v>0</v>
      </c>
      <c r="I45" s="133"/>
      <c r="J45" s="126"/>
      <c r="K45" s="133"/>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row>
    <row r="46" spans="1:52" ht="51" x14ac:dyDescent="0.2">
      <c r="A46" s="45" t="s">
        <v>244</v>
      </c>
      <c r="B46" s="45" t="s">
        <v>1207</v>
      </c>
      <c r="C46" s="45" t="s">
        <v>147</v>
      </c>
      <c r="D46" s="46" t="s">
        <v>96</v>
      </c>
      <c r="E46" s="46" t="s">
        <v>1167</v>
      </c>
      <c r="F46" s="356" t="str">
        <f t="shared" si="17"/>
        <v>-</v>
      </c>
      <c r="G46" s="158"/>
      <c r="H46" s="171">
        <f t="shared" si="19"/>
        <v>0</v>
      </c>
      <c r="I46" s="133"/>
      <c r="J46" s="126"/>
      <c r="K46" s="133"/>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row>
    <row r="47" spans="1:52" ht="25.5" x14ac:dyDescent="0.2">
      <c r="A47" s="45" t="s">
        <v>245</v>
      </c>
      <c r="B47" s="45" t="s">
        <v>1208</v>
      </c>
      <c r="C47" s="45" t="s">
        <v>147</v>
      </c>
      <c r="D47" s="46" t="s">
        <v>96</v>
      </c>
      <c r="E47" s="46" t="s">
        <v>1167</v>
      </c>
      <c r="F47" s="356" t="str">
        <f t="shared" si="17"/>
        <v>-</v>
      </c>
      <c r="G47" s="158"/>
      <c r="H47" s="171">
        <f t="shared" si="19"/>
        <v>0</v>
      </c>
      <c r="I47" s="133"/>
      <c r="J47" s="126"/>
      <c r="K47" s="133"/>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row>
    <row r="48" spans="1:52" ht="25.5" x14ac:dyDescent="0.2">
      <c r="A48" s="45" t="s">
        <v>246</v>
      </c>
      <c r="B48" s="45" t="s">
        <v>247</v>
      </c>
      <c r="C48" s="45" t="s">
        <v>147</v>
      </c>
      <c r="D48" s="46" t="s">
        <v>96</v>
      </c>
      <c r="E48" s="46" t="s">
        <v>1167</v>
      </c>
      <c r="F48" s="356" t="str">
        <f t="shared" si="17"/>
        <v>-</v>
      </c>
      <c r="G48" s="158"/>
      <c r="H48" s="171">
        <f t="shared" si="19"/>
        <v>0</v>
      </c>
      <c r="I48" s="133"/>
      <c r="J48" s="126"/>
      <c r="K48" s="133"/>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row>
    <row r="49" spans="1:52" ht="25.5" x14ac:dyDescent="0.2">
      <c r="A49" s="45" t="s">
        <v>248</v>
      </c>
      <c r="B49" s="45" t="s">
        <v>249</v>
      </c>
      <c r="C49" s="45" t="s">
        <v>147</v>
      </c>
      <c r="D49" s="46" t="s">
        <v>96</v>
      </c>
      <c r="E49" s="46" t="s">
        <v>1167</v>
      </c>
      <c r="F49" s="356" t="str">
        <f t="shared" si="17"/>
        <v>-</v>
      </c>
      <c r="G49" s="158"/>
      <c r="H49" s="171">
        <f t="shared" si="19"/>
        <v>0</v>
      </c>
      <c r="I49" s="133"/>
      <c r="J49" s="126"/>
      <c r="K49" s="133"/>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row>
    <row r="50" spans="1:52" ht="25.5" x14ac:dyDescent="0.2">
      <c r="A50" s="45" t="s">
        <v>250</v>
      </c>
      <c r="B50" s="45" t="s">
        <v>251</v>
      </c>
      <c r="C50" s="45" t="s">
        <v>147</v>
      </c>
      <c r="D50" s="46" t="s">
        <v>96</v>
      </c>
      <c r="E50" s="46" t="s">
        <v>1167</v>
      </c>
      <c r="F50" s="356" t="str">
        <f t="shared" si="17"/>
        <v>-</v>
      </c>
      <c r="G50" s="158"/>
      <c r="H50" s="171">
        <f t="shared" si="19"/>
        <v>0</v>
      </c>
      <c r="I50" s="133"/>
      <c r="J50" s="126"/>
      <c r="K50" s="133"/>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row>
    <row r="51" spans="1:52" ht="25.5" x14ac:dyDescent="0.2">
      <c r="A51" s="45" t="s">
        <v>252</v>
      </c>
      <c r="B51" s="45" t="s">
        <v>253</v>
      </c>
      <c r="C51" s="45" t="s">
        <v>147</v>
      </c>
      <c r="D51" s="46" t="s">
        <v>96</v>
      </c>
      <c r="E51" s="46" t="s">
        <v>1167</v>
      </c>
      <c r="F51" s="356" t="str">
        <f t="shared" si="17"/>
        <v>-</v>
      </c>
      <c r="G51" s="158"/>
      <c r="H51" s="171">
        <f t="shared" si="19"/>
        <v>0</v>
      </c>
      <c r="I51" s="133"/>
      <c r="J51" s="126"/>
      <c r="K51" s="133"/>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row>
    <row r="52" spans="1:52" ht="51" x14ac:dyDescent="0.2">
      <c r="A52" s="45" t="s">
        <v>254</v>
      </c>
      <c r="B52" s="45" t="s">
        <v>1209</v>
      </c>
      <c r="C52" s="45" t="s">
        <v>1115</v>
      </c>
      <c r="D52" s="46">
        <f>ROUNDUP(H52,0)</f>
        <v>1</v>
      </c>
      <c r="E52" s="46"/>
      <c r="F52" s="356">
        <f t="shared" si="17"/>
        <v>0</v>
      </c>
      <c r="G52" s="158"/>
      <c r="H52" s="171">
        <f>(PI()*$I52^2)/4*$D$40</f>
        <v>0.94247779607693805</v>
      </c>
      <c r="I52" s="142">
        <v>0.2</v>
      </c>
      <c r="J52" s="128" t="s">
        <v>1176</v>
      </c>
      <c r="K52" s="133"/>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row>
    <row r="53" spans="1:52" x14ac:dyDescent="0.2">
      <c r="A53" s="45"/>
      <c r="B53" s="172" t="s">
        <v>255</v>
      </c>
      <c r="C53" s="45"/>
      <c r="D53" s="46"/>
      <c r="E53" s="46"/>
      <c r="F53" s="309"/>
      <c r="G53" s="158"/>
      <c r="H53" s="149"/>
      <c r="I53" s="133"/>
      <c r="J53" s="126"/>
      <c r="K53" s="133"/>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row>
    <row r="54" spans="1:52" s="379" customFormat="1" ht="56.45" customHeight="1" x14ac:dyDescent="0.2">
      <c r="A54" s="45" t="s">
        <v>256</v>
      </c>
      <c r="B54" s="45" t="s">
        <v>1436</v>
      </c>
      <c r="C54" s="45" t="s">
        <v>147</v>
      </c>
      <c r="D54" s="46" t="s">
        <v>96</v>
      </c>
      <c r="E54" s="46" t="s">
        <v>1167</v>
      </c>
      <c r="F54" s="356" t="str">
        <f t="shared" si="17"/>
        <v>-</v>
      </c>
      <c r="G54" s="373"/>
      <c r="H54" s="374">
        <f>I54</f>
        <v>0</v>
      </c>
      <c r="I54" s="375">
        <v>0</v>
      </c>
      <c r="J54" s="376" t="s">
        <v>1354</v>
      </c>
      <c r="K54" s="377">
        <f>K1</f>
        <v>0</v>
      </c>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c r="AP54" s="378"/>
      <c r="AQ54" s="378"/>
      <c r="AR54" s="378"/>
      <c r="AS54" s="378"/>
      <c r="AT54" s="378"/>
      <c r="AU54" s="378"/>
      <c r="AV54" s="378"/>
      <c r="AW54" s="378"/>
      <c r="AX54" s="378"/>
      <c r="AY54" s="378"/>
      <c r="AZ54" s="378"/>
    </row>
    <row r="55" spans="1:52" s="379" customFormat="1" ht="25.5" x14ac:dyDescent="0.2">
      <c r="A55" s="45" t="s">
        <v>257</v>
      </c>
      <c r="B55" s="45" t="s">
        <v>1355</v>
      </c>
      <c r="C55" s="45" t="s">
        <v>147</v>
      </c>
      <c r="D55" s="46" t="s">
        <v>96</v>
      </c>
      <c r="E55" s="46" t="s">
        <v>1167</v>
      </c>
      <c r="F55" s="356" t="str">
        <f t="shared" si="17"/>
        <v>-</v>
      </c>
      <c r="G55" s="373"/>
      <c r="H55" s="374">
        <f>I55</f>
        <v>0</v>
      </c>
      <c r="I55" s="377"/>
      <c r="J55" s="380" t="s">
        <v>1228</v>
      </c>
      <c r="K55" s="377"/>
      <c r="L55" s="378"/>
      <c r="M55" s="378"/>
      <c r="N55" s="378"/>
      <c r="O55" s="378"/>
      <c r="P55" s="378"/>
      <c r="Q55" s="378"/>
      <c r="R55" s="378"/>
      <c r="S55" s="378"/>
      <c r="T55" s="378"/>
      <c r="U55" s="378"/>
      <c r="V55" s="378"/>
      <c r="W55" s="378"/>
      <c r="X55" s="378"/>
      <c r="Y55" s="378"/>
      <c r="Z55" s="378"/>
      <c r="AA55" s="378"/>
      <c r="AB55" s="378"/>
      <c r="AC55" s="378"/>
      <c r="AD55" s="378"/>
      <c r="AE55" s="378"/>
      <c r="AF55" s="378"/>
      <c r="AG55" s="378"/>
      <c r="AH55" s="378"/>
      <c r="AI55" s="378"/>
      <c r="AJ55" s="378"/>
      <c r="AK55" s="378"/>
      <c r="AL55" s="378"/>
      <c r="AM55" s="378"/>
      <c r="AN55" s="378"/>
      <c r="AO55" s="378"/>
      <c r="AP55" s="378"/>
      <c r="AQ55" s="378"/>
      <c r="AR55" s="378"/>
      <c r="AS55" s="378"/>
      <c r="AT55" s="378"/>
      <c r="AU55" s="378"/>
      <c r="AV55" s="378"/>
      <c r="AW55" s="378"/>
      <c r="AX55" s="378"/>
      <c r="AY55" s="378"/>
      <c r="AZ55" s="378"/>
    </row>
    <row r="56" spans="1:52" ht="25.5" x14ac:dyDescent="0.2">
      <c r="A56" s="45" t="s">
        <v>258</v>
      </c>
      <c r="B56" s="45" t="s">
        <v>259</v>
      </c>
      <c r="C56" s="45" t="s">
        <v>147</v>
      </c>
      <c r="D56" s="46" t="s">
        <v>96</v>
      </c>
      <c r="E56" s="46" t="s">
        <v>1167</v>
      </c>
      <c r="F56" s="356" t="str">
        <f t="shared" si="17"/>
        <v>-</v>
      </c>
      <c r="G56" s="158"/>
      <c r="H56" s="171">
        <f t="shared" ref="H56:H87" si="20">SUM(K56:AU56)</f>
        <v>0</v>
      </c>
      <c r="I56" s="133"/>
      <c r="J56" s="126"/>
      <c r="K56" s="133"/>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row>
    <row r="57" spans="1:52" ht="25.5" x14ac:dyDescent="0.2">
      <c r="A57" s="45" t="s">
        <v>260</v>
      </c>
      <c r="B57" s="45" t="s">
        <v>261</v>
      </c>
      <c r="C57" s="45" t="s">
        <v>147</v>
      </c>
      <c r="D57" s="46" t="s">
        <v>96</v>
      </c>
      <c r="E57" s="46" t="s">
        <v>1167</v>
      </c>
      <c r="F57" s="356" t="str">
        <f t="shared" si="17"/>
        <v>-</v>
      </c>
      <c r="G57" s="158"/>
      <c r="H57" s="171">
        <f t="shared" si="20"/>
        <v>0</v>
      </c>
      <c r="I57" s="133"/>
      <c r="J57" s="126"/>
      <c r="K57" s="133"/>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row>
    <row r="58" spans="1:52" ht="25.5" x14ac:dyDescent="0.2">
      <c r="A58" s="45" t="s">
        <v>262</v>
      </c>
      <c r="B58" s="45" t="s">
        <v>263</v>
      </c>
      <c r="C58" s="45" t="s">
        <v>147</v>
      </c>
      <c r="D58" s="46" t="s">
        <v>96</v>
      </c>
      <c r="E58" s="46" t="s">
        <v>1167</v>
      </c>
      <c r="F58" s="356" t="str">
        <f t="shared" si="17"/>
        <v>-</v>
      </c>
      <c r="G58" s="158"/>
      <c r="H58" s="171">
        <f t="shared" si="20"/>
        <v>0</v>
      </c>
      <c r="I58" s="133"/>
      <c r="J58" s="126"/>
      <c r="K58" s="133"/>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row>
    <row r="59" spans="1:52" ht="25.5" x14ac:dyDescent="0.2">
      <c r="A59" s="45" t="s">
        <v>264</v>
      </c>
      <c r="B59" s="45" t="s">
        <v>265</v>
      </c>
      <c r="C59" s="45" t="s">
        <v>147</v>
      </c>
      <c r="D59" s="46" t="s">
        <v>96</v>
      </c>
      <c r="E59" s="46" t="s">
        <v>1167</v>
      </c>
      <c r="F59" s="356" t="str">
        <f t="shared" si="17"/>
        <v>-</v>
      </c>
      <c r="G59" s="158"/>
      <c r="H59" s="171">
        <f t="shared" si="20"/>
        <v>0</v>
      </c>
      <c r="I59" s="133"/>
      <c r="J59" s="126"/>
      <c r="K59" s="133"/>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row>
    <row r="60" spans="1:52" ht="25.5" x14ac:dyDescent="0.2">
      <c r="A60" s="45" t="s">
        <v>266</v>
      </c>
      <c r="B60" s="45" t="s">
        <v>267</v>
      </c>
      <c r="C60" s="45" t="s">
        <v>147</v>
      </c>
      <c r="D60" s="46" t="s">
        <v>96</v>
      </c>
      <c r="E60" s="46" t="s">
        <v>1167</v>
      </c>
      <c r="F60" s="356" t="str">
        <f t="shared" si="17"/>
        <v>-</v>
      </c>
      <c r="G60" s="158"/>
      <c r="H60" s="171">
        <f t="shared" si="20"/>
        <v>0</v>
      </c>
      <c r="I60" s="133"/>
      <c r="J60" s="126"/>
      <c r="K60" s="133"/>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row>
    <row r="61" spans="1:52" ht="54" customHeight="1" x14ac:dyDescent="0.25">
      <c r="A61" s="45" t="s">
        <v>268</v>
      </c>
      <c r="B61" s="45" t="s">
        <v>1216</v>
      </c>
      <c r="C61" s="45" t="s">
        <v>147</v>
      </c>
      <c r="D61" s="46">
        <f>H61</f>
        <v>2</v>
      </c>
      <c r="E61" s="46"/>
      <c r="F61" s="356">
        <f t="shared" si="17"/>
        <v>0</v>
      </c>
      <c r="G61" s="158"/>
      <c r="H61" s="171">
        <f t="shared" si="20"/>
        <v>2</v>
      </c>
      <c r="I61" s="133"/>
      <c r="J61" s="126"/>
      <c r="K61" s="112">
        <f>IF(K$5=0,0,IF(K$3&gt;10,IF(K$4&gt;10,0,10-K$4-K$1),K$3-K$4-K$1))</f>
        <v>2</v>
      </c>
      <c r="L61" s="112">
        <f t="shared" ref="L61:AW61" si="21">IF(L$5=0,0,IF(L$3&gt;10,IF(L$4&gt;10,0,10-L$4-L$1),L$3-L$4-L$1))</f>
        <v>0</v>
      </c>
      <c r="M61" s="112">
        <f t="shared" si="21"/>
        <v>0</v>
      </c>
      <c r="N61" s="112">
        <f t="shared" si="21"/>
        <v>0</v>
      </c>
      <c r="O61" s="112">
        <f t="shared" si="21"/>
        <v>0</v>
      </c>
      <c r="P61" s="112">
        <f t="shared" si="21"/>
        <v>0</v>
      </c>
      <c r="Q61" s="112">
        <f t="shared" si="21"/>
        <v>0</v>
      </c>
      <c r="R61" s="112">
        <f t="shared" si="21"/>
        <v>0</v>
      </c>
      <c r="S61" s="112">
        <f t="shared" si="21"/>
        <v>0</v>
      </c>
      <c r="T61" s="112">
        <f t="shared" si="21"/>
        <v>0</v>
      </c>
      <c r="U61" s="112">
        <f t="shared" si="21"/>
        <v>0</v>
      </c>
      <c r="V61" s="112">
        <f t="shared" si="21"/>
        <v>0</v>
      </c>
      <c r="W61" s="112">
        <f t="shared" si="21"/>
        <v>0</v>
      </c>
      <c r="X61" s="112">
        <f t="shared" si="21"/>
        <v>0</v>
      </c>
      <c r="Y61" s="112">
        <f t="shared" si="21"/>
        <v>0</v>
      </c>
      <c r="Z61" s="112">
        <f t="shared" si="21"/>
        <v>0</v>
      </c>
      <c r="AA61" s="112">
        <f t="shared" si="21"/>
        <v>0</v>
      </c>
      <c r="AB61" s="112">
        <f t="shared" si="21"/>
        <v>0</v>
      </c>
      <c r="AC61" s="112">
        <f t="shared" si="21"/>
        <v>0</v>
      </c>
      <c r="AD61" s="112">
        <f t="shared" si="21"/>
        <v>0</v>
      </c>
      <c r="AE61" s="112">
        <v>0</v>
      </c>
      <c r="AF61" s="112">
        <v>0</v>
      </c>
      <c r="AG61" s="112">
        <v>0</v>
      </c>
      <c r="AH61" s="112">
        <f t="shared" si="21"/>
        <v>0</v>
      </c>
      <c r="AI61" s="112">
        <f t="shared" si="21"/>
        <v>0</v>
      </c>
      <c r="AJ61" s="112">
        <f t="shared" si="21"/>
        <v>0</v>
      </c>
      <c r="AK61" s="112">
        <f t="shared" si="21"/>
        <v>0</v>
      </c>
      <c r="AL61" s="112">
        <f t="shared" si="21"/>
        <v>0</v>
      </c>
      <c r="AM61" s="112">
        <f t="shared" si="21"/>
        <v>0</v>
      </c>
      <c r="AN61" s="112">
        <f t="shared" si="21"/>
        <v>0</v>
      </c>
      <c r="AO61" s="112">
        <f t="shared" si="21"/>
        <v>0</v>
      </c>
      <c r="AP61" s="112">
        <f t="shared" si="21"/>
        <v>0</v>
      </c>
      <c r="AQ61" s="112">
        <f t="shared" si="21"/>
        <v>0</v>
      </c>
      <c r="AR61" s="112">
        <f t="shared" si="21"/>
        <v>0</v>
      </c>
      <c r="AS61" s="112">
        <f t="shared" si="21"/>
        <v>0</v>
      </c>
      <c r="AT61" s="112">
        <f t="shared" si="21"/>
        <v>0</v>
      </c>
      <c r="AU61" s="112">
        <f t="shared" si="21"/>
        <v>0</v>
      </c>
      <c r="AV61" s="112">
        <f t="shared" si="21"/>
        <v>0</v>
      </c>
      <c r="AW61" s="112">
        <f t="shared" si="21"/>
        <v>0</v>
      </c>
      <c r="AX61" s="101"/>
      <c r="AY61" s="101"/>
      <c r="AZ61" s="101"/>
    </row>
    <row r="62" spans="1:52" ht="25.5" x14ac:dyDescent="0.25">
      <c r="A62" s="45" t="s">
        <v>269</v>
      </c>
      <c r="B62" s="45" t="s">
        <v>1106</v>
      </c>
      <c r="C62" s="45" t="s">
        <v>147</v>
      </c>
      <c r="D62" s="46">
        <f>H62</f>
        <v>36</v>
      </c>
      <c r="E62" s="46"/>
      <c r="F62" s="356">
        <f t="shared" si="17"/>
        <v>0</v>
      </c>
      <c r="G62" s="158"/>
      <c r="H62" s="171">
        <f t="shared" si="20"/>
        <v>36</v>
      </c>
      <c r="I62" s="133"/>
      <c r="J62" s="126"/>
      <c r="K62" s="112">
        <f>IF(K$5=0,0,IF(K$3&gt;10,IF(K$3&gt;20,IF(K$4&gt;10,MIN(K$3,20)-MIN(20,K$4),10),IF(K$4&gt;10,MIN(K$3,20)-MIN(20,K$4),K$3-10)),0))</f>
        <v>9</v>
      </c>
      <c r="L62" s="112">
        <f t="shared" ref="L62:AW62" si="22">IF(L$5=0,0,IF(L$3&gt;10,IF(L$3&gt;20,IF(L$4&gt;10,MIN(L$3,20)-MIN(20,L$4),10),IF(L$4&gt;10,MIN(L$3,20)-MIN(20,L$4),L$3-10)),0))</f>
        <v>0</v>
      </c>
      <c r="M62" s="112">
        <f t="shared" si="22"/>
        <v>0</v>
      </c>
      <c r="N62" s="112">
        <f t="shared" si="22"/>
        <v>0</v>
      </c>
      <c r="O62" s="112">
        <f t="shared" si="22"/>
        <v>0</v>
      </c>
      <c r="P62" s="112">
        <f t="shared" si="22"/>
        <v>0</v>
      </c>
      <c r="Q62" s="112">
        <f t="shared" si="22"/>
        <v>0</v>
      </c>
      <c r="R62" s="112">
        <f t="shared" si="22"/>
        <v>0</v>
      </c>
      <c r="S62" s="112">
        <f t="shared" si="22"/>
        <v>0</v>
      </c>
      <c r="T62" s="112">
        <f t="shared" si="22"/>
        <v>0</v>
      </c>
      <c r="U62" s="112">
        <f t="shared" si="22"/>
        <v>0</v>
      </c>
      <c r="V62" s="112">
        <f t="shared" si="22"/>
        <v>0</v>
      </c>
      <c r="W62" s="112">
        <f t="shared" si="22"/>
        <v>0</v>
      </c>
      <c r="X62" s="112">
        <f t="shared" si="22"/>
        <v>0</v>
      </c>
      <c r="Y62" s="112">
        <f t="shared" si="22"/>
        <v>0</v>
      </c>
      <c r="Z62" s="112">
        <f t="shared" si="22"/>
        <v>0</v>
      </c>
      <c r="AA62" s="112">
        <f t="shared" si="22"/>
        <v>0</v>
      </c>
      <c r="AB62" s="112">
        <f t="shared" si="22"/>
        <v>0</v>
      </c>
      <c r="AC62" s="112">
        <f t="shared" si="22"/>
        <v>0</v>
      </c>
      <c r="AD62" s="112">
        <f t="shared" si="22"/>
        <v>0</v>
      </c>
      <c r="AE62" s="112">
        <v>9</v>
      </c>
      <c r="AF62" s="112">
        <v>9</v>
      </c>
      <c r="AG62" s="112">
        <v>9</v>
      </c>
      <c r="AH62" s="112">
        <f t="shared" si="22"/>
        <v>0</v>
      </c>
      <c r="AI62" s="112">
        <f t="shared" si="22"/>
        <v>0</v>
      </c>
      <c r="AJ62" s="112">
        <f t="shared" si="22"/>
        <v>0</v>
      </c>
      <c r="AK62" s="112">
        <f t="shared" si="22"/>
        <v>0</v>
      </c>
      <c r="AL62" s="112">
        <f t="shared" si="22"/>
        <v>0</v>
      </c>
      <c r="AM62" s="112">
        <f t="shared" si="22"/>
        <v>0</v>
      </c>
      <c r="AN62" s="112">
        <f t="shared" si="22"/>
        <v>0</v>
      </c>
      <c r="AO62" s="112">
        <f t="shared" si="22"/>
        <v>0</v>
      </c>
      <c r="AP62" s="112">
        <f t="shared" si="22"/>
        <v>0</v>
      </c>
      <c r="AQ62" s="112">
        <f t="shared" si="22"/>
        <v>0</v>
      </c>
      <c r="AR62" s="112">
        <f t="shared" si="22"/>
        <v>0</v>
      </c>
      <c r="AS62" s="112">
        <f t="shared" si="22"/>
        <v>0</v>
      </c>
      <c r="AT62" s="112">
        <f t="shared" si="22"/>
        <v>0</v>
      </c>
      <c r="AU62" s="112">
        <f t="shared" si="22"/>
        <v>0</v>
      </c>
      <c r="AV62" s="112">
        <f t="shared" si="22"/>
        <v>0</v>
      </c>
      <c r="AW62" s="112">
        <f t="shared" si="22"/>
        <v>0</v>
      </c>
      <c r="AX62" s="101"/>
      <c r="AY62" s="101"/>
      <c r="AZ62" s="101"/>
    </row>
    <row r="63" spans="1:52" s="76" customFormat="1" ht="25.5" x14ac:dyDescent="0.25">
      <c r="A63" s="45" t="s">
        <v>270</v>
      </c>
      <c r="B63" s="45" t="s">
        <v>271</v>
      </c>
      <c r="C63" s="45" t="s">
        <v>147</v>
      </c>
      <c r="D63" s="46">
        <f>H63</f>
        <v>0</v>
      </c>
      <c r="E63" s="46"/>
      <c r="F63" s="356">
        <f t="shared" si="17"/>
        <v>0</v>
      </c>
      <c r="G63" s="163"/>
      <c r="H63" s="390">
        <f t="shared" si="20"/>
        <v>0</v>
      </c>
      <c r="I63" s="391"/>
      <c r="J63" s="129"/>
      <c r="K63" s="392">
        <f>IF(K$5=0,0,IF(K$3&gt;20,IF(K$3&gt;30,IF(K$4&gt;20,MIN(K$3,30)-MIN(30,K$4),10),IF(K$4&gt;20,MIN(K$3,30)-MIN(30,K$4),K$3-20)),0))</f>
        <v>0</v>
      </c>
      <c r="L63" s="392">
        <f t="shared" ref="L63:AW63" si="23">IF(L$5=0,0,IF(L$3&gt;20,IF(L$3&gt;30,IF(L$4&gt;20,MIN(L$3,30)-MIN(30,L$4),10),IF(L$4&gt;20,MIN(L$3,30)-MIN(30,L$4),L$3-20)),0))</f>
        <v>0</v>
      </c>
      <c r="M63" s="392">
        <f t="shared" si="23"/>
        <v>0</v>
      </c>
      <c r="N63" s="392">
        <f t="shared" si="23"/>
        <v>0</v>
      </c>
      <c r="O63" s="392">
        <f t="shared" si="23"/>
        <v>0</v>
      </c>
      <c r="P63" s="392">
        <f t="shared" si="23"/>
        <v>0</v>
      </c>
      <c r="Q63" s="392">
        <f t="shared" si="23"/>
        <v>0</v>
      </c>
      <c r="R63" s="392">
        <f t="shared" si="23"/>
        <v>0</v>
      </c>
      <c r="S63" s="392">
        <f t="shared" si="23"/>
        <v>0</v>
      </c>
      <c r="T63" s="392">
        <f t="shared" si="23"/>
        <v>0</v>
      </c>
      <c r="U63" s="392">
        <f t="shared" si="23"/>
        <v>0</v>
      </c>
      <c r="V63" s="392">
        <f t="shared" si="23"/>
        <v>0</v>
      </c>
      <c r="W63" s="392">
        <f t="shared" si="23"/>
        <v>0</v>
      </c>
      <c r="X63" s="392">
        <f t="shared" si="23"/>
        <v>0</v>
      </c>
      <c r="Y63" s="392">
        <f t="shared" si="23"/>
        <v>0</v>
      </c>
      <c r="Z63" s="392">
        <f t="shared" si="23"/>
        <v>0</v>
      </c>
      <c r="AA63" s="392">
        <f t="shared" si="23"/>
        <v>0</v>
      </c>
      <c r="AB63" s="392">
        <f t="shared" si="23"/>
        <v>0</v>
      </c>
      <c r="AC63" s="392">
        <f t="shared" si="23"/>
        <v>0</v>
      </c>
      <c r="AD63" s="392">
        <f t="shared" si="23"/>
        <v>0</v>
      </c>
      <c r="AE63" s="392">
        <f t="shared" si="23"/>
        <v>0</v>
      </c>
      <c r="AF63" s="392">
        <f t="shared" si="23"/>
        <v>0</v>
      </c>
      <c r="AG63" s="392">
        <f t="shared" si="23"/>
        <v>0</v>
      </c>
      <c r="AH63" s="392">
        <f t="shared" si="23"/>
        <v>0</v>
      </c>
      <c r="AI63" s="392">
        <f t="shared" si="23"/>
        <v>0</v>
      </c>
      <c r="AJ63" s="392">
        <f t="shared" si="23"/>
        <v>0</v>
      </c>
      <c r="AK63" s="392">
        <f t="shared" si="23"/>
        <v>0</v>
      </c>
      <c r="AL63" s="392">
        <f t="shared" si="23"/>
        <v>0</v>
      </c>
      <c r="AM63" s="392">
        <f t="shared" si="23"/>
        <v>0</v>
      </c>
      <c r="AN63" s="392">
        <f t="shared" si="23"/>
        <v>0</v>
      </c>
      <c r="AO63" s="392">
        <f t="shared" si="23"/>
        <v>0</v>
      </c>
      <c r="AP63" s="392">
        <f t="shared" si="23"/>
        <v>0</v>
      </c>
      <c r="AQ63" s="392">
        <f t="shared" si="23"/>
        <v>0</v>
      </c>
      <c r="AR63" s="392">
        <f t="shared" si="23"/>
        <v>0</v>
      </c>
      <c r="AS63" s="392">
        <f t="shared" si="23"/>
        <v>0</v>
      </c>
      <c r="AT63" s="392">
        <f t="shared" si="23"/>
        <v>0</v>
      </c>
      <c r="AU63" s="392">
        <f t="shared" si="23"/>
        <v>0</v>
      </c>
      <c r="AV63" s="392">
        <f t="shared" si="23"/>
        <v>0</v>
      </c>
      <c r="AW63" s="392">
        <f t="shared" si="23"/>
        <v>0</v>
      </c>
      <c r="AX63" s="118"/>
      <c r="AY63" s="118"/>
      <c r="AZ63" s="118"/>
    </row>
    <row r="64" spans="1:52" s="379" customFormat="1" ht="25.5" x14ac:dyDescent="0.25">
      <c r="A64" s="45" t="s">
        <v>272</v>
      </c>
      <c r="B64" s="45" t="s">
        <v>273</v>
      </c>
      <c r="C64" s="45" t="s">
        <v>147</v>
      </c>
      <c r="D64" s="46" t="s">
        <v>96</v>
      </c>
      <c r="E64" s="46" t="s">
        <v>1167</v>
      </c>
      <c r="F64" s="356" t="str">
        <f t="shared" si="17"/>
        <v>-</v>
      </c>
      <c r="G64" s="373"/>
      <c r="H64" s="374">
        <f t="shared" si="20"/>
        <v>0</v>
      </c>
      <c r="I64" s="377"/>
      <c r="J64" s="381"/>
      <c r="K64" s="382">
        <f>IF(K$5=0,0,IF(K$3&gt;30,IF(K$3&gt;40,IF(K$4&gt;30,MIN(K$3,40)-MIN(40,K$4),10),IF(K$4&gt;30,MIN(K$3,40)-MIN(40,K$4),K$3-30)),0))</f>
        <v>0</v>
      </c>
      <c r="L64" s="382">
        <f t="shared" ref="L64:AW64" si="24">IF(L$5=0,0,IF(L$3&gt;30,IF(L$3&gt;40,IF(L$4&gt;30,MIN(L$3,40)-MIN(40,L$4),10),IF(L$4&gt;30,MIN(L$3,40)-MIN(40,L$4),L$3-30)),0))</f>
        <v>0</v>
      </c>
      <c r="M64" s="382">
        <f t="shared" si="24"/>
        <v>0</v>
      </c>
      <c r="N64" s="382">
        <f t="shared" si="24"/>
        <v>0</v>
      </c>
      <c r="O64" s="382">
        <f t="shared" si="24"/>
        <v>0</v>
      </c>
      <c r="P64" s="382">
        <f t="shared" si="24"/>
        <v>0</v>
      </c>
      <c r="Q64" s="382">
        <f t="shared" si="24"/>
        <v>0</v>
      </c>
      <c r="R64" s="382">
        <f t="shared" si="24"/>
        <v>0</v>
      </c>
      <c r="S64" s="382">
        <f t="shared" si="24"/>
        <v>0</v>
      </c>
      <c r="T64" s="382">
        <f t="shared" si="24"/>
        <v>0</v>
      </c>
      <c r="U64" s="382">
        <f t="shared" si="24"/>
        <v>0</v>
      </c>
      <c r="V64" s="382">
        <f t="shared" si="24"/>
        <v>0</v>
      </c>
      <c r="W64" s="382">
        <f t="shared" si="24"/>
        <v>0</v>
      </c>
      <c r="X64" s="382">
        <f t="shared" si="24"/>
        <v>0</v>
      </c>
      <c r="Y64" s="382">
        <f t="shared" si="24"/>
        <v>0</v>
      </c>
      <c r="Z64" s="382">
        <f t="shared" si="24"/>
        <v>0</v>
      </c>
      <c r="AA64" s="382">
        <f t="shared" si="24"/>
        <v>0</v>
      </c>
      <c r="AB64" s="382">
        <f t="shared" si="24"/>
        <v>0</v>
      </c>
      <c r="AC64" s="382">
        <f t="shared" si="24"/>
        <v>0</v>
      </c>
      <c r="AD64" s="382">
        <f t="shared" si="24"/>
        <v>0</v>
      </c>
      <c r="AE64" s="382">
        <f t="shared" si="24"/>
        <v>0</v>
      </c>
      <c r="AF64" s="382">
        <f t="shared" si="24"/>
        <v>0</v>
      </c>
      <c r="AG64" s="382">
        <f t="shared" si="24"/>
        <v>0</v>
      </c>
      <c r="AH64" s="382">
        <f t="shared" si="24"/>
        <v>0</v>
      </c>
      <c r="AI64" s="382">
        <f t="shared" si="24"/>
        <v>0</v>
      </c>
      <c r="AJ64" s="382">
        <f t="shared" si="24"/>
        <v>0</v>
      </c>
      <c r="AK64" s="382">
        <f t="shared" si="24"/>
        <v>0</v>
      </c>
      <c r="AL64" s="382">
        <f t="shared" si="24"/>
        <v>0</v>
      </c>
      <c r="AM64" s="382">
        <f t="shared" si="24"/>
        <v>0</v>
      </c>
      <c r="AN64" s="382">
        <f t="shared" si="24"/>
        <v>0</v>
      </c>
      <c r="AO64" s="382">
        <f t="shared" si="24"/>
        <v>0</v>
      </c>
      <c r="AP64" s="382">
        <f t="shared" si="24"/>
        <v>0</v>
      </c>
      <c r="AQ64" s="382">
        <f t="shared" si="24"/>
        <v>0</v>
      </c>
      <c r="AR64" s="382">
        <f t="shared" si="24"/>
        <v>0</v>
      </c>
      <c r="AS64" s="382">
        <f t="shared" si="24"/>
        <v>0</v>
      </c>
      <c r="AT64" s="382">
        <f t="shared" si="24"/>
        <v>0</v>
      </c>
      <c r="AU64" s="382">
        <f t="shared" si="24"/>
        <v>0</v>
      </c>
      <c r="AV64" s="382">
        <f t="shared" si="24"/>
        <v>0</v>
      </c>
      <c r="AW64" s="382">
        <f t="shared" si="24"/>
        <v>0</v>
      </c>
      <c r="AX64" s="378"/>
      <c r="AY64" s="378"/>
      <c r="AZ64" s="378"/>
    </row>
    <row r="65" spans="1:52" ht="25.5" x14ac:dyDescent="0.25">
      <c r="A65" s="45" t="s">
        <v>274</v>
      </c>
      <c r="B65" s="45" t="s">
        <v>275</v>
      </c>
      <c r="C65" s="45" t="s">
        <v>147</v>
      </c>
      <c r="D65" s="46" t="s">
        <v>96</v>
      </c>
      <c r="E65" s="46"/>
      <c r="F65" s="356" t="str">
        <f t="shared" si="17"/>
        <v>-</v>
      </c>
      <c r="G65" s="158"/>
      <c r="H65" s="171">
        <f t="shared" si="20"/>
        <v>0</v>
      </c>
      <c r="I65" s="133"/>
      <c r="J65" s="126"/>
      <c r="K65" s="112">
        <f>IF(K$5=0,0,IF(K$3&gt;40,IF(K$3&gt;50,IF(K$4&gt;40,MIN(K$3,50)-MIN(50-K$4),10),IF(K$4&gt;40,MIN(K$3,50)-MIN(50-K$4),K$3-40)),0))</f>
        <v>0</v>
      </c>
      <c r="L65" s="112">
        <f t="shared" ref="L65:AW65" si="25">IF(L$5=0,0,IF(L$3&gt;40,IF(L$3&gt;50,IF(L$4&gt;40,MIN(L$3,50)-MIN(50-L$4),10),IF(L$4&gt;40,MIN(L$3,50)-MIN(50-L$4),L$3-40)),0))</f>
        <v>0</v>
      </c>
      <c r="M65" s="112">
        <f t="shared" si="25"/>
        <v>0</v>
      </c>
      <c r="N65" s="112">
        <f t="shared" si="25"/>
        <v>0</v>
      </c>
      <c r="O65" s="112">
        <f t="shared" si="25"/>
        <v>0</v>
      </c>
      <c r="P65" s="112">
        <f t="shared" si="25"/>
        <v>0</v>
      </c>
      <c r="Q65" s="112">
        <f t="shared" si="25"/>
        <v>0</v>
      </c>
      <c r="R65" s="112">
        <f t="shared" si="25"/>
        <v>0</v>
      </c>
      <c r="S65" s="112">
        <f t="shared" si="25"/>
        <v>0</v>
      </c>
      <c r="T65" s="112">
        <f t="shared" si="25"/>
        <v>0</v>
      </c>
      <c r="U65" s="112">
        <f t="shared" si="25"/>
        <v>0</v>
      </c>
      <c r="V65" s="112">
        <f t="shared" si="25"/>
        <v>0</v>
      </c>
      <c r="W65" s="112">
        <f t="shared" si="25"/>
        <v>0</v>
      </c>
      <c r="X65" s="112">
        <f t="shared" si="25"/>
        <v>0</v>
      </c>
      <c r="Y65" s="112">
        <f t="shared" si="25"/>
        <v>0</v>
      </c>
      <c r="Z65" s="112">
        <f t="shared" si="25"/>
        <v>0</v>
      </c>
      <c r="AA65" s="112">
        <f t="shared" si="25"/>
        <v>0</v>
      </c>
      <c r="AB65" s="112">
        <f t="shared" si="25"/>
        <v>0</v>
      </c>
      <c r="AC65" s="112">
        <f t="shared" si="25"/>
        <v>0</v>
      </c>
      <c r="AD65" s="112">
        <f t="shared" si="25"/>
        <v>0</v>
      </c>
      <c r="AE65" s="112">
        <f t="shared" si="25"/>
        <v>0</v>
      </c>
      <c r="AF65" s="112">
        <f t="shared" si="25"/>
        <v>0</v>
      </c>
      <c r="AG65" s="112">
        <f t="shared" si="25"/>
        <v>0</v>
      </c>
      <c r="AH65" s="112">
        <f t="shared" si="25"/>
        <v>0</v>
      </c>
      <c r="AI65" s="112">
        <f t="shared" si="25"/>
        <v>0</v>
      </c>
      <c r="AJ65" s="112">
        <f t="shared" si="25"/>
        <v>0</v>
      </c>
      <c r="AK65" s="112">
        <f t="shared" si="25"/>
        <v>0</v>
      </c>
      <c r="AL65" s="112">
        <f t="shared" si="25"/>
        <v>0</v>
      </c>
      <c r="AM65" s="112">
        <f t="shared" si="25"/>
        <v>0</v>
      </c>
      <c r="AN65" s="112">
        <f t="shared" si="25"/>
        <v>0</v>
      </c>
      <c r="AO65" s="112">
        <f t="shared" si="25"/>
        <v>0</v>
      </c>
      <c r="AP65" s="112">
        <f t="shared" si="25"/>
        <v>0</v>
      </c>
      <c r="AQ65" s="112">
        <f t="shared" si="25"/>
        <v>0</v>
      </c>
      <c r="AR65" s="112">
        <f t="shared" si="25"/>
        <v>0</v>
      </c>
      <c r="AS65" s="112">
        <f t="shared" si="25"/>
        <v>0</v>
      </c>
      <c r="AT65" s="112">
        <f t="shared" si="25"/>
        <v>0</v>
      </c>
      <c r="AU65" s="112">
        <f t="shared" si="25"/>
        <v>0</v>
      </c>
      <c r="AV65" s="112">
        <f t="shared" si="25"/>
        <v>0</v>
      </c>
      <c r="AW65" s="112">
        <f t="shared" si="25"/>
        <v>0</v>
      </c>
      <c r="AX65" s="101"/>
      <c r="AY65" s="101"/>
      <c r="AZ65" s="101"/>
    </row>
    <row r="66" spans="1:52" ht="25.5" x14ac:dyDescent="0.2">
      <c r="A66" s="45" t="s">
        <v>276</v>
      </c>
      <c r="B66" s="45" t="s">
        <v>277</v>
      </c>
      <c r="C66" s="45" t="s">
        <v>147</v>
      </c>
      <c r="D66" s="46" t="s">
        <v>96</v>
      </c>
      <c r="E66" s="46"/>
      <c r="F66" s="356" t="str">
        <f t="shared" si="17"/>
        <v>-</v>
      </c>
      <c r="G66" s="158"/>
      <c r="H66" s="152">
        <f t="shared" si="20"/>
        <v>0</v>
      </c>
      <c r="I66" s="133"/>
      <c r="J66" s="126"/>
      <c r="K66" s="133"/>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row>
    <row r="67" spans="1:52" ht="25.5" x14ac:dyDescent="0.2">
      <c r="A67" s="45" t="s">
        <v>278</v>
      </c>
      <c r="B67" s="45" t="s">
        <v>279</v>
      </c>
      <c r="C67" s="45" t="s">
        <v>147</v>
      </c>
      <c r="D67" s="46" t="s">
        <v>96</v>
      </c>
      <c r="E67" s="46"/>
      <c r="F67" s="356" t="str">
        <f t="shared" si="17"/>
        <v>-</v>
      </c>
      <c r="G67" s="158"/>
      <c r="H67" s="152">
        <f t="shared" si="20"/>
        <v>0</v>
      </c>
      <c r="I67" s="133"/>
      <c r="J67" s="126"/>
      <c r="K67" s="133"/>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row>
    <row r="68" spans="1:52" ht="51" x14ac:dyDescent="0.2">
      <c r="A68" s="45" t="s">
        <v>280</v>
      </c>
      <c r="B68" s="45" t="s">
        <v>281</v>
      </c>
      <c r="C68" s="45" t="s">
        <v>1115</v>
      </c>
      <c r="D68" s="46">
        <f>ROUNDUP(H68,0)</f>
        <v>1</v>
      </c>
      <c r="E68" s="46"/>
      <c r="F68" s="356">
        <f t="shared" si="17"/>
        <v>0</v>
      </c>
      <c r="G68" s="158"/>
      <c r="H68" s="152">
        <f t="shared" si="20"/>
        <v>0.19438604544086846</v>
      </c>
      <c r="I68" s="174">
        <v>0.15</v>
      </c>
      <c r="J68" s="126"/>
      <c r="K68" s="123">
        <f>(PI()*$I68^2)/4*K$5</f>
        <v>0.19438604544086846</v>
      </c>
      <c r="L68" s="123">
        <f t="shared" ref="L68:AW68" si="26">(PI()*$I68^2)/4*L$5</f>
        <v>0</v>
      </c>
      <c r="M68" s="123">
        <f t="shared" si="26"/>
        <v>0</v>
      </c>
      <c r="N68" s="123">
        <f t="shared" si="26"/>
        <v>0</v>
      </c>
      <c r="O68" s="123">
        <f t="shared" si="26"/>
        <v>0</v>
      </c>
      <c r="P68" s="123">
        <f t="shared" si="26"/>
        <v>0</v>
      </c>
      <c r="Q68" s="123">
        <f t="shared" si="26"/>
        <v>0</v>
      </c>
      <c r="R68" s="123">
        <f t="shared" si="26"/>
        <v>0</v>
      </c>
      <c r="S68" s="123">
        <f t="shared" si="26"/>
        <v>0</v>
      </c>
      <c r="T68" s="123">
        <f t="shared" si="26"/>
        <v>0</v>
      </c>
      <c r="U68" s="123">
        <f t="shared" si="26"/>
        <v>0</v>
      </c>
      <c r="V68" s="123">
        <f t="shared" si="26"/>
        <v>0</v>
      </c>
      <c r="W68" s="123">
        <f t="shared" si="26"/>
        <v>0</v>
      </c>
      <c r="X68" s="123">
        <f t="shared" si="26"/>
        <v>0</v>
      </c>
      <c r="Y68" s="123">
        <f t="shared" si="26"/>
        <v>0</v>
      </c>
      <c r="Z68" s="123">
        <f t="shared" si="26"/>
        <v>0</v>
      </c>
      <c r="AA68" s="123">
        <f t="shared" si="26"/>
        <v>0</v>
      </c>
      <c r="AB68" s="123">
        <f t="shared" si="26"/>
        <v>0</v>
      </c>
      <c r="AC68" s="123">
        <f t="shared" si="26"/>
        <v>0</v>
      </c>
      <c r="AD68" s="123">
        <f t="shared" si="26"/>
        <v>0</v>
      </c>
      <c r="AE68" s="123">
        <f t="shared" si="26"/>
        <v>0</v>
      </c>
      <c r="AF68" s="123">
        <f t="shared" si="26"/>
        <v>0</v>
      </c>
      <c r="AG68" s="123">
        <f t="shared" si="26"/>
        <v>0</v>
      </c>
      <c r="AH68" s="123">
        <f t="shared" si="26"/>
        <v>0</v>
      </c>
      <c r="AI68" s="123">
        <f t="shared" si="26"/>
        <v>0</v>
      </c>
      <c r="AJ68" s="123">
        <f t="shared" si="26"/>
        <v>0</v>
      </c>
      <c r="AK68" s="123">
        <f t="shared" si="26"/>
        <v>0</v>
      </c>
      <c r="AL68" s="123">
        <f t="shared" si="26"/>
        <v>0</v>
      </c>
      <c r="AM68" s="123">
        <f t="shared" si="26"/>
        <v>0</v>
      </c>
      <c r="AN68" s="123">
        <f t="shared" si="26"/>
        <v>0</v>
      </c>
      <c r="AO68" s="123">
        <f t="shared" si="26"/>
        <v>0</v>
      </c>
      <c r="AP68" s="123">
        <f t="shared" si="26"/>
        <v>0</v>
      </c>
      <c r="AQ68" s="123">
        <f t="shared" si="26"/>
        <v>0</v>
      </c>
      <c r="AR68" s="123">
        <f t="shared" si="26"/>
        <v>0</v>
      </c>
      <c r="AS68" s="123">
        <f t="shared" si="26"/>
        <v>0</v>
      </c>
      <c r="AT68" s="123">
        <f t="shared" si="26"/>
        <v>0</v>
      </c>
      <c r="AU68" s="123">
        <f t="shared" si="26"/>
        <v>0</v>
      </c>
      <c r="AV68" s="123">
        <f t="shared" si="26"/>
        <v>0</v>
      </c>
      <c r="AW68" s="123">
        <f t="shared" si="26"/>
        <v>0</v>
      </c>
      <c r="AX68" s="101"/>
      <c r="AY68" s="101"/>
      <c r="AZ68" s="101"/>
    </row>
    <row r="69" spans="1:52" ht="25.5" x14ac:dyDescent="0.2">
      <c r="A69" s="45" t="s">
        <v>282</v>
      </c>
      <c r="B69" s="45" t="s">
        <v>283</v>
      </c>
      <c r="C69" s="45" t="s">
        <v>68</v>
      </c>
      <c r="D69" s="46" t="s">
        <v>96</v>
      </c>
      <c r="E69" s="46"/>
      <c r="F69" s="356" t="str">
        <f t="shared" si="17"/>
        <v>-</v>
      </c>
      <c r="G69" s="158"/>
      <c r="H69" s="152">
        <f t="shared" si="20"/>
        <v>0</v>
      </c>
      <c r="I69" s="133"/>
      <c r="J69" s="126"/>
      <c r="K69" s="133"/>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row>
    <row r="70" spans="1:52" ht="38.25" x14ac:dyDescent="0.2">
      <c r="A70" s="45"/>
      <c r="B70" s="172" t="s">
        <v>1210</v>
      </c>
      <c r="C70" s="45"/>
      <c r="D70" s="236" t="s">
        <v>1212</v>
      </c>
      <c r="E70" s="46"/>
      <c r="F70" s="356" t="str">
        <f t="shared" si="17"/>
        <v>-</v>
      </c>
      <c r="G70" s="158"/>
      <c r="H70" s="152">
        <f t="shared" si="20"/>
        <v>0</v>
      </c>
      <c r="I70" s="133"/>
      <c r="J70" s="126"/>
      <c r="K70" s="133"/>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row>
    <row r="71" spans="1:52" ht="38.25" x14ac:dyDescent="0.2">
      <c r="A71" s="45" t="s">
        <v>284</v>
      </c>
      <c r="B71" s="45" t="s">
        <v>285</v>
      </c>
      <c r="C71" s="45" t="s">
        <v>68</v>
      </c>
      <c r="D71" s="46" t="s">
        <v>96</v>
      </c>
      <c r="E71" s="46"/>
      <c r="F71" s="356" t="str">
        <f t="shared" si="17"/>
        <v>-</v>
      </c>
      <c r="G71" s="158"/>
      <c r="H71" s="152">
        <f t="shared" si="20"/>
        <v>0</v>
      </c>
      <c r="I71" s="133"/>
      <c r="J71" s="126"/>
      <c r="K71" s="133"/>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row>
    <row r="72" spans="1:52" ht="25.5" x14ac:dyDescent="0.2">
      <c r="A72" s="45" t="s">
        <v>286</v>
      </c>
      <c r="B72" s="45" t="s">
        <v>287</v>
      </c>
      <c r="C72" s="45" t="s">
        <v>68</v>
      </c>
      <c r="D72" s="46" t="s">
        <v>96</v>
      </c>
      <c r="E72" s="46"/>
      <c r="F72" s="356" t="str">
        <f t="shared" si="17"/>
        <v>-</v>
      </c>
      <c r="G72" s="158"/>
      <c r="H72" s="152">
        <f t="shared" si="20"/>
        <v>0</v>
      </c>
      <c r="I72" s="133"/>
      <c r="J72" s="126"/>
      <c r="K72" s="133"/>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row>
    <row r="73" spans="1:52" ht="38.25" x14ac:dyDescent="0.2">
      <c r="A73" s="45" t="s">
        <v>288</v>
      </c>
      <c r="B73" s="45" t="s">
        <v>289</v>
      </c>
      <c r="C73" s="45" t="s">
        <v>147</v>
      </c>
      <c r="D73" s="46" t="s">
        <v>96</v>
      </c>
      <c r="E73" s="46"/>
      <c r="F73" s="356" t="str">
        <f t="shared" si="17"/>
        <v>-</v>
      </c>
      <c r="G73" s="158"/>
      <c r="H73" s="152">
        <f t="shared" si="20"/>
        <v>0</v>
      </c>
      <c r="I73" s="133"/>
      <c r="J73" s="126"/>
      <c r="K73" s="133"/>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row>
    <row r="74" spans="1:52" ht="25.5" x14ac:dyDescent="0.2">
      <c r="A74" s="45" t="s">
        <v>290</v>
      </c>
      <c r="B74" s="45" t="s">
        <v>291</v>
      </c>
      <c r="C74" s="45" t="s">
        <v>147</v>
      </c>
      <c r="D74" s="46" t="s">
        <v>96</v>
      </c>
      <c r="E74" s="46"/>
      <c r="F74" s="356" t="str">
        <f t="shared" si="17"/>
        <v>-</v>
      </c>
      <c r="G74" s="158"/>
      <c r="H74" s="152">
        <f t="shared" si="20"/>
        <v>0</v>
      </c>
      <c r="I74" s="133"/>
      <c r="J74" s="126"/>
      <c r="K74" s="133"/>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row>
    <row r="75" spans="1:52" ht="25.5" x14ac:dyDescent="0.2">
      <c r="A75" s="45" t="s">
        <v>292</v>
      </c>
      <c r="B75" s="45" t="s">
        <v>293</v>
      </c>
      <c r="C75" s="45" t="s">
        <v>147</v>
      </c>
      <c r="D75" s="46" t="s">
        <v>96</v>
      </c>
      <c r="E75" s="46"/>
      <c r="F75" s="356" t="str">
        <f t="shared" si="17"/>
        <v>-</v>
      </c>
      <c r="G75" s="158"/>
      <c r="H75" s="152">
        <f t="shared" si="20"/>
        <v>0</v>
      </c>
      <c r="I75" s="133"/>
      <c r="J75" s="126"/>
      <c r="K75" s="133"/>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row>
    <row r="76" spans="1:52" ht="25.5" x14ac:dyDescent="0.2">
      <c r="A76" s="45" t="s">
        <v>294</v>
      </c>
      <c r="B76" s="45" t="s">
        <v>295</v>
      </c>
      <c r="C76" s="45" t="s">
        <v>147</v>
      </c>
      <c r="D76" s="46" t="s">
        <v>96</v>
      </c>
      <c r="E76" s="46"/>
      <c r="F76" s="356" t="str">
        <f t="shared" si="17"/>
        <v>-</v>
      </c>
      <c r="G76" s="158"/>
      <c r="H76" s="152">
        <f t="shared" si="20"/>
        <v>0</v>
      </c>
      <c r="I76" s="133"/>
      <c r="J76" s="126"/>
      <c r="K76" s="133"/>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row>
    <row r="77" spans="1:52" ht="25.5" x14ac:dyDescent="0.2">
      <c r="A77" s="45" t="s">
        <v>296</v>
      </c>
      <c r="B77" s="45" t="s">
        <v>297</v>
      </c>
      <c r="C77" s="45" t="s">
        <v>147</v>
      </c>
      <c r="D77" s="46" t="s">
        <v>96</v>
      </c>
      <c r="E77" s="46"/>
      <c r="F77" s="356" t="str">
        <f t="shared" si="17"/>
        <v>-</v>
      </c>
      <c r="G77" s="158"/>
      <c r="H77" s="152">
        <f t="shared" si="20"/>
        <v>0</v>
      </c>
      <c r="I77" s="133"/>
      <c r="J77" s="126"/>
      <c r="K77" s="133"/>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row>
    <row r="78" spans="1:52" ht="25.5" x14ac:dyDescent="0.2">
      <c r="A78" s="45" t="s">
        <v>298</v>
      </c>
      <c r="B78" s="45" t="s">
        <v>299</v>
      </c>
      <c r="C78" s="45" t="s">
        <v>158</v>
      </c>
      <c r="D78" s="46" t="s">
        <v>96</v>
      </c>
      <c r="E78" s="46"/>
      <c r="F78" s="356" t="str">
        <f t="shared" si="17"/>
        <v>-</v>
      </c>
      <c r="G78" s="158"/>
      <c r="H78" s="152">
        <f t="shared" si="20"/>
        <v>0</v>
      </c>
      <c r="I78" s="133"/>
      <c r="J78" s="126"/>
      <c r="K78" s="133"/>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row>
    <row r="79" spans="1:52" ht="53.1" customHeight="1" x14ac:dyDescent="0.2">
      <c r="A79" s="45" t="s">
        <v>300</v>
      </c>
      <c r="B79" s="45" t="s">
        <v>301</v>
      </c>
      <c r="C79" s="45" t="s">
        <v>147</v>
      </c>
      <c r="D79" s="46" t="s">
        <v>96</v>
      </c>
      <c r="E79" s="46"/>
      <c r="F79" s="356" t="str">
        <f t="shared" si="17"/>
        <v>-</v>
      </c>
      <c r="G79" s="158"/>
      <c r="H79" s="152">
        <f t="shared" si="20"/>
        <v>0</v>
      </c>
      <c r="I79" s="133"/>
      <c r="J79" s="126"/>
      <c r="K79" s="133"/>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row>
    <row r="80" spans="1:52" x14ac:dyDescent="0.2">
      <c r="A80" s="45"/>
      <c r="B80" s="172" t="s">
        <v>302</v>
      </c>
      <c r="C80" s="45"/>
      <c r="D80" s="46"/>
      <c r="E80" s="46"/>
      <c r="F80" s="309"/>
      <c r="G80" s="158"/>
      <c r="H80" s="152">
        <f t="shared" si="20"/>
        <v>0</v>
      </c>
      <c r="I80" s="133"/>
      <c r="J80" s="126"/>
      <c r="K80" s="133"/>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row>
    <row r="81" spans="1:52" ht="63.75" x14ac:dyDescent="0.2">
      <c r="A81" s="45" t="s">
        <v>303</v>
      </c>
      <c r="B81" s="45" t="s">
        <v>1261</v>
      </c>
      <c r="C81" s="45" t="s">
        <v>68</v>
      </c>
      <c r="D81" s="46" t="s">
        <v>96</v>
      </c>
      <c r="E81" s="46"/>
      <c r="F81" s="356" t="str">
        <f t="shared" si="17"/>
        <v>-</v>
      </c>
      <c r="G81" s="158"/>
      <c r="H81" s="152">
        <f t="shared" si="20"/>
        <v>0</v>
      </c>
      <c r="I81" s="133"/>
      <c r="J81" s="126"/>
      <c r="K81" s="133"/>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row>
    <row r="82" spans="1:52" ht="76.5" x14ac:dyDescent="0.2">
      <c r="A82" s="45" t="s">
        <v>1259</v>
      </c>
      <c r="B82" s="45" t="s">
        <v>1260</v>
      </c>
      <c r="C82" s="45" t="s">
        <v>68</v>
      </c>
      <c r="D82" s="46" t="s">
        <v>96</v>
      </c>
      <c r="E82" s="46"/>
      <c r="F82" s="356" t="str">
        <f t="shared" si="17"/>
        <v>-</v>
      </c>
      <c r="G82" s="158"/>
      <c r="H82" s="152">
        <f t="shared" si="20"/>
        <v>0</v>
      </c>
      <c r="I82" s="133"/>
      <c r="J82" s="126"/>
      <c r="K82" s="133"/>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row>
    <row r="83" spans="1:52" ht="63.75" x14ac:dyDescent="0.2">
      <c r="A83" s="45" t="s">
        <v>304</v>
      </c>
      <c r="B83" s="45" t="s">
        <v>1217</v>
      </c>
      <c r="C83" s="45" t="s">
        <v>68</v>
      </c>
      <c r="D83" s="46" t="s">
        <v>96</v>
      </c>
      <c r="E83" s="46"/>
      <c r="F83" s="356" t="str">
        <f t="shared" si="17"/>
        <v>-</v>
      </c>
      <c r="G83" s="158"/>
      <c r="H83" s="152">
        <f t="shared" si="20"/>
        <v>0</v>
      </c>
      <c r="I83" s="133"/>
      <c r="J83" s="126"/>
      <c r="K83" s="133"/>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row>
    <row r="84" spans="1:52" ht="25.5" x14ac:dyDescent="0.2">
      <c r="A84" s="45" t="s">
        <v>305</v>
      </c>
      <c r="B84" s="45" t="s">
        <v>306</v>
      </c>
      <c r="C84" s="45" t="s">
        <v>11</v>
      </c>
      <c r="D84" s="46" t="s">
        <v>96</v>
      </c>
      <c r="E84" s="46"/>
      <c r="F84" s="356" t="str">
        <f t="shared" si="17"/>
        <v>-</v>
      </c>
      <c r="G84" s="158"/>
      <c r="H84" s="152">
        <f t="shared" si="20"/>
        <v>0</v>
      </c>
      <c r="I84" s="133"/>
      <c r="J84" s="126"/>
      <c r="K84" s="133"/>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row>
    <row r="85" spans="1:52" ht="39" customHeight="1" x14ac:dyDescent="0.2">
      <c r="A85" s="45" t="s">
        <v>307</v>
      </c>
      <c r="B85" s="45" t="s">
        <v>1223</v>
      </c>
      <c r="C85" s="235" t="s">
        <v>1115</v>
      </c>
      <c r="D85" s="46" t="s">
        <v>96</v>
      </c>
      <c r="E85" s="46"/>
      <c r="F85" s="356" t="str">
        <f t="shared" si="17"/>
        <v>-</v>
      </c>
      <c r="G85" s="158"/>
      <c r="H85" s="152">
        <f t="shared" si="20"/>
        <v>0</v>
      </c>
      <c r="I85" s="133"/>
      <c r="J85" s="126"/>
      <c r="K85" s="133"/>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row>
    <row r="86" spans="1:52" ht="25.5" x14ac:dyDescent="0.2">
      <c r="A86" s="45" t="s">
        <v>308</v>
      </c>
      <c r="B86" s="45" t="s">
        <v>1218</v>
      </c>
      <c r="C86" s="45" t="s">
        <v>158</v>
      </c>
      <c r="D86" s="46" t="s">
        <v>96</v>
      </c>
      <c r="E86" s="46"/>
      <c r="F86" s="356" t="str">
        <f t="shared" si="17"/>
        <v>-</v>
      </c>
      <c r="G86" s="158"/>
      <c r="H86" s="152">
        <f t="shared" si="20"/>
        <v>0</v>
      </c>
      <c r="I86" s="133"/>
      <c r="J86" s="126"/>
      <c r="K86" s="133"/>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row>
    <row r="87" spans="1:52" ht="25.5" x14ac:dyDescent="0.2">
      <c r="A87" s="45"/>
      <c r="B87" s="83" t="s">
        <v>309</v>
      </c>
      <c r="C87" s="45"/>
      <c r="D87" s="46" t="s">
        <v>96</v>
      </c>
      <c r="E87" s="46"/>
      <c r="F87" s="356" t="str">
        <f t="shared" si="17"/>
        <v>-</v>
      </c>
      <c r="G87" s="158"/>
      <c r="H87" s="152">
        <f t="shared" si="20"/>
        <v>0</v>
      </c>
      <c r="I87" s="133"/>
      <c r="J87" s="126"/>
      <c r="K87" s="133"/>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row>
    <row r="88" spans="1:52" ht="38.25" x14ac:dyDescent="0.2">
      <c r="A88" s="45" t="s">
        <v>310</v>
      </c>
      <c r="B88" s="45" t="s">
        <v>1219</v>
      </c>
      <c r="C88" s="45" t="s">
        <v>147</v>
      </c>
      <c r="D88" s="46" t="s">
        <v>96</v>
      </c>
      <c r="E88" s="46"/>
      <c r="F88" s="356" t="str">
        <f t="shared" si="17"/>
        <v>-</v>
      </c>
      <c r="G88" s="158"/>
      <c r="H88" s="152">
        <f t="shared" ref="H88:H110" si="27">SUM(K88:AU88)</f>
        <v>0</v>
      </c>
      <c r="I88" s="133"/>
      <c r="J88" s="126"/>
      <c r="K88" s="133"/>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row>
    <row r="89" spans="1:52" ht="51" x14ac:dyDescent="0.2">
      <c r="A89" s="45" t="s">
        <v>311</v>
      </c>
      <c r="B89" s="45" t="s">
        <v>1220</v>
      </c>
      <c r="C89" s="45" t="s">
        <v>147</v>
      </c>
      <c r="D89" s="46" t="s">
        <v>96</v>
      </c>
      <c r="E89" s="46"/>
      <c r="F89" s="356" t="str">
        <f t="shared" si="17"/>
        <v>-</v>
      </c>
      <c r="G89" s="158"/>
      <c r="H89" s="152">
        <f t="shared" si="27"/>
        <v>0</v>
      </c>
      <c r="I89" s="133"/>
      <c r="J89" s="126"/>
      <c r="K89" s="133"/>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row>
    <row r="90" spans="1:52" ht="25.5" x14ac:dyDescent="0.2">
      <c r="A90" s="45" t="s">
        <v>312</v>
      </c>
      <c r="B90" s="45" t="s">
        <v>1221</v>
      </c>
      <c r="C90" s="45" t="s">
        <v>147</v>
      </c>
      <c r="D90" s="46" t="s">
        <v>96</v>
      </c>
      <c r="E90" s="46"/>
      <c r="F90" s="356" t="str">
        <f t="shared" si="17"/>
        <v>-</v>
      </c>
      <c r="G90" s="158"/>
      <c r="H90" s="152">
        <f t="shared" si="27"/>
        <v>0</v>
      </c>
      <c r="I90" s="133"/>
      <c r="J90" s="126"/>
      <c r="K90" s="133"/>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row>
    <row r="91" spans="1:52" ht="25.5" x14ac:dyDescent="0.2">
      <c r="A91" s="45" t="s">
        <v>313</v>
      </c>
      <c r="B91" s="45" t="s">
        <v>314</v>
      </c>
      <c r="C91" s="45" t="s">
        <v>147</v>
      </c>
      <c r="D91" s="46" t="s">
        <v>96</v>
      </c>
      <c r="E91" s="46"/>
      <c r="F91" s="356" t="str">
        <f t="shared" si="17"/>
        <v>-</v>
      </c>
      <c r="G91" s="158"/>
      <c r="H91" s="152">
        <f t="shared" si="27"/>
        <v>0</v>
      </c>
      <c r="I91" s="133"/>
      <c r="J91" s="126"/>
      <c r="K91" s="133"/>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row>
    <row r="92" spans="1:52" ht="25.5" x14ac:dyDescent="0.2">
      <c r="A92" s="45" t="s">
        <v>315</v>
      </c>
      <c r="B92" s="45" t="s">
        <v>316</v>
      </c>
      <c r="C92" s="45" t="s">
        <v>147</v>
      </c>
      <c r="D92" s="46" t="s">
        <v>96</v>
      </c>
      <c r="E92" s="46"/>
      <c r="F92" s="356" t="str">
        <f t="shared" si="17"/>
        <v>-</v>
      </c>
      <c r="G92" s="158"/>
      <c r="H92" s="152">
        <f t="shared" si="27"/>
        <v>0</v>
      </c>
      <c r="I92" s="133"/>
      <c r="J92" s="126"/>
      <c r="K92" s="133"/>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row>
    <row r="93" spans="1:52" ht="25.5" x14ac:dyDescent="0.2">
      <c r="A93" s="45" t="s">
        <v>317</v>
      </c>
      <c r="B93" s="45" t="s">
        <v>318</v>
      </c>
      <c r="C93" s="45" t="s">
        <v>147</v>
      </c>
      <c r="D93" s="46" t="s">
        <v>96</v>
      </c>
      <c r="E93" s="46"/>
      <c r="F93" s="356" t="str">
        <f t="shared" si="17"/>
        <v>-</v>
      </c>
      <c r="G93" s="158"/>
      <c r="H93" s="152">
        <f t="shared" si="27"/>
        <v>0</v>
      </c>
      <c r="I93" s="133"/>
      <c r="J93" s="126"/>
      <c r="K93" s="133"/>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row>
    <row r="94" spans="1:52" ht="51" x14ac:dyDescent="0.2">
      <c r="A94" s="45" t="s">
        <v>319</v>
      </c>
      <c r="B94" s="45" t="s">
        <v>320</v>
      </c>
      <c r="C94" s="45" t="s">
        <v>147</v>
      </c>
      <c r="D94" s="46" t="s">
        <v>96</v>
      </c>
      <c r="E94" s="46"/>
      <c r="F94" s="356" t="str">
        <f t="shared" si="17"/>
        <v>-</v>
      </c>
      <c r="G94" s="158"/>
      <c r="H94" s="152">
        <f t="shared" si="27"/>
        <v>0</v>
      </c>
      <c r="I94" s="133"/>
      <c r="J94" s="126"/>
      <c r="K94" s="133"/>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row>
    <row r="95" spans="1:52" ht="25.5" x14ac:dyDescent="0.2">
      <c r="A95" s="45" t="s">
        <v>321</v>
      </c>
      <c r="B95" s="45" t="s">
        <v>322</v>
      </c>
      <c r="C95" s="45" t="s">
        <v>147</v>
      </c>
      <c r="D95" s="46" t="s">
        <v>96</v>
      </c>
      <c r="E95" s="46"/>
      <c r="F95" s="356" t="str">
        <f t="shared" si="17"/>
        <v>-</v>
      </c>
      <c r="G95" s="158"/>
      <c r="H95" s="152">
        <f t="shared" si="27"/>
        <v>0</v>
      </c>
      <c r="I95" s="133"/>
      <c r="J95" s="126"/>
      <c r="K95" s="133"/>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row>
    <row r="96" spans="1:52" ht="25.5" x14ac:dyDescent="0.2">
      <c r="A96" s="45" t="s">
        <v>323</v>
      </c>
      <c r="B96" s="45" t="s">
        <v>314</v>
      </c>
      <c r="C96" s="45" t="s">
        <v>147</v>
      </c>
      <c r="D96" s="46" t="s">
        <v>96</v>
      </c>
      <c r="E96" s="46"/>
      <c r="F96" s="356" t="str">
        <f t="shared" si="17"/>
        <v>-</v>
      </c>
      <c r="G96" s="158"/>
      <c r="H96" s="152">
        <f t="shared" si="27"/>
        <v>0</v>
      </c>
      <c r="I96" s="133"/>
      <c r="J96" s="126"/>
      <c r="K96" s="133"/>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row>
    <row r="97" spans="1:52" ht="25.5" x14ac:dyDescent="0.2">
      <c r="A97" s="45" t="s">
        <v>324</v>
      </c>
      <c r="B97" s="45" t="s">
        <v>316</v>
      </c>
      <c r="C97" s="45" t="s">
        <v>147</v>
      </c>
      <c r="D97" s="46" t="s">
        <v>96</v>
      </c>
      <c r="E97" s="46"/>
      <c r="F97" s="356" t="str">
        <f t="shared" si="17"/>
        <v>-</v>
      </c>
      <c r="G97" s="158"/>
      <c r="H97" s="152">
        <f t="shared" si="27"/>
        <v>0</v>
      </c>
      <c r="I97" s="133"/>
      <c r="J97" s="126"/>
      <c r="K97" s="133"/>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row>
    <row r="98" spans="1:52" ht="25.5" x14ac:dyDescent="0.2">
      <c r="A98" s="45" t="s">
        <v>325</v>
      </c>
      <c r="B98" s="45" t="s">
        <v>318</v>
      </c>
      <c r="C98" s="45" t="s">
        <v>147</v>
      </c>
      <c r="D98" s="46" t="s">
        <v>96</v>
      </c>
      <c r="E98" s="46"/>
      <c r="F98" s="356" t="str">
        <f t="shared" si="17"/>
        <v>-</v>
      </c>
      <c r="G98" s="158"/>
      <c r="H98" s="152">
        <f t="shared" si="27"/>
        <v>0</v>
      </c>
      <c r="I98" s="133"/>
      <c r="J98" s="126"/>
      <c r="K98" s="133"/>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row>
    <row r="99" spans="1:52" ht="38.25" x14ac:dyDescent="0.2">
      <c r="A99" s="45" t="s">
        <v>326</v>
      </c>
      <c r="B99" s="45" t="s">
        <v>327</v>
      </c>
      <c r="C99" s="45" t="s">
        <v>147</v>
      </c>
      <c r="D99" s="46" t="s">
        <v>96</v>
      </c>
      <c r="E99" s="46"/>
      <c r="F99" s="356" t="str">
        <f t="shared" si="17"/>
        <v>-</v>
      </c>
      <c r="G99" s="158"/>
      <c r="H99" s="152">
        <f t="shared" si="27"/>
        <v>0</v>
      </c>
      <c r="I99" s="133"/>
      <c r="J99" s="126"/>
      <c r="K99" s="133"/>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row>
    <row r="100" spans="1:52" ht="25.5" x14ac:dyDescent="0.2">
      <c r="A100" s="45"/>
      <c r="B100" s="83" t="s">
        <v>328</v>
      </c>
      <c r="C100" s="45"/>
      <c r="D100" s="46" t="s">
        <v>96</v>
      </c>
      <c r="E100" s="46"/>
      <c r="F100" s="356" t="str">
        <f t="shared" si="17"/>
        <v>-</v>
      </c>
      <c r="G100" s="158"/>
      <c r="H100" s="152">
        <f t="shared" si="27"/>
        <v>0</v>
      </c>
      <c r="I100" s="133"/>
      <c r="J100" s="126"/>
      <c r="K100" s="133"/>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row>
    <row r="101" spans="1:52" ht="51" x14ac:dyDescent="0.2">
      <c r="A101" s="45" t="s">
        <v>329</v>
      </c>
      <c r="B101" s="45" t="s">
        <v>1107</v>
      </c>
      <c r="C101" s="45" t="s">
        <v>163</v>
      </c>
      <c r="D101" s="46" t="s">
        <v>96</v>
      </c>
      <c r="E101" s="46"/>
      <c r="F101" s="356" t="str">
        <f t="shared" si="17"/>
        <v>-</v>
      </c>
      <c r="G101" s="158"/>
      <c r="H101" s="152">
        <f t="shared" si="27"/>
        <v>0</v>
      </c>
      <c r="I101" s="133"/>
      <c r="J101" s="126"/>
      <c r="K101" s="133"/>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row>
    <row r="102" spans="1:52" ht="25.5" x14ac:dyDescent="0.2">
      <c r="A102" s="45" t="s">
        <v>330</v>
      </c>
      <c r="B102" s="45" t="s">
        <v>1108</v>
      </c>
      <c r="C102" s="45" t="s">
        <v>147</v>
      </c>
      <c r="D102" s="46" t="s">
        <v>96</v>
      </c>
      <c r="E102" s="46"/>
      <c r="F102" s="356" t="str">
        <f t="shared" si="17"/>
        <v>-</v>
      </c>
      <c r="G102" s="158"/>
      <c r="H102" s="152">
        <f t="shared" si="27"/>
        <v>0</v>
      </c>
      <c r="I102" s="133"/>
      <c r="J102" s="126"/>
      <c r="K102" s="133"/>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row>
    <row r="103" spans="1:52" ht="25.5" x14ac:dyDescent="0.2">
      <c r="A103" s="45" t="s">
        <v>331</v>
      </c>
      <c r="B103" s="45" t="s">
        <v>332</v>
      </c>
      <c r="C103" s="45" t="s">
        <v>68</v>
      </c>
      <c r="D103" s="46" t="s">
        <v>96</v>
      </c>
      <c r="E103" s="46"/>
      <c r="F103" s="356" t="str">
        <f t="shared" si="17"/>
        <v>-</v>
      </c>
      <c r="G103" s="158"/>
      <c r="H103" s="152">
        <f t="shared" si="27"/>
        <v>0</v>
      </c>
      <c r="I103" s="133"/>
      <c r="J103" s="126"/>
      <c r="K103" s="133"/>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row>
    <row r="104" spans="1:52" ht="76.5" x14ac:dyDescent="0.2">
      <c r="A104" s="45" t="s">
        <v>333</v>
      </c>
      <c r="B104" s="45" t="s">
        <v>334</v>
      </c>
      <c r="C104" s="45" t="s">
        <v>163</v>
      </c>
      <c r="D104" s="46" t="s">
        <v>96</v>
      </c>
      <c r="E104" s="46"/>
      <c r="F104" s="356" t="str">
        <f t="shared" ref="F104:F111" si="28">IF(ISNUMBER(SEARCH("incl",$D104)),"-",IF(ISNUMBER(SEARCH("not r",$D104)),"-",IF(ISNUMBER(SEARCH("refer",$D104)),"-",IF(C104="sum","",$D104*$E104))))</f>
        <v>-</v>
      </c>
      <c r="G104" s="158"/>
      <c r="H104" s="152">
        <f t="shared" si="27"/>
        <v>0</v>
      </c>
      <c r="I104" s="133"/>
      <c r="J104" s="126"/>
      <c r="K104" s="133"/>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row>
    <row r="105" spans="1:52" ht="76.5" x14ac:dyDescent="0.2">
      <c r="A105" s="45" t="s">
        <v>335</v>
      </c>
      <c r="B105" s="45" t="s">
        <v>336</v>
      </c>
      <c r="C105" s="45" t="s">
        <v>163</v>
      </c>
      <c r="D105" s="46" t="s">
        <v>96</v>
      </c>
      <c r="E105" s="46"/>
      <c r="F105" s="356" t="str">
        <f t="shared" si="28"/>
        <v>-</v>
      </c>
      <c r="G105" s="158"/>
      <c r="H105" s="152">
        <f t="shared" si="27"/>
        <v>0</v>
      </c>
      <c r="I105" s="133"/>
      <c r="J105" s="126"/>
      <c r="K105" s="133"/>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row>
    <row r="106" spans="1:52" x14ac:dyDescent="0.2">
      <c r="A106" s="45"/>
      <c r="B106" s="83" t="s">
        <v>337</v>
      </c>
      <c r="C106" s="45"/>
      <c r="D106" s="46"/>
      <c r="E106" s="46"/>
      <c r="F106" s="309"/>
      <c r="G106" s="158"/>
      <c r="H106" s="152">
        <f t="shared" si="27"/>
        <v>0</v>
      </c>
      <c r="I106" s="133"/>
      <c r="J106" s="126"/>
      <c r="K106" s="133"/>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row>
    <row r="107" spans="1:52" ht="38.25" x14ac:dyDescent="0.2">
      <c r="A107" s="45" t="s">
        <v>338</v>
      </c>
      <c r="B107" s="45" t="s">
        <v>187</v>
      </c>
      <c r="C107" s="45" t="s">
        <v>188</v>
      </c>
      <c r="D107" s="46" t="s">
        <v>1214</v>
      </c>
      <c r="E107" s="46"/>
      <c r="F107" s="356" t="str">
        <f t="shared" si="28"/>
        <v>-</v>
      </c>
      <c r="G107" s="158"/>
      <c r="H107" s="152">
        <f t="shared" si="27"/>
        <v>0</v>
      </c>
      <c r="I107" s="133"/>
      <c r="J107" s="126"/>
      <c r="K107" s="133"/>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row>
    <row r="108" spans="1:52" ht="25.5" x14ac:dyDescent="0.2">
      <c r="A108" s="45" t="s">
        <v>339</v>
      </c>
      <c r="B108" s="45" t="s">
        <v>190</v>
      </c>
      <c r="C108" s="45" t="s">
        <v>188</v>
      </c>
      <c r="D108" s="173" t="s">
        <v>1184</v>
      </c>
      <c r="E108" s="46"/>
      <c r="F108" s="356" t="str">
        <f t="shared" si="28"/>
        <v>-</v>
      </c>
      <c r="G108" s="158"/>
      <c r="H108" s="152">
        <f t="shared" si="27"/>
        <v>0</v>
      </c>
      <c r="I108" s="133"/>
      <c r="J108" s="126"/>
      <c r="K108" s="133"/>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row>
    <row r="109" spans="1:52" ht="38.25" x14ac:dyDescent="0.2">
      <c r="A109" s="45" t="s">
        <v>340</v>
      </c>
      <c r="B109" s="45" t="s">
        <v>192</v>
      </c>
      <c r="C109" s="45" t="s">
        <v>188</v>
      </c>
      <c r="D109" s="46" t="s">
        <v>1214</v>
      </c>
      <c r="E109" s="46"/>
      <c r="F109" s="356" t="str">
        <f t="shared" si="28"/>
        <v>-</v>
      </c>
      <c r="G109" s="158"/>
      <c r="H109" s="152">
        <f t="shared" si="27"/>
        <v>0</v>
      </c>
      <c r="I109" s="133"/>
      <c r="J109" s="126"/>
      <c r="K109" s="133"/>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row>
    <row r="110" spans="1:52" ht="25.5" x14ac:dyDescent="0.2">
      <c r="A110" s="45" t="s">
        <v>341</v>
      </c>
      <c r="B110" s="45" t="s">
        <v>342</v>
      </c>
      <c r="C110" s="45" t="s">
        <v>147</v>
      </c>
      <c r="D110" s="46" t="s">
        <v>96</v>
      </c>
      <c r="E110" s="46"/>
      <c r="F110" s="356" t="str">
        <f t="shared" si="28"/>
        <v>-</v>
      </c>
      <c r="G110" s="158"/>
      <c r="H110" s="152">
        <f t="shared" si="27"/>
        <v>0</v>
      </c>
      <c r="I110" s="133"/>
      <c r="J110" s="126"/>
      <c r="K110" s="133"/>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row>
    <row r="111" spans="1:52" ht="48" customHeight="1" x14ac:dyDescent="0.2">
      <c r="A111" s="45" t="s">
        <v>343</v>
      </c>
      <c r="B111" s="45" t="s">
        <v>1215</v>
      </c>
      <c r="C111" s="45" t="s">
        <v>163</v>
      </c>
      <c r="D111" s="46">
        <f>ROUNDUP(H111,0)</f>
        <v>1</v>
      </c>
      <c r="E111" s="46"/>
      <c r="F111" s="356">
        <f t="shared" si="28"/>
        <v>0</v>
      </c>
      <c r="G111" s="158"/>
      <c r="H111" s="152">
        <f>H52</f>
        <v>0.94247779607693805</v>
      </c>
      <c r="I111" s="174" t="s">
        <v>1222</v>
      </c>
      <c r="J111" s="126"/>
      <c r="K111" s="133"/>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row>
    <row r="112" spans="1:52" ht="13.5" thickBot="1" x14ac:dyDescent="0.25">
      <c r="A112" s="495"/>
      <c r="B112" s="496"/>
      <c r="C112" s="495"/>
      <c r="D112" s="495"/>
      <c r="E112" s="495"/>
      <c r="F112" s="497"/>
      <c r="G112" s="157"/>
      <c r="H112" s="148"/>
      <c r="I112" s="138"/>
      <c r="J112" s="135"/>
      <c r="K112" s="133"/>
      <c r="L112" s="133"/>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row>
    <row r="113" spans="1:52" ht="13.5" thickBot="1" x14ac:dyDescent="0.25">
      <c r="A113" s="498" t="s">
        <v>1109</v>
      </c>
      <c r="B113" s="499"/>
      <c r="C113" s="499"/>
      <c r="D113" s="499"/>
      <c r="E113" s="500"/>
      <c r="F113" s="501">
        <f>SUM(F11:F112)</f>
        <v>0</v>
      </c>
      <c r="G113" s="156"/>
      <c r="H113" s="150"/>
      <c r="J113" s="100"/>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row>
    <row r="114" spans="1:52" x14ac:dyDescent="0.2">
      <c r="B114" s="29"/>
      <c r="H114" s="150"/>
    </row>
    <row r="115" spans="1:52" ht="13.5" thickBot="1" x14ac:dyDescent="0.25">
      <c r="H115" s="151"/>
    </row>
  </sheetData>
  <conditionalFormatting sqref="K1:AW1048576">
    <cfRule type="cellIs" dxfId="36" priority="1" operator="equal">
      <formula>0</formula>
    </cfRule>
  </conditionalFormatting>
  <pageMargins left="0.7" right="0.7" top="0.75" bottom="0.75" header="0.3" footer="0.3"/>
  <pageSetup paperSize="8" scale="21" orientation="landscape" r:id="rId1"/>
  <headerFooter>
    <oddFooter>&amp;A&amp;RPage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O78"/>
  <sheetViews>
    <sheetView tabSelected="1" view="pageBreakPreview" zoomScale="90" zoomScaleNormal="100" zoomScaleSheetLayoutView="90" zoomScalePageLayoutView="60" workbookViewId="0">
      <selection activeCell="J23" sqref="J23"/>
    </sheetView>
  </sheetViews>
  <sheetFormatPr defaultRowHeight="12.75" x14ac:dyDescent="0.2"/>
  <cols>
    <col min="2" max="2" width="38.7109375" customWidth="1"/>
    <col min="3" max="3" width="7.42578125" style="1" customWidth="1"/>
    <col min="4" max="4" width="11.5703125" style="1" customWidth="1"/>
    <col min="5" max="5" width="11.42578125" style="58" customWidth="1"/>
    <col min="6" max="6" width="11.42578125" style="295" customWidth="1"/>
    <col min="7" max="7" width="2.42578125" style="154" customWidth="1"/>
    <col min="8" max="10" width="8.7109375" style="165" customWidth="1"/>
    <col min="13" max="13" width="9.140625" style="77"/>
    <col min="25" max="25" width="8.7109375" customWidth="1"/>
  </cols>
  <sheetData>
    <row r="1" spans="1:66" ht="15" x14ac:dyDescent="0.25">
      <c r="J1" s="256" t="s">
        <v>1329</v>
      </c>
      <c r="K1" s="111">
        <f>'Section B'!K1</f>
        <v>0</v>
      </c>
      <c r="L1" s="111">
        <f>'Section B'!L1</f>
        <v>0</v>
      </c>
      <c r="M1" s="111">
        <f>'Section B'!M1</f>
        <v>0</v>
      </c>
      <c r="N1" s="111">
        <f>'Section B'!N1</f>
        <v>0</v>
      </c>
      <c r="O1" s="111">
        <f>'Section B'!O1</f>
        <v>0</v>
      </c>
      <c r="P1" s="111">
        <f>'Section B'!P1</f>
        <v>0</v>
      </c>
      <c r="Q1" s="111">
        <f>'Section B'!Q1</f>
        <v>0</v>
      </c>
      <c r="R1" s="111">
        <f>'Section B'!R1</f>
        <v>0</v>
      </c>
      <c r="S1" s="111">
        <f>'Section B'!S1</f>
        <v>0</v>
      </c>
      <c r="T1" s="111">
        <f>'Section B'!T1</f>
        <v>0</v>
      </c>
      <c r="U1" s="111">
        <f>'Section B'!U1</f>
        <v>0</v>
      </c>
      <c r="V1" s="111">
        <f>'Section B'!V1</f>
        <v>0</v>
      </c>
      <c r="W1" s="111">
        <f>'Section B'!W1</f>
        <v>0</v>
      </c>
      <c r="X1" s="111">
        <f>'Section B'!X1</f>
        <v>0</v>
      </c>
      <c r="Y1" s="111">
        <f>'Section B'!Y1</f>
        <v>0</v>
      </c>
      <c r="Z1" s="111">
        <f>'Section B'!Z1</f>
        <v>0</v>
      </c>
      <c r="AA1" s="111">
        <f>'Section B'!AA1</f>
        <v>0</v>
      </c>
      <c r="AB1" s="111">
        <f>'Section B'!AB1</f>
        <v>0</v>
      </c>
      <c r="AC1" s="111">
        <f>'Section B'!AC1</f>
        <v>0</v>
      </c>
      <c r="AD1" s="111">
        <f>'Section B'!AD1</f>
        <v>0</v>
      </c>
      <c r="AE1" s="111">
        <f>'Section B'!AE1</f>
        <v>0</v>
      </c>
      <c r="AF1" s="111">
        <f>'Section B'!AF1</f>
        <v>0</v>
      </c>
      <c r="AG1" s="111">
        <f>'Section B'!AG1</f>
        <v>0</v>
      </c>
      <c r="AH1" s="111">
        <f>'Section B'!AH1</f>
        <v>0</v>
      </c>
      <c r="AI1" s="111">
        <f>'Section B'!AI1</f>
        <v>0</v>
      </c>
      <c r="AJ1" s="111">
        <f>'Section B'!AJ1</f>
        <v>0</v>
      </c>
      <c r="AK1" s="111">
        <f>'Section B'!AK1</f>
        <v>0</v>
      </c>
      <c r="AL1" s="111">
        <f>'Section B'!AL1</f>
        <v>0</v>
      </c>
      <c r="AM1" s="111">
        <f>'Section B'!AM1</f>
        <v>0</v>
      </c>
      <c r="AN1" s="111">
        <f>'Section B'!AN1</f>
        <v>0</v>
      </c>
      <c r="AO1" s="111">
        <f>'Section B'!AO1</f>
        <v>0</v>
      </c>
      <c r="AP1" s="111">
        <f>'Section B'!AP1</f>
        <v>0</v>
      </c>
      <c r="AQ1" s="111">
        <f>'Section B'!AQ1</f>
        <v>0</v>
      </c>
      <c r="AR1" s="111">
        <f>'Section B'!AR1</f>
        <v>0</v>
      </c>
      <c r="AS1" s="111">
        <f>'Section B'!AS1</f>
        <v>0</v>
      </c>
      <c r="AT1" s="111">
        <f>'Section B'!AT1</f>
        <v>0</v>
      </c>
      <c r="AU1" s="111">
        <f>'Section B'!AU1</f>
        <v>0</v>
      </c>
      <c r="AV1" s="111">
        <f>'Section B'!AV1</f>
        <v>0</v>
      </c>
      <c r="AW1" s="111">
        <f>'Section B'!AW1</f>
        <v>0</v>
      </c>
      <c r="AX1" s="112"/>
      <c r="AY1" s="112"/>
      <c r="AZ1" s="112"/>
      <c r="BA1" s="112"/>
      <c r="BB1" s="112"/>
      <c r="BC1" s="112"/>
      <c r="BD1" s="112"/>
      <c r="BE1" s="112"/>
      <c r="BF1" s="112"/>
    </row>
    <row r="2" spans="1:66" s="109" customFormat="1" ht="30" x14ac:dyDescent="0.25">
      <c r="C2" s="110"/>
      <c r="D2" s="110"/>
      <c r="E2" s="110"/>
      <c r="F2" s="305"/>
      <c r="G2" s="159"/>
      <c r="H2" s="218" t="s">
        <v>1264</v>
      </c>
      <c r="I2" s="114"/>
      <c r="J2" s="255" t="s">
        <v>1326</v>
      </c>
      <c r="K2" s="111" t="str">
        <f>'Log Schedule'!A35</f>
        <v>TP 01</v>
      </c>
      <c r="L2" s="111" t="str">
        <f>'Log Schedule'!A36</f>
        <v>TP 02</v>
      </c>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row>
    <row r="3" spans="1:66" s="117" customFormat="1" ht="15" x14ac:dyDescent="0.2">
      <c r="E3" s="219"/>
      <c r="F3" s="306"/>
      <c r="G3" s="220"/>
      <c r="H3" s="221"/>
      <c r="I3" s="221"/>
      <c r="J3" s="312" t="s">
        <v>1154</v>
      </c>
      <c r="K3" s="116" t="str">
        <f>IF(K$4&gt;0,CONCATENATE("TP-",K2),IF('Section B'!K$3=0,"TP??","-"))</f>
        <v>TP-TP 01</v>
      </c>
      <c r="L3" s="116" t="str">
        <f>IF(L$4&gt;0,CONCATENATE("TP-",L2),IF('Section B'!L$3=0,"TP??","-"))</f>
        <v>TP-TP 02</v>
      </c>
      <c r="M3" s="116" t="str">
        <f>IF(M$4&gt;0,CONCATENATE("TP-",M2),IF('Section B'!M$3=0,"TP??","-"))</f>
        <v>TP??</v>
      </c>
      <c r="N3" s="116" t="str">
        <f>IF(N$4&gt;0,CONCATENATE("TP-",N2),IF('Section B'!N$3=0,"TP??","-"))</f>
        <v>TP??</v>
      </c>
      <c r="O3" s="116" t="str">
        <f>IF(O$4&gt;0,CONCATENATE("TP-",O2),IF('Section B'!O$3=0,"TP??","-"))</f>
        <v>TP??</v>
      </c>
      <c r="P3" s="116" t="str">
        <f>IF(P$4&gt;0,CONCATENATE("TP-",P2),IF('Section B'!P$3=0,"TP??","-"))</f>
        <v>TP??</v>
      </c>
      <c r="Q3" s="116" t="str">
        <f>IF(Q$4&gt;0,CONCATENATE("TP-",Q2),IF('Section B'!Q$3=0,"TP??","-"))</f>
        <v>TP??</v>
      </c>
      <c r="R3" s="116" t="str">
        <f>IF(R$4&gt;0,CONCATENATE("TP-",R2),IF('Section B'!R$3=0,"TP??","-"))</f>
        <v>TP??</v>
      </c>
      <c r="S3" s="116" t="str">
        <f>IF(S$4&gt;0,CONCATENATE("TP-",S2),IF('Section B'!S$3=0,"TP??","-"))</f>
        <v>TP??</v>
      </c>
      <c r="T3" s="116" t="str">
        <f>IF(T$4&gt;0,CONCATENATE("TP-",T2),IF('Section B'!T$3=0,"TP??","-"))</f>
        <v>TP??</v>
      </c>
      <c r="U3" s="116" t="str">
        <f>IF(U$4&gt;0,CONCATENATE("TP-",U2),IF('Section B'!U$3=0,"TP??","-"))</f>
        <v>TP??</v>
      </c>
      <c r="V3" s="116" t="str">
        <f>IF(V$4&gt;0,CONCATENATE("TP-",V2),IF('Section B'!V$3=0,"TP??","-"))</f>
        <v>TP??</v>
      </c>
      <c r="W3" s="116" t="str">
        <f>IF(W$4&gt;0,CONCATENATE("TP-",W2),IF('Section B'!W$3=0,"TP??","-"))</f>
        <v>TP??</v>
      </c>
      <c r="X3" s="116" t="str">
        <f>IF(X$4&gt;0,CONCATENATE("TP-",X2),IF('Section B'!X$3=0,"TP??","-"))</f>
        <v>TP??</v>
      </c>
      <c r="Y3" s="116" t="str">
        <f>IF(Y$4&gt;0,CONCATENATE("TP-",Y2),IF('Section B'!Y$3=0,"TP??","-"))</f>
        <v>TP??</v>
      </c>
      <c r="Z3" s="116" t="str">
        <f>IF(Z$4&gt;0,CONCATENATE("TP-",Z2),IF('Section B'!Z$3=0,"TP??","-"))</f>
        <v>TP??</v>
      </c>
      <c r="AA3" s="116" t="str">
        <f>IF(AA$4&gt;0,CONCATENATE("TP-",AA2),IF('Section B'!AA$3=0,"TP??","-"))</f>
        <v>TP??</v>
      </c>
      <c r="AB3" s="116" t="str">
        <f>IF(AB$4&gt;0,CONCATENATE("TP-",AB2),IF('Section B'!AB$3=0,"TP??","-"))</f>
        <v>TP??</v>
      </c>
      <c r="AC3" s="116" t="str">
        <f>IF(AC$4&gt;0,CONCATENATE("TP-",AC2),IF('Section B'!AC$3=0,"TP??","-"))</f>
        <v>TP??</v>
      </c>
      <c r="AD3" s="116" t="str">
        <f>IF(AD$4&gt;0,CONCATENATE("TP-",AD2),IF('Section B'!AD$3=0,"TP??","-"))</f>
        <v>TP??</v>
      </c>
      <c r="AE3" s="116" t="str">
        <f>IF(AE$4&gt;0,CONCATENATE("TP-",AE2),IF('Section B'!AE$3=0,"TP??","-"))</f>
        <v>TP??</v>
      </c>
      <c r="AF3" s="116" t="str">
        <f>IF(AF$4&gt;0,CONCATENATE("TP-",AF2),IF('Section B'!AF$3=0,"TP??","-"))</f>
        <v>TP??</v>
      </c>
      <c r="AG3" s="116" t="str">
        <f>IF(AG$4&gt;0,CONCATENATE("TP-",AG2),IF('Section B'!AG$3=0,"TP??","-"))</f>
        <v>TP??</v>
      </c>
      <c r="AH3" s="116" t="str">
        <f>IF(AH$4&gt;0,CONCATENATE("TP-",AH2),IF('Section B'!AH$3=0,"TP??","-"))</f>
        <v>TP??</v>
      </c>
      <c r="AI3" s="116" t="str">
        <f>IF(AI$4&gt;0,CONCATENATE("TP-",AI2),IF('Section B'!AI$3=0,"TP??","-"))</f>
        <v>TP??</v>
      </c>
      <c r="AJ3" s="116" t="str">
        <f>IF(AJ$4&gt;0,CONCATENATE("TP-",AJ2),IF('Section B'!AJ$3=0,"TP??","-"))</f>
        <v>TP??</v>
      </c>
      <c r="AK3" s="116" t="str">
        <f>IF(AK$4&gt;0,CONCATENATE("TP-",AK2),IF('Section B'!AK$3=0,"TP??","-"))</f>
        <v>TP??</v>
      </c>
      <c r="AL3" s="116" t="str">
        <f>IF(AL$4&gt;0,CONCATENATE("TP-",AL2),IF('Section B'!AL$3=0,"TP??","-"))</f>
        <v>TP??</v>
      </c>
      <c r="AM3" s="116" t="str">
        <f>IF(AM$4&gt;0,CONCATENATE("TP-",AM2),IF('Section B'!AM$3=0,"TP??","-"))</f>
        <v>TP??</v>
      </c>
      <c r="AN3" s="116" t="str">
        <f>IF(AN$4&gt;0,CONCATENATE("TP-",AN2),IF('Section B'!AN$3=0,"TP??","-"))</f>
        <v>TP??</v>
      </c>
      <c r="AO3" s="116" t="str">
        <f>IF(AO$4&gt;0,CONCATENATE("TP-",AO2),IF('Section B'!AO$3=0,"TP??","-"))</f>
        <v>TP??</v>
      </c>
      <c r="AP3" s="116" t="str">
        <f>IF(AP$4&gt;0,CONCATENATE("TP-",AP2),IF('Section B'!AP$3=0,"TP??","-"))</f>
        <v>TP??</v>
      </c>
      <c r="AQ3" s="116" t="str">
        <f>IF(AQ$4&gt;0,CONCATENATE("TP-",AQ2),IF('Section B'!AQ$3=0,"TP??","-"))</f>
        <v>TP??</v>
      </c>
      <c r="AR3" s="116" t="str">
        <f>IF(AR$4&gt;0,CONCATENATE("TP-",AR2),IF('Section B'!AR$3=0,"TP??","-"))</f>
        <v>TP??</v>
      </c>
      <c r="AS3" s="116" t="str">
        <f>IF(AS$4&gt;0,CONCATENATE("TP-",AS2),IF('Section B'!AS$3=0,"TP??","-"))</f>
        <v>TP??</v>
      </c>
      <c r="AT3" s="116" t="str">
        <f>IF(AT$4&gt;0,CONCATENATE("TP-",AT2),IF('Section B'!AT$3=0,"TP??","-"))</f>
        <v>TP??</v>
      </c>
      <c r="AU3" s="116" t="str">
        <f>IF(AU$4&gt;0,CONCATENATE("TP-",AU2),IF('Section B'!AU$3=0,"TP??","-"))</f>
        <v>TP??</v>
      </c>
      <c r="AV3" s="116" t="str">
        <f>IF(AV$4&gt;0,CONCATENATE("TP-",AV2),IF('Section B'!AV$3=0,"TP??","-"))</f>
        <v>TP??</v>
      </c>
      <c r="AW3" s="116" t="str">
        <f>IF(AW$4&gt;0,CONCATENATE("TP-",AW2),IF('Section B'!AW$3=0,"TP??","-"))</f>
        <v>TP??</v>
      </c>
      <c r="AX3" s="116"/>
      <c r="AY3" s="116"/>
      <c r="AZ3" s="116"/>
      <c r="BA3" s="116"/>
      <c r="BB3" s="116"/>
      <c r="BC3" s="116"/>
      <c r="BD3" s="116"/>
      <c r="BE3" s="116"/>
      <c r="BF3" s="116"/>
    </row>
    <row r="4" spans="1:66" s="117" customFormat="1" ht="15" x14ac:dyDescent="0.2">
      <c r="E4" s="219"/>
      <c r="F4" s="306"/>
      <c r="G4" s="220"/>
      <c r="H4" s="221"/>
      <c r="I4" s="221"/>
      <c r="J4" s="223" t="s">
        <v>1327</v>
      </c>
      <c r="K4" s="116">
        <f>'Log Schedule'!C35</f>
        <v>4.5</v>
      </c>
      <c r="L4" s="116">
        <f>'Log Schedule'!C36</f>
        <v>4.5</v>
      </c>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row>
    <row r="5" spans="1:66" s="117" customFormat="1" x14ac:dyDescent="0.2">
      <c r="E5" s="219"/>
      <c r="F5" s="306"/>
      <c r="G5" s="220"/>
      <c r="H5" s="114" t="s">
        <v>1188</v>
      </c>
      <c r="I5" s="114"/>
      <c r="J5" s="226" t="s">
        <v>1265</v>
      </c>
      <c r="K5" s="195"/>
      <c r="L5" s="195"/>
      <c r="M5" s="222"/>
      <c r="N5" s="195"/>
      <c r="O5" s="195"/>
      <c r="P5" s="195"/>
      <c r="Q5" s="195"/>
      <c r="R5" s="195"/>
      <c r="S5" s="195"/>
      <c r="T5" s="257"/>
      <c r="U5" s="195"/>
      <c r="V5" s="259"/>
      <c r="W5" s="259"/>
      <c r="X5" s="259"/>
      <c r="Y5" s="195"/>
      <c r="Z5" s="195"/>
      <c r="AA5" s="195"/>
      <c r="AB5" s="259"/>
      <c r="AC5" s="259"/>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row>
    <row r="6" spans="1:66" s="117" customFormat="1" x14ac:dyDescent="0.2">
      <c r="E6" s="219"/>
      <c r="F6" s="306"/>
      <c r="G6" s="220"/>
      <c r="H6" s="114"/>
      <c r="I6" s="114"/>
      <c r="J6" s="227" t="s">
        <v>1252</v>
      </c>
      <c r="K6" s="195"/>
      <c r="L6" s="195"/>
      <c r="M6" s="222"/>
      <c r="N6" s="195"/>
      <c r="O6" s="195"/>
      <c r="P6" s="195"/>
      <c r="Q6" s="195"/>
      <c r="R6" s="195"/>
      <c r="S6" s="195"/>
      <c r="T6" s="257"/>
      <c r="U6" s="195"/>
      <c r="V6" s="259"/>
      <c r="W6" s="259"/>
      <c r="X6" s="259"/>
      <c r="Y6" s="195"/>
      <c r="Z6" s="195"/>
      <c r="AA6" s="195"/>
      <c r="AB6" s="259"/>
      <c r="AC6" s="259"/>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row>
    <row r="7" spans="1:66" ht="13.5" thickBot="1" x14ac:dyDescent="0.25">
      <c r="H7" s="114"/>
      <c r="I7" s="114"/>
      <c r="J7" s="282" t="s">
        <v>1330</v>
      </c>
      <c r="K7" s="283"/>
      <c r="L7" s="283"/>
      <c r="M7" s="284"/>
      <c r="N7" s="283"/>
      <c r="O7" s="283"/>
      <c r="P7" s="283"/>
      <c r="Q7" s="283"/>
      <c r="R7" s="283"/>
      <c r="S7" s="283"/>
      <c r="T7" s="283"/>
      <c r="U7" s="283"/>
      <c r="V7" s="283"/>
      <c r="W7" s="283"/>
      <c r="X7" s="283"/>
      <c r="Y7" s="283"/>
      <c r="Z7" s="283"/>
      <c r="AA7" s="283"/>
      <c r="AB7" s="283"/>
      <c r="AC7" s="283"/>
      <c r="AD7" s="283"/>
      <c r="AE7" s="283"/>
      <c r="AF7" s="283"/>
      <c r="AG7" s="283"/>
      <c r="AH7" s="283"/>
      <c r="AI7" s="283"/>
      <c r="AJ7" s="283"/>
      <c r="AK7" s="283"/>
      <c r="AL7" s="283"/>
      <c r="AM7" s="283"/>
      <c r="AN7" s="283"/>
      <c r="AO7" s="283"/>
      <c r="AP7" s="283"/>
      <c r="AQ7" s="283"/>
      <c r="AR7" s="283"/>
      <c r="AS7" s="283"/>
      <c r="AT7" s="283">
        <v>1</v>
      </c>
      <c r="AU7" s="283">
        <v>1</v>
      </c>
      <c r="AV7" s="283"/>
      <c r="AW7" s="283"/>
      <c r="AX7" s="283"/>
      <c r="AY7" s="283"/>
      <c r="AZ7" s="283"/>
      <c r="BA7" s="283"/>
      <c r="BB7" s="283"/>
      <c r="BC7" s="283"/>
      <c r="BD7" s="283"/>
      <c r="BE7" s="283"/>
      <c r="BF7" s="283"/>
    </row>
    <row r="8" spans="1:66" x14ac:dyDescent="0.2">
      <c r="A8" s="5" t="s">
        <v>0</v>
      </c>
      <c r="B8" s="5" t="s">
        <v>1</v>
      </c>
      <c r="C8" s="5" t="s">
        <v>2</v>
      </c>
      <c r="D8" s="5" t="s">
        <v>3</v>
      </c>
      <c r="E8" s="53" t="s">
        <v>4</v>
      </c>
      <c r="F8" s="289" t="s">
        <v>5</v>
      </c>
      <c r="G8" s="155"/>
      <c r="H8" s="147" t="s">
        <v>1189</v>
      </c>
      <c r="I8" s="213"/>
      <c r="J8" s="282" t="s">
        <v>1356</v>
      </c>
      <c r="Y8">
        <v>0</v>
      </c>
      <c r="AB8" s="262">
        <v>1</v>
      </c>
      <c r="AC8" s="262">
        <v>1</v>
      </c>
    </row>
    <row r="9" spans="1:66" x14ac:dyDescent="0.2">
      <c r="A9" s="8"/>
      <c r="B9" s="8"/>
      <c r="C9" s="9"/>
      <c r="D9" s="9"/>
      <c r="E9" s="54" t="s">
        <v>6</v>
      </c>
      <c r="F9" s="290" t="s">
        <v>6</v>
      </c>
      <c r="G9" s="156"/>
      <c r="H9" s="167"/>
      <c r="I9" s="213"/>
      <c r="J9" s="212" t="s">
        <v>1266</v>
      </c>
      <c r="L9" s="188"/>
      <c r="V9" s="1">
        <v>1</v>
      </c>
      <c r="AT9">
        <v>1</v>
      </c>
      <c r="AU9">
        <v>1</v>
      </c>
    </row>
    <row r="10" spans="1:66" ht="15" x14ac:dyDescent="0.2">
      <c r="A10" s="467" t="s">
        <v>344</v>
      </c>
      <c r="B10" s="502" t="s">
        <v>345</v>
      </c>
      <c r="C10" s="503"/>
      <c r="D10" s="46"/>
      <c r="E10" s="75"/>
      <c r="F10" s="504"/>
      <c r="G10" s="161"/>
      <c r="H10" s="168"/>
      <c r="I10" s="209"/>
      <c r="J10" s="209"/>
      <c r="L10" s="188"/>
    </row>
    <row r="11" spans="1:66" ht="51" x14ac:dyDescent="0.2">
      <c r="A11" s="495"/>
      <c r="B11" s="505" t="s">
        <v>1437</v>
      </c>
      <c r="C11" s="506"/>
      <c r="D11" s="506"/>
      <c r="E11" s="507"/>
      <c r="F11" s="470"/>
      <c r="G11" s="161"/>
      <c r="H11" s="168"/>
      <c r="I11" s="209"/>
      <c r="J11" s="209"/>
      <c r="L11" s="188"/>
    </row>
    <row r="12" spans="1:66" ht="25.5" x14ac:dyDescent="0.2">
      <c r="A12" s="45" t="s">
        <v>346</v>
      </c>
      <c r="B12" s="45" t="s">
        <v>1129</v>
      </c>
      <c r="C12" s="45" t="s">
        <v>68</v>
      </c>
      <c r="D12" s="46" t="s">
        <v>1110</v>
      </c>
      <c r="E12" s="46" t="s">
        <v>1167</v>
      </c>
      <c r="F12" s="356" t="str">
        <f t="shared" ref="F12:F74" si="0">IF(ISNUMBER(SEARCH("incl",$D12)),"-",IF(ISNUMBER(SEARCH("not r",$D12)),"-",IF(ISNUMBER(SEARCH("refer",$D12)),"-",IF(C12="sum","",$D12*$E12))))</f>
        <v>-</v>
      </c>
      <c r="G12" s="158"/>
      <c r="H12" s="169"/>
      <c r="I12" s="210"/>
      <c r="J12" s="210"/>
      <c r="M12" s="93"/>
      <c r="N12" s="93"/>
      <c r="O12" s="93"/>
      <c r="P12" s="93"/>
      <c r="Q12" s="93"/>
      <c r="R12" s="93"/>
      <c r="S12" s="93"/>
      <c r="T12" s="93"/>
      <c r="U12" s="93"/>
      <c r="V12" s="93"/>
      <c r="W12" s="93"/>
      <c r="X12" s="93"/>
      <c r="Y12" s="93"/>
    </row>
    <row r="13" spans="1:66" ht="25.5" x14ac:dyDescent="0.2">
      <c r="A13" s="45" t="s">
        <v>347</v>
      </c>
      <c r="B13" s="45" t="s">
        <v>1130</v>
      </c>
      <c r="C13" s="235" t="s">
        <v>1115</v>
      </c>
      <c r="D13" s="46" t="s">
        <v>1110</v>
      </c>
      <c r="E13" s="46" t="s">
        <v>1167</v>
      </c>
      <c r="F13" s="356" t="str">
        <f t="shared" si="0"/>
        <v>-</v>
      </c>
      <c r="G13" s="158"/>
      <c r="H13" s="169"/>
      <c r="J13" s="210"/>
      <c r="K13" s="92" t="s">
        <v>1230</v>
      </c>
      <c r="L13" s="92"/>
    </row>
    <row r="14" spans="1:66" ht="26.25" thickBot="1" x14ac:dyDescent="0.25">
      <c r="A14" s="45"/>
      <c r="B14" s="172" t="s">
        <v>348</v>
      </c>
      <c r="C14" s="45"/>
      <c r="D14" s="46"/>
      <c r="E14" s="75"/>
      <c r="F14" s="470"/>
      <c r="G14" s="158"/>
      <c r="H14" s="169"/>
      <c r="J14" s="210"/>
      <c r="Y14">
        <f>IF(Y$3&gt;0,IF(Y$4&gt;0,IF(Y5=0,0,IF(Y$6=0,0,1)),0))</f>
        <v>0</v>
      </c>
      <c r="BG14" s="77"/>
      <c r="BK14" s="180" t="s">
        <v>1153</v>
      </c>
      <c r="BL14" s="180" t="s">
        <v>1160</v>
      </c>
      <c r="BM14" s="181" t="s">
        <v>1161</v>
      </c>
      <c r="BN14" s="182"/>
    </row>
    <row r="15" spans="1:66" ht="39" thickBot="1" x14ac:dyDescent="0.25">
      <c r="A15" s="235" t="s">
        <v>349</v>
      </c>
      <c r="B15" s="235" t="s">
        <v>1263</v>
      </c>
      <c r="C15" s="235" t="s">
        <v>68</v>
      </c>
      <c r="D15" s="236">
        <f>H15</f>
        <v>-1</v>
      </c>
      <c r="E15" s="75"/>
      <c r="F15" s="356">
        <f t="shared" si="0"/>
        <v>0</v>
      </c>
      <c r="G15" s="158"/>
      <c r="H15" s="178">
        <f>SUM(K15:BF15)-I26</f>
        <v>-1</v>
      </c>
      <c r="J15" s="210"/>
      <c r="K15" s="176">
        <f>IF(K$4&gt;0,1,0)</f>
        <v>1</v>
      </c>
      <c r="L15" s="176">
        <f t="shared" ref="L15:BF15" si="1">IF(L$4&gt;0,1,0)</f>
        <v>1</v>
      </c>
      <c r="M15" s="176">
        <f t="shared" si="1"/>
        <v>0</v>
      </c>
      <c r="N15" s="176">
        <f t="shared" si="1"/>
        <v>0</v>
      </c>
      <c r="O15" s="176">
        <f t="shared" si="1"/>
        <v>0</v>
      </c>
      <c r="P15" s="176">
        <f t="shared" si="1"/>
        <v>0</v>
      </c>
      <c r="Q15" s="176">
        <f t="shared" si="1"/>
        <v>0</v>
      </c>
      <c r="R15" s="176">
        <f t="shared" si="1"/>
        <v>0</v>
      </c>
      <c r="S15" s="176">
        <f t="shared" si="1"/>
        <v>0</v>
      </c>
      <c r="T15" s="176">
        <f t="shared" si="1"/>
        <v>0</v>
      </c>
      <c r="U15" s="176">
        <f t="shared" si="1"/>
        <v>0</v>
      </c>
      <c r="V15" s="176">
        <f t="shared" si="1"/>
        <v>0</v>
      </c>
      <c r="W15" s="176">
        <f t="shared" si="1"/>
        <v>0</v>
      </c>
      <c r="X15" s="176">
        <f t="shared" si="1"/>
        <v>0</v>
      </c>
      <c r="Y15" s="176">
        <f t="shared" si="1"/>
        <v>0</v>
      </c>
      <c r="Z15" s="176">
        <f t="shared" si="1"/>
        <v>0</v>
      </c>
      <c r="AA15" s="176">
        <f t="shared" si="1"/>
        <v>0</v>
      </c>
      <c r="AB15" s="176">
        <f t="shared" si="1"/>
        <v>0</v>
      </c>
      <c r="AC15" s="176">
        <f t="shared" si="1"/>
        <v>0</v>
      </c>
      <c r="AD15" s="176">
        <f t="shared" si="1"/>
        <v>0</v>
      </c>
      <c r="AE15" s="176">
        <f t="shared" si="1"/>
        <v>0</v>
      </c>
      <c r="AF15" s="176">
        <f t="shared" si="1"/>
        <v>0</v>
      </c>
      <c r="AG15" s="176">
        <f t="shared" si="1"/>
        <v>0</v>
      </c>
      <c r="AH15" s="176">
        <f t="shared" si="1"/>
        <v>0</v>
      </c>
      <c r="AI15" s="176">
        <f t="shared" si="1"/>
        <v>0</v>
      </c>
      <c r="AJ15" s="176">
        <f t="shared" si="1"/>
        <v>0</v>
      </c>
      <c r="AK15" s="176">
        <f t="shared" si="1"/>
        <v>0</v>
      </c>
      <c r="AL15" s="176">
        <f t="shared" si="1"/>
        <v>0</v>
      </c>
      <c r="AM15" s="176">
        <f t="shared" si="1"/>
        <v>0</v>
      </c>
      <c r="AN15" s="176">
        <f t="shared" si="1"/>
        <v>0</v>
      </c>
      <c r="AO15" s="176">
        <f t="shared" si="1"/>
        <v>0</v>
      </c>
      <c r="AP15" s="176">
        <f t="shared" si="1"/>
        <v>0</v>
      </c>
      <c r="AQ15" s="176">
        <f t="shared" si="1"/>
        <v>0</v>
      </c>
      <c r="AR15" s="176">
        <f t="shared" si="1"/>
        <v>0</v>
      </c>
      <c r="AS15" s="176">
        <f t="shared" si="1"/>
        <v>0</v>
      </c>
      <c r="AT15" s="176">
        <f t="shared" si="1"/>
        <v>0</v>
      </c>
      <c r="AU15" s="176">
        <f t="shared" si="1"/>
        <v>0</v>
      </c>
      <c r="AV15" s="176">
        <f t="shared" si="1"/>
        <v>0</v>
      </c>
      <c r="AW15" s="176">
        <f t="shared" si="1"/>
        <v>0</v>
      </c>
      <c r="AX15" s="176">
        <f t="shared" si="1"/>
        <v>0</v>
      </c>
      <c r="AY15" s="176">
        <f t="shared" si="1"/>
        <v>0</v>
      </c>
      <c r="AZ15" s="176">
        <f t="shared" si="1"/>
        <v>0</v>
      </c>
      <c r="BA15" s="176">
        <f t="shared" si="1"/>
        <v>0</v>
      </c>
      <c r="BB15" s="176">
        <f t="shared" si="1"/>
        <v>0</v>
      </c>
      <c r="BC15" s="176">
        <f t="shared" si="1"/>
        <v>0</v>
      </c>
      <c r="BD15" s="176">
        <f t="shared" si="1"/>
        <v>0</v>
      </c>
      <c r="BE15" s="176">
        <f t="shared" si="1"/>
        <v>0</v>
      </c>
      <c r="BF15" s="176">
        <f t="shared" si="1"/>
        <v>0</v>
      </c>
      <c r="BG15" s="77" t="s">
        <v>1229</v>
      </c>
      <c r="BK15" s="183">
        <v>0</v>
      </c>
      <c r="BL15" s="180">
        <v>0</v>
      </c>
      <c r="BM15" s="184">
        <v>0</v>
      </c>
      <c r="BN15" s="185">
        <f>BK15+BL15-BM15</f>
        <v>0</v>
      </c>
    </row>
    <row r="16" spans="1:66" ht="51" x14ac:dyDescent="0.2">
      <c r="A16" s="235" t="s">
        <v>1262</v>
      </c>
      <c r="B16" s="235" t="s">
        <v>1285</v>
      </c>
      <c r="C16" s="45" t="s">
        <v>68</v>
      </c>
      <c r="D16" s="46" t="s">
        <v>1110</v>
      </c>
      <c r="E16" s="46" t="s">
        <v>1167</v>
      </c>
      <c r="F16" s="356" t="str">
        <f t="shared" si="0"/>
        <v>-</v>
      </c>
      <c r="G16" s="158"/>
      <c r="H16" s="178">
        <f t="shared" ref="H16:H21" si="2">SUM(K16:AU16)</f>
        <v>0</v>
      </c>
      <c r="I16" s="210"/>
      <c r="J16" s="210"/>
      <c r="K16" s="176">
        <f>IF(K$6&gt;0,1,0)</f>
        <v>0</v>
      </c>
      <c r="L16" s="176">
        <f t="shared" ref="L16:BF16" si="3">IF(L$6&gt;0,1,0)</f>
        <v>0</v>
      </c>
      <c r="M16" s="176">
        <f t="shared" si="3"/>
        <v>0</v>
      </c>
      <c r="N16" s="176">
        <f t="shared" si="3"/>
        <v>0</v>
      </c>
      <c r="O16" s="176">
        <f t="shared" si="3"/>
        <v>0</v>
      </c>
      <c r="P16" s="176">
        <f t="shared" si="3"/>
        <v>0</v>
      </c>
      <c r="Q16" s="176">
        <f t="shared" si="3"/>
        <v>0</v>
      </c>
      <c r="R16" s="176">
        <f t="shared" si="3"/>
        <v>0</v>
      </c>
      <c r="S16" s="176">
        <f t="shared" si="3"/>
        <v>0</v>
      </c>
      <c r="T16" s="176">
        <f t="shared" si="3"/>
        <v>0</v>
      </c>
      <c r="U16" s="176">
        <f t="shared" si="3"/>
        <v>0</v>
      </c>
      <c r="V16" s="176">
        <f t="shared" si="3"/>
        <v>0</v>
      </c>
      <c r="W16" s="176">
        <f t="shared" si="3"/>
        <v>0</v>
      </c>
      <c r="X16" s="176">
        <f t="shared" si="3"/>
        <v>0</v>
      </c>
      <c r="Y16" s="176">
        <f t="shared" si="3"/>
        <v>0</v>
      </c>
      <c r="Z16" s="176">
        <f t="shared" si="3"/>
        <v>0</v>
      </c>
      <c r="AA16" s="176">
        <f t="shared" si="3"/>
        <v>0</v>
      </c>
      <c r="AB16" s="176">
        <f t="shared" si="3"/>
        <v>0</v>
      </c>
      <c r="AC16" s="176">
        <f t="shared" si="3"/>
        <v>0</v>
      </c>
      <c r="AD16" s="176">
        <f t="shared" si="3"/>
        <v>0</v>
      </c>
      <c r="AE16" s="176">
        <f t="shared" si="3"/>
        <v>0</v>
      </c>
      <c r="AF16" s="176">
        <f t="shared" si="3"/>
        <v>0</v>
      </c>
      <c r="AG16" s="176">
        <f t="shared" si="3"/>
        <v>0</v>
      </c>
      <c r="AH16" s="176">
        <f t="shared" si="3"/>
        <v>0</v>
      </c>
      <c r="AI16" s="176">
        <f t="shared" si="3"/>
        <v>0</v>
      </c>
      <c r="AJ16" s="176">
        <f t="shared" si="3"/>
        <v>0</v>
      </c>
      <c r="AK16" s="176">
        <f t="shared" si="3"/>
        <v>0</v>
      </c>
      <c r="AL16" s="176">
        <f t="shared" si="3"/>
        <v>0</v>
      </c>
      <c r="AM16" s="176">
        <f t="shared" si="3"/>
        <v>0</v>
      </c>
      <c r="AN16" s="176">
        <f t="shared" si="3"/>
        <v>0</v>
      </c>
      <c r="AO16" s="176">
        <f t="shared" si="3"/>
        <v>0</v>
      </c>
      <c r="AP16" s="176">
        <f t="shared" si="3"/>
        <v>0</v>
      </c>
      <c r="AQ16" s="176">
        <f t="shared" si="3"/>
        <v>0</v>
      </c>
      <c r="AR16" s="176">
        <f t="shared" si="3"/>
        <v>0</v>
      </c>
      <c r="AS16" s="176">
        <f t="shared" si="3"/>
        <v>0</v>
      </c>
      <c r="AT16" s="176">
        <f t="shared" si="3"/>
        <v>0</v>
      </c>
      <c r="AU16" s="176">
        <f t="shared" si="3"/>
        <v>0</v>
      </c>
      <c r="AV16" s="176">
        <f t="shared" si="3"/>
        <v>0</v>
      </c>
      <c r="AW16" s="176">
        <f t="shared" si="3"/>
        <v>0</v>
      </c>
      <c r="AX16" s="176">
        <f t="shared" si="3"/>
        <v>0</v>
      </c>
      <c r="AY16" s="176">
        <f t="shared" si="3"/>
        <v>0</v>
      </c>
      <c r="AZ16" s="176">
        <f t="shared" si="3"/>
        <v>0</v>
      </c>
      <c r="BA16" s="176">
        <f t="shared" si="3"/>
        <v>0</v>
      </c>
      <c r="BB16" s="176">
        <f t="shared" si="3"/>
        <v>0</v>
      </c>
      <c r="BC16" s="176">
        <f t="shared" si="3"/>
        <v>0</v>
      </c>
      <c r="BD16" s="176">
        <f t="shared" si="3"/>
        <v>0</v>
      </c>
      <c r="BE16" s="176">
        <f t="shared" si="3"/>
        <v>0</v>
      </c>
      <c r="BF16" s="176">
        <f t="shared" si="3"/>
        <v>0</v>
      </c>
    </row>
    <row r="17" spans="1:67" ht="25.5" x14ac:dyDescent="0.2">
      <c r="A17" s="45" t="s">
        <v>350</v>
      </c>
      <c r="B17" s="45" t="s">
        <v>351</v>
      </c>
      <c r="C17" s="45" t="s">
        <v>68</v>
      </c>
      <c r="D17" s="46" t="s">
        <v>1110</v>
      </c>
      <c r="E17" s="46" t="s">
        <v>1167</v>
      </c>
      <c r="F17" s="356" t="str">
        <f t="shared" si="0"/>
        <v>-</v>
      </c>
      <c r="G17" s="158"/>
      <c r="H17" s="178">
        <f t="shared" si="2"/>
        <v>0</v>
      </c>
      <c r="I17" s="210"/>
      <c r="J17" s="210"/>
      <c r="K17" s="176">
        <f>IF(K$5&gt;0,1,0)</f>
        <v>0</v>
      </c>
      <c r="L17" s="176">
        <f t="shared" ref="L17:BF17" si="4">IF(L$5&gt;0,1,0)</f>
        <v>0</v>
      </c>
      <c r="M17" s="176">
        <f t="shared" si="4"/>
        <v>0</v>
      </c>
      <c r="N17" s="176">
        <f t="shared" si="4"/>
        <v>0</v>
      </c>
      <c r="O17" s="176">
        <f t="shared" si="4"/>
        <v>0</v>
      </c>
      <c r="P17" s="176">
        <f t="shared" si="4"/>
        <v>0</v>
      </c>
      <c r="Q17" s="176">
        <f t="shared" si="4"/>
        <v>0</v>
      </c>
      <c r="R17" s="176">
        <f t="shared" si="4"/>
        <v>0</v>
      </c>
      <c r="S17" s="176">
        <f t="shared" si="4"/>
        <v>0</v>
      </c>
      <c r="T17" s="176">
        <f t="shared" si="4"/>
        <v>0</v>
      </c>
      <c r="U17" s="176">
        <f t="shared" si="4"/>
        <v>0</v>
      </c>
      <c r="V17" s="176">
        <f t="shared" si="4"/>
        <v>0</v>
      </c>
      <c r="W17" s="176">
        <f t="shared" si="4"/>
        <v>0</v>
      </c>
      <c r="X17" s="176">
        <f t="shared" si="4"/>
        <v>0</v>
      </c>
      <c r="Y17" s="176">
        <f t="shared" si="4"/>
        <v>0</v>
      </c>
      <c r="Z17" s="176">
        <f t="shared" si="4"/>
        <v>0</v>
      </c>
      <c r="AA17" s="176">
        <f t="shared" si="4"/>
        <v>0</v>
      </c>
      <c r="AB17" s="176">
        <f t="shared" si="4"/>
        <v>0</v>
      </c>
      <c r="AC17" s="176">
        <f t="shared" si="4"/>
        <v>0</v>
      </c>
      <c r="AD17" s="176">
        <f t="shared" si="4"/>
        <v>0</v>
      </c>
      <c r="AE17" s="176">
        <f t="shared" si="4"/>
        <v>0</v>
      </c>
      <c r="AF17" s="176">
        <f t="shared" si="4"/>
        <v>0</v>
      </c>
      <c r="AG17" s="176">
        <f t="shared" si="4"/>
        <v>0</v>
      </c>
      <c r="AH17" s="176">
        <f t="shared" si="4"/>
        <v>0</v>
      </c>
      <c r="AI17" s="176">
        <f t="shared" si="4"/>
        <v>0</v>
      </c>
      <c r="AJ17" s="176">
        <f t="shared" si="4"/>
        <v>0</v>
      </c>
      <c r="AK17" s="176">
        <f t="shared" si="4"/>
        <v>0</v>
      </c>
      <c r="AL17" s="176">
        <f t="shared" si="4"/>
        <v>0</v>
      </c>
      <c r="AM17" s="176">
        <f t="shared" si="4"/>
        <v>0</v>
      </c>
      <c r="AN17" s="176">
        <f t="shared" si="4"/>
        <v>0</v>
      </c>
      <c r="AO17" s="176">
        <f t="shared" si="4"/>
        <v>0</v>
      </c>
      <c r="AP17" s="176">
        <f t="shared" si="4"/>
        <v>0</v>
      </c>
      <c r="AQ17" s="176">
        <f t="shared" si="4"/>
        <v>0</v>
      </c>
      <c r="AR17" s="176">
        <f t="shared" si="4"/>
        <v>0</v>
      </c>
      <c r="AS17" s="176">
        <f t="shared" si="4"/>
        <v>0</v>
      </c>
      <c r="AT17" s="176">
        <f t="shared" si="4"/>
        <v>0</v>
      </c>
      <c r="AU17" s="176">
        <f t="shared" si="4"/>
        <v>0</v>
      </c>
      <c r="AV17" s="176">
        <f t="shared" si="4"/>
        <v>0</v>
      </c>
      <c r="AW17" s="176">
        <f t="shared" si="4"/>
        <v>0</v>
      </c>
      <c r="AX17" s="176">
        <f t="shared" si="4"/>
        <v>0</v>
      </c>
      <c r="AY17" s="176">
        <f t="shared" si="4"/>
        <v>0</v>
      </c>
      <c r="AZ17" s="176">
        <f t="shared" si="4"/>
        <v>0</v>
      </c>
      <c r="BA17" s="176">
        <f t="shared" si="4"/>
        <v>0</v>
      </c>
      <c r="BB17" s="176">
        <f t="shared" si="4"/>
        <v>0</v>
      </c>
      <c r="BC17" s="176">
        <f t="shared" si="4"/>
        <v>0</v>
      </c>
      <c r="BD17" s="176">
        <f t="shared" si="4"/>
        <v>0</v>
      </c>
      <c r="BE17" s="176">
        <f t="shared" si="4"/>
        <v>0</v>
      </c>
      <c r="BF17" s="176">
        <f t="shared" si="4"/>
        <v>0</v>
      </c>
    </row>
    <row r="18" spans="1:67" ht="25.5" x14ac:dyDescent="0.2">
      <c r="A18" s="45" t="s">
        <v>352</v>
      </c>
      <c r="B18" s="45" t="s">
        <v>353</v>
      </c>
      <c r="C18" s="45" t="s">
        <v>68</v>
      </c>
      <c r="D18" s="46" t="s">
        <v>1110</v>
      </c>
      <c r="E18" s="46" t="s">
        <v>1167</v>
      </c>
      <c r="F18" s="356" t="str">
        <f t="shared" si="0"/>
        <v>-</v>
      </c>
      <c r="G18" s="158"/>
      <c r="H18" s="178">
        <f t="shared" si="2"/>
        <v>0</v>
      </c>
      <c r="I18" s="210"/>
      <c r="J18" s="210"/>
    </row>
    <row r="19" spans="1:67" ht="38.25" customHeight="1" x14ac:dyDescent="0.2">
      <c r="A19" s="45" t="s">
        <v>354</v>
      </c>
      <c r="B19" s="45" t="s">
        <v>1131</v>
      </c>
      <c r="C19" s="45" t="s">
        <v>376</v>
      </c>
      <c r="D19" s="46">
        <f>H19</f>
        <v>6</v>
      </c>
      <c r="E19" s="75"/>
      <c r="F19" s="356">
        <f t="shared" si="0"/>
        <v>0</v>
      </c>
      <c r="G19" s="158"/>
      <c r="H19" s="178">
        <f>SUM(K19:BF19)</f>
        <v>6</v>
      </c>
      <c r="I19" s="210"/>
      <c r="J19" s="210"/>
      <c r="K19" s="176">
        <f>IF(K$4&gt;3,3,K$4)</f>
        <v>3</v>
      </c>
      <c r="L19" s="176">
        <f t="shared" ref="L19:BF19" si="5">IF(L$4&gt;3,3,L$4)</f>
        <v>3</v>
      </c>
      <c r="M19" s="176">
        <f t="shared" si="5"/>
        <v>0</v>
      </c>
      <c r="N19" s="176">
        <f t="shared" si="5"/>
        <v>0</v>
      </c>
      <c r="O19" s="176">
        <f t="shared" si="5"/>
        <v>0</v>
      </c>
      <c r="P19" s="176">
        <f t="shared" si="5"/>
        <v>0</v>
      </c>
      <c r="Q19" s="176">
        <f t="shared" si="5"/>
        <v>0</v>
      </c>
      <c r="R19" s="176">
        <f t="shared" si="5"/>
        <v>0</v>
      </c>
      <c r="S19" s="176">
        <f t="shared" si="5"/>
        <v>0</v>
      </c>
      <c r="T19" s="176">
        <f t="shared" si="5"/>
        <v>0</v>
      </c>
      <c r="U19" s="176">
        <f t="shared" si="5"/>
        <v>0</v>
      </c>
      <c r="V19" s="176">
        <f t="shared" si="5"/>
        <v>0</v>
      </c>
      <c r="W19" s="176">
        <f t="shared" si="5"/>
        <v>0</v>
      </c>
      <c r="X19" s="176">
        <f t="shared" si="5"/>
        <v>0</v>
      </c>
      <c r="Y19" s="176">
        <f t="shared" si="5"/>
        <v>0</v>
      </c>
      <c r="Z19" s="176">
        <f t="shared" si="5"/>
        <v>0</v>
      </c>
      <c r="AA19" s="176">
        <f t="shared" si="5"/>
        <v>0</v>
      </c>
      <c r="AB19" s="176">
        <f t="shared" si="5"/>
        <v>0</v>
      </c>
      <c r="AC19" s="176">
        <f t="shared" si="5"/>
        <v>0</v>
      </c>
      <c r="AD19" s="176">
        <f t="shared" si="5"/>
        <v>0</v>
      </c>
      <c r="AE19" s="176">
        <f t="shared" si="5"/>
        <v>0</v>
      </c>
      <c r="AF19" s="176">
        <f t="shared" si="5"/>
        <v>0</v>
      </c>
      <c r="AG19" s="176">
        <f t="shared" si="5"/>
        <v>0</v>
      </c>
      <c r="AH19" s="176">
        <f t="shared" si="5"/>
        <v>0</v>
      </c>
      <c r="AI19" s="176">
        <f t="shared" si="5"/>
        <v>0</v>
      </c>
      <c r="AJ19" s="176">
        <f t="shared" si="5"/>
        <v>0</v>
      </c>
      <c r="AK19" s="176">
        <f t="shared" si="5"/>
        <v>0</v>
      </c>
      <c r="AL19" s="176">
        <f t="shared" si="5"/>
        <v>0</v>
      </c>
      <c r="AM19" s="176">
        <f t="shared" si="5"/>
        <v>0</v>
      </c>
      <c r="AN19" s="176">
        <f t="shared" si="5"/>
        <v>0</v>
      </c>
      <c r="AO19" s="176">
        <f t="shared" si="5"/>
        <v>0</v>
      </c>
      <c r="AP19" s="176">
        <f t="shared" si="5"/>
        <v>0</v>
      </c>
      <c r="AQ19" s="176">
        <f t="shared" si="5"/>
        <v>0</v>
      </c>
      <c r="AR19" s="176">
        <f t="shared" si="5"/>
        <v>0</v>
      </c>
      <c r="AS19" s="176">
        <f t="shared" si="5"/>
        <v>0</v>
      </c>
      <c r="AT19" s="176">
        <f t="shared" si="5"/>
        <v>0</v>
      </c>
      <c r="AU19" s="176">
        <f t="shared" si="5"/>
        <v>0</v>
      </c>
      <c r="AV19" s="176">
        <f t="shared" si="5"/>
        <v>0</v>
      </c>
      <c r="AW19" s="176">
        <f t="shared" si="5"/>
        <v>0</v>
      </c>
      <c r="AX19" s="176">
        <f t="shared" si="5"/>
        <v>0</v>
      </c>
      <c r="AY19" s="176">
        <f t="shared" si="5"/>
        <v>0</v>
      </c>
      <c r="AZ19" s="176">
        <f t="shared" si="5"/>
        <v>0</v>
      </c>
      <c r="BA19" s="176">
        <f t="shared" si="5"/>
        <v>0</v>
      </c>
      <c r="BB19" s="176">
        <f t="shared" si="5"/>
        <v>0</v>
      </c>
      <c r="BC19" s="176">
        <f t="shared" si="5"/>
        <v>0</v>
      </c>
      <c r="BD19" s="176">
        <f t="shared" si="5"/>
        <v>0</v>
      </c>
      <c r="BE19" s="176">
        <f t="shared" si="5"/>
        <v>0</v>
      </c>
      <c r="BF19" s="176">
        <f t="shared" si="5"/>
        <v>0</v>
      </c>
    </row>
    <row r="20" spans="1:67" ht="15" x14ac:dyDescent="0.2">
      <c r="A20" s="45" t="s">
        <v>355</v>
      </c>
      <c r="B20" s="45" t="s">
        <v>1335</v>
      </c>
      <c r="C20" s="45" t="s">
        <v>147</v>
      </c>
      <c r="D20" s="46">
        <f>H20</f>
        <v>3</v>
      </c>
      <c r="E20" s="75"/>
      <c r="F20" s="356">
        <f t="shared" si="0"/>
        <v>0</v>
      </c>
      <c r="G20" s="158"/>
      <c r="H20" s="178">
        <f>SUM(K20:BF20)</f>
        <v>3</v>
      </c>
      <c r="I20" s="210"/>
      <c r="J20" s="210"/>
      <c r="K20" s="176">
        <f>IF(K$4&gt;3,IF(K$4&gt;4.5,1.5,K$4-3),0)</f>
        <v>1.5</v>
      </c>
      <c r="L20" s="176">
        <f t="shared" ref="L20:BF20" si="6">IF(L$4&gt;3,IF(L$4&gt;4.5,1.5,L$4-3),0)</f>
        <v>1.5</v>
      </c>
      <c r="M20" s="176">
        <f t="shared" si="6"/>
        <v>0</v>
      </c>
      <c r="N20" s="176">
        <f t="shared" si="6"/>
        <v>0</v>
      </c>
      <c r="O20" s="176">
        <f t="shared" si="6"/>
        <v>0</v>
      </c>
      <c r="P20" s="176">
        <f t="shared" si="6"/>
        <v>0</v>
      </c>
      <c r="Q20" s="176">
        <f t="shared" si="6"/>
        <v>0</v>
      </c>
      <c r="R20" s="176">
        <f t="shared" si="6"/>
        <v>0</v>
      </c>
      <c r="S20" s="176">
        <f t="shared" si="6"/>
        <v>0</v>
      </c>
      <c r="T20" s="176">
        <f t="shared" si="6"/>
        <v>0</v>
      </c>
      <c r="U20" s="176">
        <f t="shared" si="6"/>
        <v>0</v>
      </c>
      <c r="V20" s="176">
        <f t="shared" si="6"/>
        <v>0</v>
      </c>
      <c r="W20" s="176">
        <f t="shared" si="6"/>
        <v>0</v>
      </c>
      <c r="X20" s="176">
        <f t="shared" si="6"/>
        <v>0</v>
      </c>
      <c r="Y20" s="176">
        <f t="shared" si="6"/>
        <v>0</v>
      </c>
      <c r="Z20" s="176">
        <f t="shared" si="6"/>
        <v>0</v>
      </c>
      <c r="AA20" s="176">
        <f t="shared" si="6"/>
        <v>0</v>
      </c>
      <c r="AB20" s="176">
        <f t="shared" si="6"/>
        <v>0</v>
      </c>
      <c r="AC20" s="176">
        <f t="shared" si="6"/>
        <v>0</v>
      </c>
      <c r="AD20" s="176">
        <f t="shared" si="6"/>
        <v>0</v>
      </c>
      <c r="AE20" s="176">
        <f t="shared" si="6"/>
        <v>0</v>
      </c>
      <c r="AF20" s="176">
        <f t="shared" si="6"/>
        <v>0</v>
      </c>
      <c r="AG20" s="176">
        <f t="shared" si="6"/>
        <v>0</v>
      </c>
      <c r="AH20" s="176">
        <f t="shared" si="6"/>
        <v>0</v>
      </c>
      <c r="AI20" s="176">
        <f t="shared" si="6"/>
        <v>0</v>
      </c>
      <c r="AJ20" s="176">
        <f t="shared" si="6"/>
        <v>0</v>
      </c>
      <c r="AK20" s="176">
        <f t="shared" si="6"/>
        <v>0</v>
      </c>
      <c r="AL20" s="176">
        <f t="shared" si="6"/>
        <v>0</v>
      </c>
      <c r="AM20" s="176">
        <f t="shared" si="6"/>
        <v>0</v>
      </c>
      <c r="AN20" s="176">
        <f t="shared" si="6"/>
        <v>0</v>
      </c>
      <c r="AO20" s="176">
        <f t="shared" si="6"/>
        <v>0</v>
      </c>
      <c r="AP20" s="176">
        <f t="shared" si="6"/>
        <v>0</v>
      </c>
      <c r="AQ20" s="176">
        <f t="shared" si="6"/>
        <v>0</v>
      </c>
      <c r="AR20" s="176">
        <f t="shared" si="6"/>
        <v>0</v>
      </c>
      <c r="AS20" s="176">
        <f t="shared" si="6"/>
        <v>0</v>
      </c>
      <c r="AT20" s="176">
        <f t="shared" si="6"/>
        <v>0</v>
      </c>
      <c r="AU20" s="176">
        <f t="shared" si="6"/>
        <v>0</v>
      </c>
      <c r="AV20" s="176">
        <f t="shared" si="6"/>
        <v>0</v>
      </c>
      <c r="AW20" s="176">
        <f t="shared" si="6"/>
        <v>0</v>
      </c>
      <c r="AX20" s="176">
        <f t="shared" si="6"/>
        <v>0</v>
      </c>
      <c r="AY20" s="176">
        <f t="shared" si="6"/>
        <v>0</v>
      </c>
      <c r="AZ20" s="176">
        <f t="shared" si="6"/>
        <v>0</v>
      </c>
      <c r="BA20" s="176">
        <f t="shared" si="6"/>
        <v>0</v>
      </c>
      <c r="BB20" s="176">
        <f t="shared" si="6"/>
        <v>0</v>
      </c>
      <c r="BC20" s="176">
        <f t="shared" si="6"/>
        <v>0</v>
      </c>
      <c r="BD20" s="176">
        <f t="shared" si="6"/>
        <v>0</v>
      </c>
      <c r="BE20" s="176">
        <f t="shared" si="6"/>
        <v>0</v>
      </c>
      <c r="BF20" s="176">
        <f t="shared" si="6"/>
        <v>0</v>
      </c>
    </row>
    <row r="21" spans="1:67" ht="25.5" customHeight="1" x14ac:dyDescent="0.2">
      <c r="A21" s="45" t="s">
        <v>356</v>
      </c>
      <c r="B21" s="45" t="s">
        <v>357</v>
      </c>
      <c r="C21" s="45" t="s">
        <v>147</v>
      </c>
      <c r="D21" s="46" t="s">
        <v>1110</v>
      </c>
      <c r="E21" s="46" t="s">
        <v>1167</v>
      </c>
      <c r="F21" s="356" t="str">
        <f t="shared" si="0"/>
        <v>-</v>
      </c>
      <c r="G21" s="158"/>
      <c r="H21" s="178">
        <f t="shared" si="2"/>
        <v>0</v>
      </c>
      <c r="I21" s="210"/>
      <c r="J21" s="210"/>
      <c r="K21" s="176">
        <f>IF(K$4&gt;4.5,K$4-4.5,0)</f>
        <v>0</v>
      </c>
      <c r="L21" s="176">
        <f t="shared" ref="L21:BF21" si="7">IF(L$4&gt;4.5,L$4-4.5,0)</f>
        <v>0</v>
      </c>
      <c r="M21" s="176">
        <f t="shared" si="7"/>
        <v>0</v>
      </c>
      <c r="N21" s="176">
        <f t="shared" si="7"/>
        <v>0</v>
      </c>
      <c r="O21" s="176">
        <f t="shared" si="7"/>
        <v>0</v>
      </c>
      <c r="P21" s="176">
        <f t="shared" si="7"/>
        <v>0</v>
      </c>
      <c r="Q21" s="176">
        <f t="shared" si="7"/>
        <v>0</v>
      </c>
      <c r="R21" s="176">
        <f t="shared" si="7"/>
        <v>0</v>
      </c>
      <c r="S21" s="176">
        <f t="shared" si="7"/>
        <v>0</v>
      </c>
      <c r="T21" s="176">
        <f t="shared" si="7"/>
        <v>0</v>
      </c>
      <c r="U21" s="176">
        <f t="shared" si="7"/>
        <v>0</v>
      </c>
      <c r="V21" s="176">
        <f t="shared" si="7"/>
        <v>0</v>
      </c>
      <c r="W21" s="176">
        <f t="shared" si="7"/>
        <v>0</v>
      </c>
      <c r="X21" s="176">
        <f t="shared" si="7"/>
        <v>0</v>
      </c>
      <c r="Y21" s="176">
        <f t="shared" si="7"/>
        <v>0</v>
      </c>
      <c r="Z21" s="176">
        <f t="shared" si="7"/>
        <v>0</v>
      </c>
      <c r="AA21" s="176">
        <f t="shared" si="7"/>
        <v>0</v>
      </c>
      <c r="AB21" s="176">
        <f t="shared" si="7"/>
        <v>0</v>
      </c>
      <c r="AC21" s="176">
        <f t="shared" si="7"/>
        <v>0</v>
      </c>
      <c r="AD21" s="176">
        <f t="shared" si="7"/>
        <v>0</v>
      </c>
      <c r="AE21" s="176">
        <f t="shared" si="7"/>
        <v>0</v>
      </c>
      <c r="AF21" s="176">
        <f t="shared" si="7"/>
        <v>0</v>
      </c>
      <c r="AG21" s="176">
        <f t="shared" si="7"/>
        <v>0</v>
      </c>
      <c r="AH21" s="176">
        <f t="shared" si="7"/>
        <v>0</v>
      </c>
      <c r="AI21" s="176">
        <f t="shared" si="7"/>
        <v>0</v>
      </c>
      <c r="AJ21" s="176">
        <f t="shared" si="7"/>
        <v>0</v>
      </c>
      <c r="AK21" s="176">
        <f t="shared" si="7"/>
        <v>0</v>
      </c>
      <c r="AL21" s="176">
        <f t="shared" si="7"/>
        <v>0</v>
      </c>
      <c r="AM21" s="176">
        <f t="shared" si="7"/>
        <v>0</v>
      </c>
      <c r="AN21" s="176">
        <f t="shared" si="7"/>
        <v>0</v>
      </c>
      <c r="AO21" s="176">
        <f t="shared" si="7"/>
        <v>0</v>
      </c>
      <c r="AP21" s="176">
        <f t="shared" si="7"/>
        <v>0</v>
      </c>
      <c r="AQ21" s="176">
        <f t="shared" si="7"/>
        <v>0</v>
      </c>
      <c r="AR21" s="176">
        <f t="shared" si="7"/>
        <v>0</v>
      </c>
      <c r="AS21" s="176">
        <f t="shared" si="7"/>
        <v>0</v>
      </c>
      <c r="AT21" s="176">
        <f t="shared" si="7"/>
        <v>0</v>
      </c>
      <c r="AU21" s="176">
        <f t="shared" si="7"/>
        <v>0</v>
      </c>
      <c r="AV21" s="176">
        <f t="shared" si="7"/>
        <v>0</v>
      </c>
      <c r="AW21" s="176">
        <f t="shared" si="7"/>
        <v>0</v>
      </c>
      <c r="AX21" s="176">
        <f t="shared" si="7"/>
        <v>0</v>
      </c>
      <c r="AY21" s="176">
        <f t="shared" si="7"/>
        <v>0</v>
      </c>
      <c r="AZ21" s="176">
        <f t="shared" si="7"/>
        <v>0</v>
      </c>
      <c r="BA21" s="176">
        <f t="shared" si="7"/>
        <v>0</v>
      </c>
      <c r="BB21" s="176">
        <f t="shared" si="7"/>
        <v>0</v>
      </c>
      <c r="BC21" s="176">
        <f t="shared" si="7"/>
        <v>0</v>
      </c>
      <c r="BD21" s="176">
        <f t="shared" si="7"/>
        <v>0</v>
      </c>
      <c r="BE21" s="176">
        <f t="shared" si="7"/>
        <v>0</v>
      </c>
      <c r="BF21" s="176">
        <f t="shared" si="7"/>
        <v>0</v>
      </c>
    </row>
    <row r="22" spans="1:67" ht="26.25" thickBot="1" x14ac:dyDescent="0.25">
      <c r="A22" s="45" t="s">
        <v>358</v>
      </c>
      <c r="B22" s="45" t="s">
        <v>359</v>
      </c>
      <c r="C22" s="45" t="s">
        <v>1115</v>
      </c>
      <c r="D22" s="46" t="s">
        <v>1110</v>
      </c>
      <c r="E22" s="46" t="s">
        <v>1167</v>
      </c>
      <c r="F22" s="356" t="str">
        <f t="shared" si="0"/>
        <v>-</v>
      </c>
      <c r="G22" s="158"/>
      <c r="H22" s="169"/>
      <c r="I22" s="210"/>
      <c r="J22" s="210"/>
      <c r="BG22" t="s">
        <v>1152</v>
      </c>
      <c r="BH22" s="77" t="s">
        <v>1134</v>
      </c>
      <c r="BO22" s="186" t="s">
        <v>1162</v>
      </c>
    </row>
    <row r="23" spans="1:67" ht="25.5" customHeight="1" thickBot="1" x14ac:dyDescent="0.25">
      <c r="A23" s="45" t="s">
        <v>360</v>
      </c>
      <c r="B23" s="45" t="s">
        <v>361</v>
      </c>
      <c r="C23" s="45" t="s">
        <v>1115</v>
      </c>
      <c r="D23" s="46" t="s">
        <v>1110</v>
      </c>
      <c r="E23" s="46" t="s">
        <v>1167</v>
      </c>
      <c r="F23" s="356" t="str">
        <f t="shared" si="0"/>
        <v>-</v>
      </c>
      <c r="G23" s="158"/>
      <c r="H23" s="169"/>
      <c r="I23" s="210"/>
      <c r="J23" s="210"/>
      <c r="BH23" s="77"/>
      <c r="BI23" s="180">
        <v>31</v>
      </c>
      <c r="BJ23" s="180">
        <v>1.5</v>
      </c>
      <c r="BK23" s="180">
        <v>5</v>
      </c>
      <c r="BL23" s="180">
        <v>0.45</v>
      </c>
      <c r="BM23" s="180"/>
      <c r="BN23" s="184">
        <f>BI23*BJ23*BK23*BL23</f>
        <v>104.625</v>
      </c>
      <c r="BO23" s="187">
        <v>110</v>
      </c>
    </row>
    <row r="24" spans="1:67" ht="14.25" x14ac:dyDescent="0.2">
      <c r="A24" s="45" t="s">
        <v>362</v>
      </c>
      <c r="B24" s="45" t="s">
        <v>363</v>
      </c>
      <c r="C24" s="45" t="s">
        <v>1115</v>
      </c>
      <c r="D24" s="46" t="s">
        <v>1110</v>
      </c>
      <c r="E24" s="46" t="s">
        <v>1167</v>
      </c>
      <c r="F24" s="356" t="str">
        <f t="shared" si="0"/>
        <v>-</v>
      </c>
      <c r="G24" s="158"/>
      <c r="H24" s="169"/>
      <c r="I24" s="210"/>
      <c r="J24" s="210"/>
      <c r="BH24" s="77"/>
      <c r="BI24" s="180" t="s">
        <v>1149</v>
      </c>
      <c r="BJ24" s="180" t="s">
        <v>344</v>
      </c>
      <c r="BK24" s="180" t="s">
        <v>1041</v>
      </c>
      <c r="BL24" s="180" t="s">
        <v>1150</v>
      </c>
      <c r="BM24" s="180"/>
      <c r="BN24" s="180" t="s">
        <v>1151</v>
      </c>
    </row>
    <row r="25" spans="1:67" ht="38.25" x14ac:dyDescent="0.2">
      <c r="A25" s="45"/>
      <c r="B25" s="172" t="s">
        <v>364</v>
      </c>
      <c r="C25" s="45"/>
      <c r="D25" s="46"/>
      <c r="E25" s="75"/>
      <c r="F25" s="508"/>
      <c r="G25" s="158"/>
      <c r="H25" s="169"/>
      <c r="I25" s="210" t="s">
        <v>1382</v>
      </c>
      <c r="J25" s="210"/>
      <c r="BH25" s="77"/>
    </row>
    <row r="26" spans="1:67" ht="63.75" x14ac:dyDescent="0.2">
      <c r="A26" s="235" t="s">
        <v>365</v>
      </c>
      <c r="B26" s="45" t="s">
        <v>366</v>
      </c>
      <c r="C26" s="45" t="s">
        <v>68</v>
      </c>
      <c r="D26" s="46">
        <f>H26</f>
        <v>3</v>
      </c>
      <c r="E26" s="46"/>
      <c r="F26" s="356">
        <f>IF(ISNUMBER(SEARCH("incl",$D26)),"-",IF(ISNUMBER(SEARCH("not r",$D26)),"-",IF(ISNUMBER(SEARCH("refer",$D26)),"-",IF(C26="sum","",$D26*$E26))))</f>
        <v>0</v>
      </c>
      <c r="G26" s="158"/>
      <c r="H26" s="169">
        <f>I26</f>
        <v>3</v>
      </c>
      <c r="I26" s="210">
        <f>SUM(K9:BF9)</f>
        <v>3</v>
      </c>
      <c r="J26" s="210"/>
      <c r="AY26" s="77"/>
    </row>
    <row r="27" spans="1:67" s="76" customFormat="1" ht="62.45" customHeight="1" x14ac:dyDescent="0.2">
      <c r="A27" s="45" t="s">
        <v>367</v>
      </c>
      <c r="B27" s="45" t="s">
        <v>368</v>
      </c>
      <c r="C27" s="45" t="s">
        <v>68</v>
      </c>
      <c r="D27" s="46">
        <f>H27</f>
        <v>11</v>
      </c>
      <c r="E27" s="46"/>
      <c r="F27" s="356">
        <f t="shared" si="0"/>
        <v>0</v>
      </c>
      <c r="G27" s="163"/>
      <c r="H27" s="357">
        <v>11</v>
      </c>
      <c r="I27" s="358"/>
      <c r="J27" s="358"/>
    </row>
    <row r="28" spans="1:67" s="76" customFormat="1" ht="25.5" x14ac:dyDescent="0.2">
      <c r="A28" s="45" t="s">
        <v>369</v>
      </c>
      <c r="B28" s="45" t="s">
        <v>370</v>
      </c>
      <c r="C28" s="45" t="s">
        <v>1118</v>
      </c>
      <c r="D28" s="364">
        <f>ROUNDUP(H28,0)</f>
        <v>84</v>
      </c>
      <c r="E28" s="46"/>
      <c r="F28" s="356">
        <f t="shared" si="0"/>
        <v>0</v>
      </c>
      <c r="G28" s="163"/>
      <c r="H28" s="359">
        <f>SUM(K28:BF28)+(M33*J33)</f>
        <v>84</v>
      </c>
      <c r="I28" s="358"/>
      <c r="J28" s="358"/>
      <c r="K28" s="360">
        <f t="shared" ref="K28:BF28" si="8">IF(K$9=1,2+1+2+1,0)</f>
        <v>0</v>
      </c>
      <c r="L28" s="360">
        <f t="shared" si="8"/>
        <v>0</v>
      </c>
      <c r="M28" s="360">
        <f t="shared" si="8"/>
        <v>0</v>
      </c>
      <c r="N28" s="360">
        <f t="shared" si="8"/>
        <v>0</v>
      </c>
      <c r="O28" s="360">
        <f t="shared" si="8"/>
        <v>0</v>
      </c>
      <c r="P28" s="360">
        <f t="shared" si="8"/>
        <v>0</v>
      </c>
      <c r="Q28" s="360">
        <f t="shared" si="8"/>
        <v>0</v>
      </c>
      <c r="R28" s="360">
        <f t="shared" si="8"/>
        <v>0</v>
      </c>
      <c r="S28" s="360">
        <f t="shared" si="8"/>
        <v>0</v>
      </c>
      <c r="T28" s="360">
        <f t="shared" si="8"/>
        <v>0</v>
      </c>
      <c r="U28" s="360">
        <f t="shared" si="8"/>
        <v>0</v>
      </c>
      <c r="V28" s="360">
        <f t="shared" si="8"/>
        <v>6</v>
      </c>
      <c r="W28" s="360">
        <f t="shared" si="8"/>
        <v>0</v>
      </c>
      <c r="X28" s="360">
        <f t="shared" si="8"/>
        <v>0</v>
      </c>
      <c r="Y28" s="360">
        <f t="shared" si="8"/>
        <v>0</v>
      </c>
      <c r="Z28" s="360">
        <f t="shared" si="8"/>
        <v>0</v>
      </c>
      <c r="AA28" s="360">
        <f t="shared" si="8"/>
        <v>0</v>
      </c>
      <c r="AB28" s="360">
        <f t="shared" si="8"/>
        <v>0</v>
      </c>
      <c r="AC28" s="360">
        <f t="shared" si="8"/>
        <v>0</v>
      </c>
      <c r="AD28" s="360">
        <f t="shared" si="8"/>
        <v>0</v>
      </c>
      <c r="AE28" s="360">
        <f t="shared" si="8"/>
        <v>0</v>
      </c>
      <c r="AF28" s="360">
        <f t="shared" si="8"/>
        <v>0</v>
      </c>
      <c r="AG28" s="360">
        <f t="shared" si="8"/>
        <v>0</v>
      </c>
      <c r="AH28" s="360">
        <f t="shared" si="8"/>
        <v>0</v>
      </c>
      <c r="AI28" s="360">
        <f t="shared" si="8"/>
        <v>0</v>
      </c>
      <c r="AJ28" s="360">
        <f t="shared" si="8"/>
        <v>0</v>
      </c>
      <c r="AK28" s="360">
        <f t="shared" si="8"/>
        <v>0</v>
      </c>
      <c r="AL28" s="360">
        <f t="shared" si="8"/>
        <v>0</v>
      </c>
      <c r="AM28" s="360">
        <f t="shared" si="8"/>
        <v>0</v>
      </c>
      <c r="AN28" s="360">
        <f t="shared" si="8"/>
        <v>0</v>
      </c>
      <c r="AO28" s="360">
        <f t="shared" si="8"/>
        <v>0</v>
      </c>
      <c r="AP28" s="360">
        <f t="shared" si="8"/>
        <v>0</v>
      </c>
      <c r="AQ28" s="360">
        <f t="shared" si="8"/>
        <v>0</v>
      </c>
      <c r="AR28" s="360">
        <f t="shared" si="8"/>
        <v>0</v>
      </c>
      <c r="AS28" s="360">
        <f t="shared" si="8"/>
        <v>0</v>
      </c>
      <c r="AT28" s="360">
        <f t="shared" si="8"/>
        <v>6</v>
      </c>
      <c r="AU28" s="360">
        <f t="shared" si="8"/>
        <v>6</v>
      </c>
      <c r="AV28" s="360">
        <f t="shared" si="8"/>
        <v>0</v>
      </c>
      <c r="AW28" s="360">
        <f t="shared" si="8"/>
        <v>0</v>
      </c>
      <c r="AX28" s="360">
        <f t="shared" si="8"/>
        <v>0</v>
      </c>
      <c r="AY28" s="360">
        <f t="shared" si="8"/>
        <v>0</v>
      </c>
      <c r="AZ28" s="360">
        <f t="shared" si="8"/>
        <v>0</v>
      </c>
      <c r="BA28" s="360">
        <f t="shared" si="8"/>
        <v>0</v>
      </c>
      <c r="BB28" s="360">
        <f t="shared" si="8"/>
        <v>0</v>
      </c>
      <c r="BC28" s="360">
        <f t="shared" si="8"/>
        <v>0</v>
      </c>
      <c r="BD28" s="360">
        <f t="shared" si="8"/>
        <v>0</v>
      </c>
      <c r="BE28" s="360">
        <f t="shared" si="8"/>
        <v>0</v>
      </c>
      <c r="BF28" s="360">
        <f t="shared" si="8"/>
        <v>0</v>
      </c>
      <c r="BH28" s="76" t="s">
        <v>1380</v>
      </c>
    </row>
    <row r="29" spans="1:67" s="76" customFormat="1" ht="25.5" x14ac:dyDescent="0.2">
      <c r="A29" s="235" t="s">
        <v>372</v>
      </c>
      <c r="B29" s="235" t="s">
        <v>373</v>
      </c>
      <c r="C29" s="235" t="s">
        <v>1115</v>
      </c>
      <c r="D29" s="364">
        <f>ROUNDUP(H29,0)</f>
        <v>4</v>
      </c>
      <c r="E29" s="75"/>
      <c r="F29" s="356">
        <f t="shared" si="0"/>
        <v>0</v>
      </c>
      <c r="G29" s="163"/>
      <c r="H29" s="359">
        <f>SUM(K29:BF29)</f>
        <v>3.6000000000000005</v>
      </c>
      <c r="I29" s="317"/>
      <c r="J29" s="358" t="s">
        <v>1286</v>
      </c>
      <c r="K29" s="360">
        <f t="shared" ref="K29:AS29" si="9">K$28*0.2</f>
        <v>0</v>
      </c>
      <c r="L29" s="360">
        <f t="shared" si="9"/>
        <v>0</v>
      </c>
      <c r="M29" s="360">
        <f t="shared" si="9"/>
        <v>0</v>
      </c>
      <c r="N29" s="360">
        <f t="shared" si="9"/>
        <v>0</v>
      </c>
      <c r="O29" s="360">
        <f t="shared" si="9"/>
        <v>0</v>
      </c>
      <c r="P29" s="360">
        <f t="shared" si="9"/>
        <v>0</v>
      </c>
      <c r="Q29" s="360">
        <f t="shared" si="9"/>
        <v>0</v>
      </c>
      <c r="R29" s="360">
        <f t="shared" si="9"/>
        <v>0</v>
      </c>
      <c r="S29" s="360">
        <f t="shared" si="9"/>
        <v>0</v>
      </c>
      <c r="T29" s="360">
        <f t="shared" si="9"/>
        <v>0</v>
      </c>
      <c r="U29" s="360">
        <f t="shared" si="9"/>
        <v>0</v>
      </c>
      <c r="V29" s="360">
        <f t="shared" si="9"/>
        <v>1.2000000000000002</v>
      </c>
      <c r="W29" s="360">
        <f t="shared" si="9"/>
        <v>0</v>
      </c>
      <c r="X29" s="360">
        <f t="shared" si="9"/>
        <v>0</v>
      </c>
      <c r="Y29" s="360">
        <f t="shared" si="9"/>
        <v>0</v>
      </c>
      <c r="Z29" s="360">
        <f t="shared" si="9"/>
        <v>0</v>
      </c>
      <c r="AA29" s="360">
        <f t="shared" si="9"/>
        <v>0</v>
      </c>
      <c r="AB29" s="360">
        <f t="shared" si="9"/>
        <v>0</v>
      </c>
      <c r="AC29" s="360">
        <f t="shared" si="9"/>
        <v>0</v>
      </c>
      <c r="AD29" s="360">
        <f t="shared" si="9"/>
        <v>0</v>
      </c>
      <c r="AE29" s="360">
        <f t="shared" si="9"/>
        <v>0</v>
      </c>
      <c r="AF29" s="360">
        <f t="shared" si="9"/>
        <v>0</v>
      </c>
      <c r="AG29" s="360">
        <f t="shared" si="9"/>
        <v>0</v>
      </c>
      <c r="AH29" s="360">
        <f t="shared" si="9"/>
        <v>0</v>
      </c>
      <c r="AI29" s="360">
        <f t="shared" si="9"/>
        <v>0</v>
      </c>
      <c r="AJ29" s="360">
        <f t="shared" si="9"/>
        <v>0</v>
      </c>
      <c r="AK29" s="360">
        <f t="shared" si="9"/>
        <v>0</v>
      </c>
      <c r="AL29" s="360">
        <f t="shared" si="9"/>
        <v>0</v>
      </c>
      <c r="AM29" s="360">
        <f t="shared" si="9"/>
        <v>0</v>
      </c>
      <c r="AN29" s="360">
        <f t="shared" si="9"/>
        <v>0</v>
      </c>
      <c r="AO29" s="360">
        <f t="shared" si="9"/>
        <v>0</v>
      </c>
      <c r="AP29" s="360">
        <f t="shared" si="9"/>
        <v>0</v>
      </c>
      <c r="AQ29" s="360">
        <f t="shared" si="9"/>
        <v>0</v>
      </c>
      <c r="AR29" s="360">
        <f t="shared" si="9"/>
        <v>0</v>
      </c>
      <c r="AS29" s="360">
        <f t="shared" si="9"/>
        <v>0</v>
      </c>
      <c r="AT29" s="360">
        <f>AT$28*0.2</f>
        <v>1.2000000000000002</v>
      </c>
      <c r="AU29" s="360">
        <f t="shared" ref="AU29:BF29" si="10">AU$28*0.2</f>
        <v>1.2000000000000002</v>
      </c>
      <c r="AV29" s="360">
        <f t="shared" si="10"/>
        <v>0</v>
      </c>
      <c r="AW29" s="360">
        <f t="shared" si="10"/>
        <v>0</v>
      </c>
      <c r="AX29" s="360">
        <f t="shared" si="10"/>
        <v>0</v>
      </c>
      <c r="AY29" s="360">
        <f t="shared" si="10"/>
        <v>0</v>
      </c>
      <c r="AZ29" s="360">
        <f t="shared" si="10"/>
        <v>0</v>
      </c>
      <c r="BA29" s="360">
        <f t="shared" si="10"/>
        <v>0</v>
      </c>
      <c r="BB29" s="360">
        <f t="shared" si="10"/>
        <v>0</v>
      </c>
      <c r="BC29" s="360">
        <f t="shared" si="10"/>
        <v>0</v>
      </c>
      <c r="BD29" s="360">
        <f t="shared" si="10"/>
        <v>0</v>
      </c>
      <c r="BE29" s="360">
        <f t="shared" si="10"/>
        <v>0</v>
      </c>
      <c r="BF29" s="360">
        <f t="shared" si="10"/>
        <v>0</v>
      </c>
      <c r="BG29" s="76" t="s">
        <v>1155</v>
      </c>
      <c r="BH29" s="76" t="s">
        <v>1137</v>
      </c>
    </row>
    <row r="30" spans="1:67" s="76" customFormat="1" ht="51" x14ac:dyDescent="0.2">
      <c r="A30" s="235" t="s">
        <v>374</v>
      </c>
      <c r="B30" s="235" t="s">
        <v>375</v>
      </c>
      <c r="C30" s="235" t="s">
        <v>376</v>
      </c>
      <c r="D30" s="364">
        <f t="shared" ref="D30:D31" si="11">ROUNDUP(H30,0)</f>
        <v>0</v>
      </c>
      <c r="E30" s="46"/>
      <c r="F30" s="356">
        <f t="shared" si="0"/>
        <v>0</v>
      </c>
      <c r="G30" s="163"/>
      <c r="H30" s="359">
        <f>SUM(K30:BF30)</f>
        <v>0</v>
      </c>
      <c r="I30" s="358"/>
      <c r="J30" s="358"/>
      <c r="K30" s="360">
        <f t="shared" ref="K30:BF30" si="12">IF(K$9=1,IF(K$4&gt;1.2,1.2,K$4),0)</f>
        <v>0</v>
      </c>
      <c r="L30" s="360">
        <f t="shared" si="12"/>
        <v>0</v>
      </c>
      <c r="M30" s="360">
        <f t="shared" si="12"/>
        <v>0</v>
      </c>
      <c r="N30" s="360">
        <f t="shared" si="12"/>
        <v>0</v>
      </c>
      <c r="O30" s="360">
        <f t="shared" si="12"/>
        <v>0</v>
      </c>
      <c r="P30" s="360">
        <f t="shared" si="12"/>
        <v>0</v>
      </c>
      <c r="Q30" s="360">
        <f t="shared" si="12"/>
        <v>0</v>
      </c>
      <c r="R30" s="360">
        <f t="shared" si="12"/>
        <v>0</v>
      </c>
      <c r="S30" s="360">
        <f t="shared" si="12"/>
        <v>0</v>
      </c>
      <c r="T30" s="360">
        <f t="shared" si="12"/>
        <v>0</v>
      </c>
      <c r="U30" s="360">
        <f t="shared" si="12"/>
        <v>0</v>
      </c>
      <c r="V30" s="360">
        <f t="shared" si="12"/>
        <v>0</v>
      </c>
      <c r="W30" s="360">
        <f t="shared" si="12"/>
        <v>0</v>
      </c>
      <c r="X30" s="360">
        <f t="shared" si="12"/>
        <v>0</v>
      </c>
      <c r="Y30" s="360">
        <f t="shared" si="12"/>
        <v>0</v>
      </c>
      <c r="Z30" s="360">
        <f t="shared" si="12"/>
        <v>0</v>
      </c>
      <c r="AA30" s="360">
        <f t="shared" si="12"/>
        <v>0</v>
      </c>
      <c r="AB30" s="360">
        <f t="shared" si="12"/>
        <v>0</v>
      </c>
      <c r="AC30" s="360">
        <f t="shared" si="12"/>
        <v>0</v>
      </c>
      <c r="AD30" s="360">
        <f t="shared" si="12"/>
        <v>0</v>
      </c>
      <c r="AE30" s="360">
        <f t="shared" si="12"/>
        <v>0</v>
      </c>
      <c r="AF30" s="360">
        <f t="shared" si="12"/>
        <v>0</v>
      </c>
      <c r="AG30" s="360">
        <f t="shared" si="12"/>
        <v>0</v>
      </c>
      <c r="AH30" s="360">
        <f t="shared" si="12"/>
        <v>0</v>
      </c>
      <c r="AI30" s="360">
        <f t="shared" si="12"/>
        <v>0</v>
      </c>
      <c r="AJ30" s="360">
        <f t="shared" si="12"/>
        <v>0</v>
      </c>
      <c r="AK30" s="360">
        <f t="shared" si="12"/>
        <v>0</v>
      </c>
      <c r="AL30" s="360">
        <f t="shared" si="12"/>
        <v>0</v>
      </c>
      <c r="AM30" s="360">
        <f t="shared" si="12"/>
        <v>0</v>
      </c>
      <c r="AN30" s="360">
        <f t="shared" si="12"/>
        <v>0</v>
      </c>
      <c r="AO30" s="360">
        <f t="shared" si="12"/>
        <v>0</v>
      </c>
      <c r="AP30" s="360">
        <f t="shared" si="12"/>
        <v>0</v>
      </c>
      <c r="AQ30" s="360">
        <f t="shared" si="12"/>
        <v>0</v>
      </c>
      <c r="AR30" s="360">
        <f t="shared" si="12"/>
        <v>0</v>
      </c>
      <c r="AS30" s="360">
        <f t="shared" si="12"/>
        <v>0</v>
      </c>
      <c r="AT30" s="360">
        <f t="shared" si="12"/>
        <v>0</v>
      </c>
      <c r="AU30" s="360">
        <f t="shared" si="12"/>
        <v>0</v>
      </c>
      <c r="AV30" s="360">
        <f t="shared" si="12"/>
        <v>0</v>
      </c>
      <c r="AW30" s="360">
        <f t="shared" si="12"/>
        <v>0</v>
      </c>
      <c r="AX30" s="360">
        <f t="shared" si="12"/>
        <v>0</v>
      </c>
      <c r="AY30" s="360">
        <f t="shared" si="12"/>
        <v>0</v>
      </c>
      <c r="AZ30" s="360">
        <f t="shared" si="12"/>
        <v>0</v>
      </c>
      <c r="BA30" s="360">
        <f t="shared" si="12"/>
        <v>0</v>
      </c>
      <c r="BB30" s="360">
        <f t="shared" si="12"/>
        <v>0</v>
      </c>
      <c r="BC30" s="360">
        <f t="shared" si="12"/>
        <v>0</v>
      </c>
      <c r="BD30" s="360">
        <f t="shared" si="12"/>
        <v>0</v>
      </c>
      <c r="BE30" s="360">
        <f t="shared" si="12"/>
        <v>0</v>
      </c>
      <c r="BF30" s="360">
        <f t="shared" si="12"/>
        <v>0</v>
      </c>
      <c r="BI30" s="361">
        <v>0</v>
      </c>
      <c r="BJ30" s="362">
        <v>0.25</v>
      </c>
      <c r="BK30" s="361">
        <v>5</v>
      </c>
      <c r="BL30" s="361">
        <v>0.45</v>
      </c>
      <c r="BM30" s="361"/>
      <c r="BN30" s="361">
        <f>BI30*BJ30*BK30*BL30</f>
        <v>0</v>
      </c>
    </row>
    <row r="31" spans="1:67" s="76" customFormat="1" ht="15" x14ac:dyDescent="0.2">
      <c r="A31" s="235" t="s">
        <v>377</v>
      </c>
      <c r="B31" s="235" t="s">
        <v>378</v>
      </c>
      <c r="C31" s="235" t="s">
        <v>1118</v>
      </c>
      <c r="D31" s="364">
        <f t="shared" si="11"/>
        <v>0</v>
      </c>
      <c r="E31" s="46"/>
      <c r="F31" s="356">
        <f t="shared" si="0"/>
        <v>0</v>
      </c>
      <c r="G31" s="163"/>
      <c r="H31" s="359">
        <f>SUM(K31:BF31)</f>
        <v>0</v>
      </c>
      <c r="I31" s="358"/>
      <c r="J31" s="358"/>
      <c r="K31" s="360">
        <f t="shared" ref="K31:BF31" si="13">IF(K$9=1,IF(K$4&gt;1.2,IF(K$4&gt;3,1.8,K$4-1.2),0),0)</f>
        <v>0</v>
      </c>
      <c r="L31" s="360">
        <f t="shared" si="13"/>
        <v>0</v>
      </c>
      <c r="M31" s="360">
        <f t="shared" si="13"/>
        <v>0</v>
      </c>
      <c r="N31" s="360">
        <f t="shared" si="13"/>
        <v>0</v>
      </c>
      <c r="O31" s="360">
        <f t="shared" si="13"/>
        <v>0</v>
      </c>
      <c r="P31" s="360">
        <f t="shared" si="13"/>
        <v>0</v>
      </c>
      <c r="Q31" s="360">
        <f t="shared" si="13"/>
        <v>0</v>
      </c>
      <c r="R31" s="360">
        <f t="shared" si="13"/>
        <v>0</v>
      </c>
      <c r="S31" s="360">
        <f t="shared" si="13"/>
        <v>0</v>
      </c>
      <c r="T31" s="360">
        <f t="shared" si="13"/>
        <v>0</v>
      </c>
      <c r="U31" s="360">
        <f t="shared" si="13"/>
        <v>0</v>
      </c>
      <c r="V31" s="360">
        <f t="shared" si="13"/>
        <v>0</v>
      </c>
      <c r="W31" s="360">
        <f t="shared" si="13"/>
        <v>0</v>
      </c>
      <c r="X31" s="360">
        <f t="shared" si="13"/>
        <v>0</v>
      </c>
      <c r="Y31" s="360">
        <f t="shared" si="13"/>
        <v>0</v>
      </c>
      <c r="Z31" s="360">
        <f t="shared" si="13"/>
        <v>0</v>
      </c>
      <c r="AA31" s="360">
        <f t="shared" si="13"/>
        <v>0</v>
      </c>
      <c r="AB31" s="360">
        <f t="shared" si="13"/>
        <v>0</v>
      </c>
      <c r="AC31" s="360">
        <f t="shared" si="13"/>
        <v>0</v>
      </c>
      <c r="AD31" s="360">
        <f t="shared" si="13"/>
        <v>0</v>
      </c>
      <c r="AE31" s="360">
        <f t="shared" si="13"/>
        <v>0</v>
      </c>
      <c r="AF31" s="360">
        <f t="shared" si="13"/>
        <v>0</v>
      </c>
      <c r="AG31" s="360">
        <f t="shared" si="13"/>
        <v>0</v>
      </c>
      <c r="AH31" s="360">
        <f t="shared" si="13"/>
        <v>0</v>
      </c>
      <c r="AI31" s="360">
        <f t="shared" si="13"/>
        <v>0</v>
      </c>
      <c r="AJ31" s="360">
        <f t="shared" si="13"/>
        <v>0</v>
      </c>
      <c r="AK31" s="360">
        <f t="shared" si="13"/>
        <v>0</v>
      </c>
      <c r="AL31" s="360">
        <f t="shared" si="13"/>
        <v>0</v>
      </c>
      <c r="AM31" s="360">
        <f t="shared" si="13"/>
        <v>0</v>
      </c>
      <c r="AN31" s="360">
        <f t="shared" si="13"/>
        <v>0</v>
      </c>
      <c r="AO31" s="360">
        <f t="shared" si="13"/>
        <v>0</v>
      </c>
      <c r="AP31" s="360">
        <f t="shared" si="13"/>
        <v>0</v>
      </c>
      <c r="AQ31" s="360">
        <f t="shared" si="13"/>
        <v>0</v>
      </c>
      <c r="AR31" s="360">
        <f t="shared" si="13"/>
        <v>0</v>
      </c>
      <c r="AS31" s="360">
        <f t="shared" si="13"/>
        <v>0</v>
      </c>
      <c r="AT31" s="360">
        <f t="shared" si="13"/>
        <v>0</v>
      </c>
      <c r="AU31" s="360">
        <f t="shared" si="13"/>
        <v>0</v>
      </c>
      <c r="AV31" s="360">
        <f t="shared" si="13"/>
        <v>0</v>
      </c>
      <c r="AW31" s="360">
        <f t="shared" si="13"/>
        <v>0</v>
      </c>
      <c r="AX31" s="360">
        <f t="shared" si="13"/>
        <v>0</v>
      </c>
      <c r="AY31" s="360">
        <f t="shared" si="13"/>
        <v>0</v>
      </c>
      <c r="AZ31" s="360">
        <f t="shared" si="13"/>
        <v>0</v>
      </c>
      <c r="BA31" s="360">
        <f t="shared" si="13"/>
        <v>0</v>
      </c>
      <c r="BB31" s="360">
        <f t="shared" si="13"/>
        <v>0</v>
      </c>
      <c r="BC31" s="360">
        <f t="shared" si="13"/>
        <v>0</v>
      </c>
      <c r="BD31" s="360">
        <f t="shared" si="13"/>
        <v>0</v>
      </c>
      <c r="BE31" s="360">
        <f t="shared" si="13"/>
        <v>0</v>
      </c>
      <c r="BF31" s="360">
        <f t="shared" si="13"/>
        <v>0</v>
      </c>
      <c r="BG31" s="363" t="s">
        <v>1156</v>
      </c>
      <c r="BH31" s="363"/>
      <c r="BI31" s="361" t="s">
        <v>1231</v>
      </c>
      <c r="BJ31" s="361" t="s">
        <v>344</v>
      </c>
      <c r="BK31" s="361" t="s">
        <v>1041</v>
      </c>
      <c r="BL31" s="361" t="s">
        <v>1150</v>
      </c>
      <c r="BM31" s="361"/>
      <c r="BN31" s="361" t="s">
        <v>1151</v>
      </c>
    </row>
    <row r="32" spans="1:67" s="76" customFormat="1" ht="51" x14ac:dyDescent="0.2">
      <c r="A32" s="45" t="s">
        <v>379</v>
      </c>
      <c r="B32" s="45" t="s">
        <v>380</v>
      </c>
      <c r="C32" s="45" t="s">
        <v>163</v>
      </c>
      <c r="D32" s="46">
        <f>H32</f>
        <v>79.199999999999989</v>
      </c>
      <c r="E32" s="46"/>
      <c r="F32" s="356">
        <f t="shared" si="0"/>
        <v>0</v>
      </c>
      <c r="G32" s="163"/>
      <c r="H32" s="386">
        <f>J33*K33</f>
        <v>79.199999999999989</v>
      </c>
      <c r="I32" s="358"/>
      <c r="J32" s="358" t="s">
        <v>1383</v>
      </c>
      <c r="K32" s="388" t="s">
        <v>1384</v>
      </c>
      <c r="L32" s="388"/>
      <c r="M32" s="388" t="s">
        <v>1385</v>
      </c>
      <c r="U32" s="360"/>
      <c r="V32" s="360"/>
      <c r="BI32" s="365">
        <v>0</v>
      </c>
      <c r="BJ32" s="363">
        <v>0.95</v>
      </c>
      <c r="BK32" s="365">
        <v>5</v>
      </c>
      <c r="BL32" s="365">
        <v>0.45</v>
      </c>
      <c r="BM32" s="365"/>
      <c r="BN32" s="361">
        <f>BI32*BJ32*BK32*BL32</f>
        <v>0</v>
      </c>
    </row>
    <row r="33" spans="1:66" s="386" customFormat="1" ht="51" x14ac:dyDescent="0.2">
      <c r="A33" s="45" t="s">
        <v>381</v>
      </c>
      <c r="B33" s="45" t="s">
        <v>1123</v>
      </c>
      <c r="C33" s="45" t="s">
        <v>163</v>
      </c>
      <c r="D33" s="46" t="s">
        <v>1110</v>
      </c>
      <c r="E33" s="46"/>
      <c r="F33" s="356" t="str">
        <f t="shared" si="0"/>
        <v>-</v>
      </c>
      <c r="G33" s="383"/>
      <c r="H33" s="384"/>
      <c r="I33" s="385"/>
      <c r="J33" s="389">
        <f>H27</f>
        <v>11</v>
      </c>
      <c r="K33" s="360">
        <f>(2+1+2+1)*1.2</f>
        <v>7.1999999999999993</v>
      </c>
      <c r="M33" s="360">
        <f>(2+1+2+1)</f>
        <v>6</v>
      </c>
      <c r="U33" s="387"/>
      <c r="V33" s="387"/>
      <c r="BH33" s="386" t="s">
        <v>1135</v>
      </c>
    </row>
    <row r="34" spans="1:66" s="76" customFormat="1" ht="38.25" x14ac:dyDescent="0.2">
      <c r="A34" s="45" t="s">
        <v>382</v>
      </c>
      <c r="B34" s="45" t="s">
        <v>1124</v>
      </c>
      <c r="C34" s="45" t="s">
        <v>158</v>
      </c>
      <c r="D34" s="46">
        <f>H34</f>
        <v>9</v>
      </c>
      <c r="E34" s="46"/>
      <c r="F34" s="356">
        <f t="shared" si="0"/>
        <v>0</v>
      </c>
      <c r="G34" s="163"/>
      <c r="H34" s="357">
        <v>9</v>
      </c>
      <c r="I34" s="358"/>
      <c r="J34" s="358"/>
      <c r="U34" s="360"/>
      <c r="V34" s="360"/>
      <c r="BI34" s="366">
        <v>0</v>
      </c>
      <c r="BJ34" s="366">
        <v>0.3</v>
      </c>
      <c r="BK34" s="366">
        <v>5</v>
      </c>
      <c r="BL34" s="366">
        <v>0.45</v>
      </c>
      <c r="BM34" s="366"/>
      <c r="BN34" s="361">
        <f>BI34*BJ34*BK34*BL34</f>
        <v>0</v>
      </c>
    </row>
    <row r="35" spans="1:66" ht="15" x14ac:dyDescent="0.2">
      <c r="A35" s="45"/>
      <c r="B35" s="83" t="s">
        <v>383</v>
      </c>
      <c r="C35" s="45"/>
      <c r="D35" s="46"/>
      <c r="E35" s="75"/>
      <c r="F35" s="508"/>
      <c r="G35" s="158"/>
      <c r="H35" s="169"/>
      <c r="I35" s="210"/>
      <c r="J35" s="210"/>
      <c r="U35" s="360"/>
      <c r="V35" s="360"/>
      <c r="BH35" s="77"/>
      <c r="BI35" s="180" t="s">
        <v>1231</v>
      </c>
      <c r="BJ35" s="180" t="s">
        <v>344</v>
      </c>
      <c r="BK35" s="180" t="s">
        <v>1041</v>
      </c>
      <c r="BL35" s="180" t="s">
        <v>1150</v>
      </c>
      <c r="BM35" s="180"/>
      <c r="BN35" s="180" t="s">
        <v>1151</v>
      </c>
    </row>
    <row r="36" spans="1:66" ht="38.25" x14ac:dyDescent="0.2">
      <c r="A36" s="45" t="s">
        <v>384</v>
      </c>
      <c r="B36" s="45" t="s">
        <v>385</v>
      </c>
      <c r="C36" s="45" t="s">
        <v>68</v>
      </c>
      <c r="D36" s="46" t="s">
        <v>1110</v>
      </c>
      <c r="E36" s="46" t="s">
        <v>1167</v>
      </c>
      <c r="F36" s="356" t="str">
        <f t="shared" si="0"/>
        <v>-</v>
      </c>
      <c r="G36" s="158"/>
      <c r="H36" s="169"/>
      <c r="I36" s="210"/>
      <c r="J36" s="210"/>
      <c r="BH36" s="77"/>
    </row>
    <row r="37" spans="1:66" ht="25.5" x14ac:dyDescent="0.2">
      <c r="A37" s="45" t="s">
        <v>386</v>
      </c>
      <c r="B37" s="45" t="s">
        <v>387</v>
      </c>
      <c r="C37" s="45" t="s">
        <v>68</v>
      </c>
      <c r="D37" s="46" t="s">
        <v>1110</v>
      </c>
      <c r="E37" s="46" t="s">
        <v>1167</v>
      </c>
      <c r="F37" s="356" t="str">
        <f t="shared" si="0"/>
        <v>-</v>
      </c>
      <c r="G37" s="158"/>
      <c r="H37" s="169"/>
      <c r="I37" s="210"/>
      <c r="J37" s="210"/>
      <c r="AY37" s="77"/>
    </row>
    <row r="38" spans="1:66" ht="25.5" x14ac:dyDescent="0.2">
      <c r="A38" s="45" t="s">
        <v>388</v>
      </c>
      <c r="B38" s="45" t="s">
        <v>389</v>
      </c>
      <c r="C38" s="45" t="s">
        <v>68</v>
      </c>
      <c r="D38" s="46" t="s">
        <v>1110</v>
      </c>
      <c r="E38" s="46" t="s">
        <v>1167</v>
      </c>
      <c r="F38" s="356" t="str">
        <f t="shared" si="0"/>
        <v>-</v>
      </c>
      <c r="G38" s="158"/>
      <c r="H38" s="169"/>
      <c r="I38" s="210"/>
      <c r="J38" s="210"/>
      <c r="AY38" s="77"/>
    </row>
    <row r="39" spans="1:66" ht="25.5" x14ac:dyDescent="0.2">
      <c r="A39" s="45" t="s">
        <v>390</v>
      </c>
      <c r="B39" s="45" t="s">
        <v>391</v>
      </c>
      <c r="C39" s="45" t="s">
        <v>147</v>
      </c>
      <c r="D39" s="46" t="s">
        <v>1110</v>
      </c>
      <c r="E39" s="46" t="s">
        <v>1167</v>
      </c>
      <c r="F39" s="356" t="str">
        <f t="shared" si="0"/>
        <v>-</v>
      </c>
      <c r="G39" s="158"/>
      <c r="H39" s="169"/>
      <c r="I39" s="210"/>
      <c r="J39" s="210"/>
      <c r="AY39" s="77"/>
    </row>
    <row r="40" spans="1:66" ht="25.5" x14ac:dyDescent="0.2">
      <c r="A40" s="45" t="s">
        <v>392</v>
      </c>
      <c r="B40" s="45" t="s">
        <v>393</v>
      </c>
      <c r="C40" s="45" t="s">
        <v>147</v>
      </c>
      <c r="D40" s="46" t="s">
        <v>1110</v>
      </c>
      <c r="E40" s="46" t="s">
        <v>1167</v>
      </c>
      <c r="F40" s="356" t="str">
        <f t="shared" si="0"/>
        <v>-</v>
      </c>
      <c r="G40" s="158"/>
      <c r="H40" s="169"/>
      <c r="I40" s="210"/>
      <c r="J40" s="210"/>
      <c r="AY40" s="77"/>
    </row>
    <row r="41" spans="1:66" x14ac:dyDescent="0.2">
      <c r="A41" s="45" t="s">
        <v>394</v>
      </c>
      <c r="B41" s="45" t="s">
        <v>395</v>
      </c>
      <c r="C41" s="45" t="s">
        <v>147</v>
      </c>
      <c r="D41" s="46" t="s">
        <v>1110</v>
      </c>
      <c r="E41" s="46" t="s">
        <v>1167</v>
      </c>
      <c r="F41" s="356" t="str">
        <f t="shared" si="0"/>
        <v>-</v>
      </c>
      <c r="G41" s="158"/>
      <c r="H41" s="169"/>
      <c r="I41" s="210"/>
      <c r="J41" s="210"/>
      <c r="AY41" s="77"/>
    </row>
    <row r="42" spans="1:66" x14ac:dyDescent="0.2">
      <c r="A42" s="45" t="s">
        <v>396</v>
      </c>
      <c r="B42" s="45" t="s">
        <v>397</v>
      </c>
      <c r="C42" s="45" t="s">
        <v>147</v>
      </c>
      <c r="D42" s="46" t="s">
        <v>1110</v>
      </c>
      <c r="E42" s="46" t="s">
        <v>1167</v>
      </c>
      <c r="F42" s="356" t="str">
        <f t="shared" si="0"/>
        <v>-</v>
      </c>
      <c r="G42" s="158"/>
      <c r="H42" s="169"/>
      <c r="I42" s="210"/>
      <c r="J42" s="210"/>
      <c r="AY42" s="77"/>
    </row>
    <row r="43" spans="1:66" ht="25.5" x14ac:dyDescent="0.2">
      <c r="A43" s="45" t="s">
        <v>398</v>
      </c>
      <c r="B43" s="45" t="s">
        <v>399</v>
      </c>
      <c r="C43" s="45" t="s">
        <v>1115</v>
      </c>
      <c r="D43" s="46" t="s">
        <v>1110</v>
      </c>
      <c r="E43" s="46" t="s">
        <v>1167</v>
      </c>
      <c r="F43" s="356" t="str">
        <f t="shared" si="0"/>
        <v>-</v>
      </c>
      <c r="G43" s="158"/>
      <c r="H43" s="169"/>
      <c r="I43" s="210"/>
      <c r="J43" s="210"/>
      <c r="AY43" s="77"/>
    </row>
    <row r="44" spans="1:66" ht="25.5" x14ac:dyDescent="0.2">
      <c r="A44" s="45" t="s">
        <v>400</v>
      </c>
      <c r="B44" s="45" t="s">
        <v>401</v>
      </c>
      <c r="C44" s="45" t="s">
        <v>1115</v>
      </c>
      <c r="D44" s="46" t="s">
        <v>1110</v>
      </c>
      <c r="E44" s="46" t="s">
        <v>1167</v>
      </c>
      <c r="F44" s="356" t="str">
        <f t="shared" si="0"/>
        <v>-</v>
      </c>
      <c r="G44" s="158"/>
      <c r="H44" s="169"/>
      <c r="I44" s="210"/>
      <c r="J44" s="210"/>
      <c r="AY44" s="77"/>
    </row>
    <row r="45" spans="1:66" ht="14.25" x14ac:dyDescent="0.2">
      <c r="A45" s="45" t="s">
        <v>402</v>
      </c>
      <c r="B45" s="45" t="s">
        <v>403</v>
      </c>
      <c r="C45" s="45" t="s">
        <v>1115</v>
      </c>
      <c r="D45" s="46" t="s">
        <v>1110</v>
      </c>
      <c r="E45" s="46" t="s">
        <v>1167</v>
      </c>
      <c r="F45" s="356" t="str">
        <f t="shared" si="0"/>
        <v>-</v>
      </c>
      <c r="G45" s="158"/>
      <c r="H45" s="169"/>
      <c r="I45" s="210"/>
      <c r="J45" s="210"/>
      <c r="AY45" s="77"/>
    </row>
    <row r="46" spans="1:66" ht="14.25" x14ac:dyDescent="0.2">
      <c r="A46" s="45" t="s">
        <v>404</v>
      </c>
      <c r="B46" s="45" t="s">
        <v>405</v>
      </c>
      <c r="C46" s="45" t="s">
        <v>1115</v>
      </c>
      <c r="D46" s="46" t="s">
        <v>1110</v>
      </c>
      <c r="E46" s="46" t="s">
        <v>1167</v>
      </c>
      <c r="F46" s="356" t="str">
        <f t="shared" si="0"/>
        <v>-</v>
      </c>
      <c r="G46" s="158"/>
      <c r="H46" s="169"/>
      <c r="I46" s="210"/>
      <c r="J46" s="210"/>
      <c r="AY46" s="77"/>
    </row>
    <row r="47" spans="1:66" ht="25.5" x14ac:dyDescent="0.2">
      <c r="A47" s="45" t="s">
        <v>406</v>
      </c>
      <c r="B47" s="45" t="s">
        <v>407</v>
      </c>
      <c r="C47" s="45" t="s">
        <v>158</v>
      </c>
      <c r="D47" s="46" t="s">
        <v>1110</v>
      </c>
      <c r="E47" s="46" t="s">
        <v>1167</v>
      </c>
      <c r="F47" s="356" t="str">
        <f t="shared" si="0"/>
        <v>-</v>
      </c>
      <c r="G47" s="158"/>
      <c r="H47" s="169"/>
      <c r="I47" s="210"/>
      <c r="J47" s="210"/>
      <c r="AY47" s="77"/>
    </row>
    <row r="48" spans="1:66" ht="25.5" x14ac:dyDescent="0.2">
      <c r="A48" s="45" t="s">
        <v>408</v>
      </c>
      <c r="B48" s="45" t="s">
        <v>409</v>
      </c>
      <c r="C48" s="45" t="s">
        <v>158</v>
      </c>
      <c r="D48" s="46" t="s">
        <v>1110</v>
      </c>
      <c r="E48" s="46" t="s">
        <v>1167</v>
      </c>
      <c r="F48" s="356" t="str">
        <f t="shared" si="0"/>
        <v>-</v>
      </c>
      <c r="G48" s="158"/>
      <c r="H48" s="169"/>
      <c r="I48" s="210"/>
      <c r="J48" s="210"/>
      <c r="AY48" s="77"/>
    </row>
    <row r="49" spans="1:51" ht="38.25" x14ac:dyDescent="0.2">
      <c r="A49" s="45" t="s">
        <v>410</v>
      </c>
      <c r="B49" s="45" t="s">
        <v>411</v>
      </c>
      <c r="C49" s="45" t="s">
        <v>158</v>
      </c>
      <c r="D49" s="46" t="s">
        <v>1110</v>
      </c>
      <c r="E49" s="46" t="s">
        <v>1167</v>
      </c>
      <c r="F49" s="356" t="str">
        <f t="shared" si="0"/>
        <v>-</v>
      </c>
      <c r="G49" s="158"/>
      <c r="H49" s="169"/>
      <c r="I49" s="210"/>
      <c r="J49" s="210"/>
      <c r="AY49" s="77"/>
    </row>
    <row r="50" spans="1:51" ht="38.25" x14ac:dyDescent="0.2">
      <c r="A50" s="45" t="s">
        <v>412</v>
      </c>
      <c r="B50" s="45" t="s">
        <v>413</v>
      </c>
      <c r="C50" s="45" t="s">
        <v>158</v>
      </c>
      <c r="D50" s="46" t="s">
        <v>1110</v>
      </c>
      <c r="E50" s="46" t="s">
        <v>1167</v>
      </c>
      <c r="F50" s="356" t="str">
        <f t="shared" si="0"/>
        <v>-</v>
      </c>
      <c r="G50" s="158"/>
      <c r="H50" s="169"/>
      <c r="I50" s="210"/>
      <c r="J50" s="210"/>
      <c r="AY50" s="77"/>
    </row>
    <row r="51" spans="1:51" ht="25.5" customHeight="1" x14ac:dyDescent="0.2">
      <c r="A51" s="45"/>
      <c r="B51" s="83" t="s">
        <v>414</v>
      </c>
      <c r="C51" s="45"/>
      <c r="D51" s="46"/>
      <c r="E51" s="75"/>
      <c r="F51" s="508"/>
      <c r="G51" s="158"/>
      <c r="H51" s="169"/>
      <c r="I51" s="210"/>
      <c r="J51" s="210"/>
      <c r="AY51" s="77"/>
    </row>
    <row r="52" spans="1:51" ht="51" x14ac:dyDescent="0.2">
      <c r="A52" s="45" t="s">
        <v>415</v>
      </c>
      <c r="B52" s="45" t="s">
        <v>416</v>
      </c>
      <c r="C52" s="45" t="s">
        <v>210</v>
      </c>
      <c r="D52" s="236" t="s">
        <v>1350</v>
      </c>
      <c r="E52" s="46" t="s">
        <v>1167</v>
      </c>
      <c r="F52" s="356" t="str">
        <f t="shared" si="0"/>
        <v>-</v>
      </c>
      <c r="G52" s="158"/>
      <c r="H52" s="169"/>
      <c r="I52" s="210"/>
      <c r="J52" s="210"/>
      <c r="AY52" s="77"/>
    </row>
    <row r="53" spans="1:51" ht="24" customHeight="1" x14ac:dyDescent="0.2">
      <c r="A53" s="45" t="s">
        <v>417</v>
      </c>
      <c r="B53" s="45" t="s">
        <v>418</v>
      </c>
      <c r="C53" s="45" t="s">
        <v>210</v>
      </c>
      <c r="D53" s="46" t="s">
        <v>1110</v>
      </c>
      <c r="E53" s="46" t="s">
        <v>1167</v>
      </c>
      <c r="F53" s="356" t="str">
        <f t="shared" si="0"/>
        <v>-</v>
      </c>
      <c r="G53" s="158"/>
      <c r="H53" s="169"/>
      <c r="I53" s="210"/>
      <c r="J53" s="210"/>
      <c r="AY53" s="77"/>
    </row>
    <row r="54" spans="1:51" ht="24" customHeight="1" x14ac:dyDescent="0.2">
      <c r="A54" s="45" t="s">
        <v>419</v>
      </c>
      <c r="B54" s="45" t="s">
        <v>420</v>
      </c>
      <c r="C54" s="45" t="s">
        <v>210</v>
      </c>
      <c r="D54" s="46" t="s">
        <v>1110</v>
      </c>
      <c r="E54" s="46" t="s">
        <v>1167</v>
      </c>
      <c r="F54" s="356" t="str">
        <f t="shared" si="0"/>
        <v>-</v>
      </c>
      <c r="G54" s="158"/>
      <c r="H54" s="169"/>
      <c r="I54" s="210"/>
      <c r="J54" s="210"/>
      <c r="AY54" s="77"/>
    </row>
    <row r="55" spans="1:51" ht="51" x14ac:dyDescent="0.2">
      <c r="A55" s="45" t="s">
        <v>421</v>
      </c>
      <c r="B55" s="45" t="s">
        <v>422</v>
      </c>
      <c r="C55" s="45" t="s">
        <v>210</v>
      </c>
      <c r="D55" s="46" t="s">
        <v>1110</v>
      </c>
      <c r="E55" s="46" t="s">
        <v>1167</v>
      </c>
      <c r="F55" s="356" t="str">
        <f t="shared" si="0"/>
        <v>-</v>
      </c>
      <c r="G55" s="158"/>
      <c r="H55" s="169"/>
      <c r="I55" s="210"/>
      <c r="J55" s="210"/>
      <c r="AY55" s="77"/>
    </row>
    <row r="56" spans="1:51" ht="29.1" customHeight="1" x14ac:dyDescent="0.2">
      <c r="A56" s="45" t="s">
        <v>423</v>
      </c>
      <c r="B56" s="45" t="s">
        <v>424</v>
      </c>
      <c r="C56" s="45" t="s">
        <v>210</v>
      </c>
      <c r="D56" s="46" t="s">
        <v>1110</v>
      </c>
      <c r="E56" s="46" t="s">
        <v>1167</v>
      </c>
      <c r="F56" s="356" t="str">
        <f t="shared" si="0"/>
        <v>-</v>
      </c>
      <c r="G56" s="158"/>
      <c r="H56" s="169"/>
      <c r="I56" s="210"/>
      <c r="J56" s="210"/>
      <c r="AY56" s="77"/>
    </row>
    <row r="57" spans="1:51" ht="29.1" customHeight="1" x14ac:dyDescent="0.2">
      <c r="A57" s="45" t="s">
        <v>425</v>
      </c>
      <c r="B57" s="45" t="s">
        <v>426</v>
      </c>
      <c r="C57" s="45" t="s">
        <v>210</v>
      </c>
      <c r="D57" s="46" t="s">
        <v>1110</v>
      </c>
      <c r="E57" s="46" t="s">
        <v>1167</v>
      </c>
      <c r="F57" s="356" t="str">
        <f t="shared" si="0"/>
        <v>-</v>
      </c>
      <c r="G57" s="158"/>
      <c r="H57" s="169"/>
      <c r="I57" s="210"/>
      <c r="J57" s="210"/>
      <c r="AY57" s="77"/>
    </row>
    <row r="58" spans="1:51" ht="29.1" customHeight="1" x14ac:dyDescent="0.2">
      <c r="A58" s="45" t="s">
        <v>427</v>
      </c>
      <c r="B58" s="45" t="s">
        <v>428</v>
      </c>
      <c r="C58" s="45" t="s">
        <v>210</v>
      </c>
      <c r="D58" s="46" t="s">
        <v>1110</v>
      </c>
      <c r="E58" s="46" t="s">
        <v>1167</v>
      </c>
      <c r="F58" s="356" t="str">
        <f t="shared" si="0"/>
        <v>-</v>
      </c>
      <c r="G58" s="158"/>
      <c r="H58" s="169"/>
      <c r="I58" s="210"/>
      <c r="J58" s="210"/>
      <c r="AY58" s="77"/>
    </row>
    <row r="59" spans="1:51" ht="51" x14ac:dyDescent="0.2">
      <c r="A59" s="45" t="s">
        <v>429</v>
      </c>
      <c r="B59" s="45" t="s">
        <v>430</v>
      </c>
      <c r="C59" s="45" t="s">
        <v>210</v>
      </c>
      <c r="D59" s="46" t="s">
        <v>1125</v>
      </c>
      <c r="E59" s="46" t="s">
        <v>1167</v>
      </c>
      <c r="F59" s="356" t="str">
        <f t="shared" si="0"/>
        <v>-</v>
      </c>
      <c r="G59" s="158"/>
      <c r="H59" s="169"/>
      <c r="I59" s="210"/>
      <c r="J59" s="210"/>
      <c r="AY59" s="77"/>
    </row>
    <row r="60" spans="1:51" x14ac:dyDescent="0.2">
      <c r="A60" s="45"/>
      <c r="B60" s="83" t="s">
        <v>431</v>
      </c>
      <c r="C60" s="45"/>
      <c r="D60" s="46"/>
      <c r="E60" s="75"/>
      <c r="F60" s="508"/>
      <c r="G60" s="158"/>
      <c r="H60" s="169"/>
      <c r="I60" s="210"/>
      <c r="J60" s="210"/>
      <c r="AY60" s="77"/>
    </row>
    <row r="61" spans="1:51" ht="25.5" x14ac:dyDescent="0.2">
      <c r="A61" s="45" t="s">
        <v>432</v>
      </c>
      <c r="B61" s="45" t="s">
        <v>433</v>
      </c>
      <c r="C61" s="45" t="s">
        <v>68</v>
      </c>
      <c r="D61" s="46" t="s">
        <v>1110</v>
      </c>
      <c r="E61" s="46" t="s">
        <v>1167</v>
      </c>
      <c r="F61" s="356" t="str">
        <f t="shared" si="0"/>
        <v>-</v>
      </c>
      <c r="G61" s="158"/>
      <c r="H61" s="169"/>
      <c r="I61" s="210"/>
      <c r="J61" s="210"/>
      <c r="AY61" s="77"/>
    </row>
    <row r="62" spans="1:51" x14ac:dyDescent="0.2">
      <c r="A62" s="45" t="s">
        <v>434</v>
      </c>
      <c r="B62" s="45" t="s">
        <v>435</v>
      </c>
      <c r="C62" s="45" t="s">
        <v>158</v>
      </c>
      <c r="D62" s="46" t="s">
        <v>1110</v>
      </c>
      <c r="E62" s="46" t="s">
        <v>1167</v>
      </c>
      <c r="F62" s="356" t="str">
        <f t="shared" si="0"/>
        <v>-</v>
      </c>
      <c r="G62" s="158"/>
      <c r="H62" s="169"/>
      <c r="I62" s="210"/>
      <c r="J62" s="210"/>
      <c r="AY62" s="77"/>
    </row>
    <row r="63" spans="1:51" ht="38.25" x14ac:dyDescent="0.2">
      <c r="A63" s="45" t="s">
        <v>436</v>
      </c>
      <c r="B63" s="45" t="s">
        <v>437</v>
      </c>
      <c r="C63" s="45" t="s">
        <v>438</v>
      </c>
      <c r="D63" s="46" t="s">
        <v>1110</v>
      </c>
      <c r="E63" s="46" t="s">
        <v>1167</v>
      </c>
      <c r="F63" s="356" t="str">
        <f t="shared" si="0"/>
        <v>-</v>
      </c>
      <c r="G63" s="158"/>
      <c r="H63" s="169"/>
      <c r="I63" s="210"/>
      <c r="J63" s="210"/>
      <c r="AY63" s="77"/>
    </row>
    <row r="64" spans="1:51" x14ac:dyDescent="0.2">
      <c r="A64" s="45" t="s">
        <v>439</v>
      </c>
      <c r="B64" s="45" t="s">
        <v>440</v>
      </c>
      <c r="C64" s="45" t="s">
        <v>210</v>
      </c>
      <c r="D64" s="46" t="s">
        <v>1110</v>
      </c>
      <c r="E64" s="46" t="s">
        <v>1167</v>
      </c>
      <c r="F64" s="356" t="str">
        <f t="shared" si="0"/>
        <v>-</v>
      </c>
      <c r="G64" s="158"/>
      <c r="H64" s="169"/>
      <c r="I64" s="210"/>
      <c r="J64" s="210"/>
      <c r="AY64" s="77"/>
    </row>
    <row r="65" spans="1:65" x14ac:dyDescent="0.2">
      <c r="A65" s="45" t="s">
        <v>441</v>
      </c>
      <c r="B65" s="45" t="s">
        <v>442</v>
      </c>
      <c r="C65" s="45" t="s">
        <v>210</v>
      </c>
      <c r="D65" s="46" t="s">
        <v>1110</v>
      </c>
      <c r="E65" s="46" t="s">
        <v>1167</v>
      </c>
      <c r="F65" s="356" t="str">
        <f t="shared" si="0"/>
        <v>-</v>
      </c>
      <c r="G65" s="158"/>
      <c r="H65" s="169"/>
      <c r="I65" s="210"/>
      <c r="J65" s="210"/>
      <c r="AY65" s="77"/>
    </row>
    <row r="66" spans="1:65" ht="38.25" x14ac:dyDescent="0.2">
      <c r="A66" s="235"/>
      <c r="B66" s="513" t="s">
        <v>443</v>
      </c>
      <c r="C66" s="235"/>
      <c r="D66" s="236"/>
      <c r="E66" s="514"/>
      <c r="F66" s="508"/>
      <c r="G66" s="158"/>
      <c r="H66" s="169"/>
      <c r="I66" s="210"/>
      <c r="J66" s="240" t="s">
        <v>1307</v>
      </c>
      <c r="K66" s="188" t="s">
        <v>1306</v>
      </c>
      <c r="L66" s="188"/>
      <c r="M66" t="s">
        <v>1304</v>
      </c>
      <c r="N66" s="77" t="s">
        <v>1305</v>
      </c>
      <c r="AY66" s="77"/>
    </row>
    <row r="67" spans="1:65" ht="25.5" x14ac:dyDescent="0.2">
      <c r="A67" s="235" t="s">
        <v>444</v>
      </c>
      <c r="B67" s="235" t="s">
        <v>1126</v>
      </c>
      <c r="C67" s="235" t="s">
        <v>68</v>
      </c>
      <c r="D67" s="236">
        <f>H67</f>
        <v>-1</v>
      </c>
      <c r="E67" s="236"/>
      <c r="F67" s="356">
        <f>IF(ISNUMBER(SEARCH("incl",$D67)),"-",IF(ISNUMBER(SEARCH("not r",$D67)),"-",IF(ISNUMBER(SEARCH("refer",$D67)),"-",IF(C67="sum","",$D67*$E67))))</f>
        <v>0</v>
      </c>
      <c r="G67" s="158"/>
      <c r="H67" s="178">
        <f>K67</f>
        <v>-1</v>
      </c>
      <c r="I67" s="210"/>
      <c r="J67" s="116">
        <f>H17</f>
        <v>0</v>
      </c>
      <c r="K67" s="116">
        <f>H15</f>
        <v>-1</v>
      </c>
      <c r="L67" s="116"/>
      <c r="M67" s="244"/>
      <c r="N67" s="244"/>
      <c r="P67" s="1" t="s">
        <v>1311</v>
      </c>
      <c r="Q67" s="3">
        <v>2</v>
      </c>
      <c r="R67" s="3" t="s">
        <v>1310</v>
      </c>
      <c r="S67" s="3">
        <v>2</v>
      </c>
      <c r="T67" s="3"/>
      <c r="U67" s="3" t="s">
        <v>1310</v>
      </c>
      <c r="V67" s="3"/>
      <c r="W67" s="3"/>
      <c r="X67" s="3"/>
      <c r="Y67" s="3">
        <v>2</v>
      </c>
      <c r="Z67" s="3">
        <v>2</v>
      </c>
      <c r="AY67" s="77"/>
    </row>
    <row r="68" spans="1:65" ht="38.25" x14ac:dyDescent="0.2">
      <c r="A68" s="235" t="s">
        <v>445</v>
      </c>
      <c r="B68" s="235" t="s">
        <v>1136</v>
      </c>
      <c r="C68" s="235" t="s">
        <v>188</v>
      </c>
      <c r="D68" s="236" t="s">
        <v>1267</v>
      </c>
      <c r="E68" s="236" t="s">
        <v>1167</v>
      </c>
      <c r="F68" s="356" t="str">
        <f t="shared" si="0"/>
        <v>-</v>
      </c>
      <c r="G68" s="158"/>
      <c r="H68" s="169"/>
      <c r="I68" s="210"/>
      <c r="J68" s="210" t="s">
        <v>1315</v>
      </c>
      <c r="K68" s="242">
        <v>1</v>
      </c>
      <c r="L68" s="242"/>
      <c r="M68" s="245" t="s">
        <v>1308</v>
      </c>
      <c r="N68" s="245" t="s">
        <v>1309</v>
      </c>
      <c r="P68" s="285" t="s">
        <v>1331</v>
      </c>
      <c r="Q68" s="195"/>
      <c r="R68" s="195"/>
      <c r="S68" s="195"/>
      <c r="T68" s="195"/>
      <c r="U68" s="195"/>
      <c r="V68" s="195"/>
      <c r="W68" s="195"/>
      <c r="X68" s="195"/>
      <c r="Y68" s="246"/>
      <c r="Z68" s="246"/>
      <c r="AY68" s="77"/>
    </row>
    <row r="69" spans="1:65" ht="38.25" x14ac:dyDescent="0.2">
      <c r="A69" s="235" t="s">
        <v>446</v>
      </c>
      <c r="B69" s="235" t="s">
        <v>447</v>
      </c>
      <c r="C69" s="235" t="s">
        <v>188</v>
      </c>
      <c r="D69" s="236" t="s">
        <v>1267</v>
      </c>
      <c r="E69" s="236" t="s">
        <v>1167</v>
      </c>
      <c r="F69" s="356" t="str">
        <f t="shared" si="0"/>
        <v>-</v>
      </c>
      <c r="G69" s="166"/>
      <c r="H69" s="169"/>
      <c r="I69" s="210"/>
      <c r="J69" s="210"/>
      <c r="K69" s="243" t="s">
        <v>1149</v>
      </c>
      <c r="L69" s="243"/>
      <c r="M69" s="242">
        <f>SUM('Section B'!K8:AU8)+SUM('Section B'!K6:AU6)</f>
        <v>0</v>
      </c>
      <c r="N69" s="117">
        <f>SUM('Section B'!K7:AU7)</f>
        <v>0</v>
      </c>
      <c r="P69" s="285" t="s">
        <v>1332</v>
      </c>
      <c r="Q69" s="247"/>
      <c r="R69" s="247"/>
      <c r="S69" s="247"/>
      <c r="T69" s="247"/>
      <c r="U69" s="247"/>
      <c r="V69" s="247"/>
      <c r="W69" s="247"/>
      <c r="X69" s="247"/>
      <c r="Y69" s="247"/>
      <c r="Z69" s="247"/>
      <c r="BG69" s="189" t="s">
        <v>1166</v>
      </c>
      <c r="BH69" s="77"/>
    </row>
    <row r="70" spans="1:65" ht="51" x14ac:dyDescent="0.25">
      <c r="A70" s="235" t="s">
        <v>448</v>
      </c>
      <c r="B70" s="235" t="s">
        <v>1321</v>
      </c>
      <c r="C70" s="235" t="s">
        <v>1115</v>
      </c>
      <c r="D70" s="236">
        <f>ROUNDUP(H70,0)</f>
        <v>0</v>
      </c>
      <c r="E70" s="236"/>
      <c r="F70" s="356">
        <f t="shared" si="0"/>
        <v>0</v>
      </c>
      <c r="G70" s="158"/>
      <c r="H70" s="178">
        <f>P70+O75</f>
        <v>0</v>
      </c>
      <c r="I70" s="210"/>
      <c r="J70" s="210"/>
      <c r="K70" t="s">
        <v>1334</v>
      </c>
      <c r="P70" s="112">
        <f>SUM(Q70:Z70)</f>
        <v>0</v>
      </c>
      <c r="Q70" s="195">
        <f>Q67*Q69</f>
        <v>0</v>
      </c>
      <c r="R70" s="195">
        <v>0</v>
      </c>
      <c r="S70" s="195">
        <f>S67*S69</f>
        <v>0</v>
      </c>
      <c r="T70" s="195"/>
      <c r="U70" s="195">
        <v>0</v>
      </c>
      <c r="V70" s="195"/>
      <c r="W70" s="195"/>
      <c r="X70" s="195"/>
      <c r="Y70" s="195">
        <f>Y67*Y69</f>
        <v>0</v>
      </c>
      <c r="Z70" s="195">
        <f>Z67*Z69</f>
        <v>0</v>
      </c>
      <c r="BG70" s="186" t="s">
        <v>1157</v>
      </c>
      <c r="BH70" s="77" t="s">
        <v>1138</v>
      </c>
    </row>
    <row r="71" spans="1:65" ht="51" x14ac:dyDescent="0.2">
      <c r="A71" s="235" t="s">
        <v>449</v>
      </c>
      <c r="B71" s="235" t="s">
        <v>1322</v>
      </c>
      <c r="C71" s="235" t="s">
        <v>1115</v>
      </c>
      <c r="D71" s="236">
        <f>ROUNDUP(H71,0)</f>
        <v>0</v>
      </c>
      <c r="E71" s="236"/>
      <c r="F71" s="356">
        <f t="shared" si="0"/>
        <v>0</v>
      </c>
      <c r="G71" s="158"/>
      <c r="H71" s="169">
        <f>O74</f>
        <v>0</v>
      </c>
      <c r="I71" s="210"/>
      <c r="J71" s="210"/>
      <c r="K71" s="188" t="s">
        <v>1333</v>
      </c>
      <c r="L71" s="188"/>
      <c r="M71" s="77">
        <v>0</v>
      </c>
      <c r="N71" s="77">
        <v>0</v>
      </c>
      <c r="BG71" s="186" t="s">
        <v>1157</v>
      </c>
      <c r="BH71" s="77" t="s">
        <v>1140</v>
      </c>
    </row>
    <row r="72" spans="1:65" ht="51.6" customHeight="1" x14ac:dyDescent="0.2">
      <c r="A72" s="235" t="s">
        <v>450</v>
      </c>
      <c r="B72" s="235" t="s">
        <v>1320</v>
      </c>
      <c r="C72" s="235" t="s">
        <v>188</v>
      </c>
      <c r="D72" s="236">
        <f>ROUNDUP(H72,0)</f>
        <v>0</v>
      </c>
      <c r="E72" s="236"/>
      <c r="F72" s="356">
        <f t="shared" si="0"/>
        <v>0</v>
      </c>
      <c r="G72" s="158"/>
      <c r="H72" s="169">
        <f>O78</f>
        <v>0</v>
      </c>
      <c r="I72" s="210"/>
      <c r="J72" s="210"/>
      <c r="K72" s="188" t="s">
        <v>1313</v>
      </c>
      <c r="L72" s="188"/>
      <c r="M72" s="77">
        <v>0</v>
      </c>
      <c r="N72" s="77">
        <v>0</v>
      </c>
      <c r="BG72" s="186" t="s">
        <v>1157</v>
      </c>
      <c r="BH72" s="77" t="s">
        <v>1139</v>
      </c>
      <c r="BM72" t="s">
        <v>1158</v>
      </c>
    </row>
    <row r="73" spans="1:65" ht="25.5" x14ac:dyDescent="0.2">
      <c r="A73" s="235" t="s">
        <v>451</v>
      </c>
      <c r="B73" s="235" t="s">
        <v>452</v>
      </c>
      <c r="C73" s="235" t="s">
        <v>371</v>
      </c>
      <c r="D73" s="236" t="s">
        <v>1110</v>
      </c>
      <c r="E73" s="236" t="s">
        <v>1167</v>
      </c>
      <c r="F73" s="356" t="str">
        <f t="shared" si="0"/>
        <v>-</v>
      </c>
      <c r="G73" s="158"/>
      <c r="H73" s="169"/>
      <c r="I73" s="210"/>
      <c r="J73" s="210"/>
      <c r="K73" s="103" t="s">
        <v>1314</v>
      </c>
      <c r="L73" s="103"/>
      <c r="M73" s="77">
        <v>0</v>
      </c>
      <c r="N73">
        <f>(K68+N72)*(K68+N72)*N71</f>
        <v>0</v>
      </c>
      <c r="BG73" s="186" t="s">
        <v>1157</v>
      </c>
      <c r="BH73" s="92" t="s">
        <v>1159</v>
      </c>
    </row>
    <row r="74" spans="1:65" ht="51.75" thickBot="1" x14ac:dyDescent="0.25">
      <c r="A74" s="235" t="s">
        <v>453</v>
      </c>
      <c r="B74" s="235" t="s">
        <v>454</v>
      </c>
      <c r="C74" s="235" t="s">
        <v>1115</v>
      </c>
      <c r="D74" s="236" t="s">
        <v>1127</v>
      </c>
      <c r="E74" s="236" t="s">
        <v>1167</v>
      </c>
      <c r="F74" s="356" t="str">
        <f t="shared" si="0"/>
        <v>-</v>
      </c>
      <c r="G74" s="158"/>
      <c r="H74" s="170"/>
      <c r="I74" s="210"/>
      <c r="J74" s="210"/>
      <c r="K74" s="249" t="s">
        <v>1316</v>
      </c>
      <c r="L74" s="249"/>
      <c r="M74" s="202"/>
      <c r="N74" s="117">
        <f>N69*N73</f>
        <v>0</v>
      </c>
      <c r="O74" s="116">
        <f>N74+M74</f>
        <v>0</v>
      </c>
      <c r="BH74" s="77"/>
    </row>
    <row r="75" spans="1:65" ht="12.75" customHeight="1" x14ac:dyDescent="0.25">
      <c r="A75" s="509" t="s">
        <v>455</v>
      </c>
      <c r="B75" s="510"/>
      <c r="C75" s="510"/>
      <c r="D75" s="510"/>
      <c r="E75" s="511"/>
      <c r="F75" s="512">
        <f>SUM(F10:F74)</f>
        <v>0</v>
      </c>
      <c r="G75" s="156"/>
      <c r="H75" s="164"/>
      <c r="I75" s="164"/>
      <c r="J75" s="164"/>
      <c r="K75" s="93" t="s">
        <v>1312</v>
      </c>
      <c r="L75" s="93"/>
      <c r="M75" s="77">
        <f>M70*$K$68</f>
        <v>0</v>
      </c>
      <c r="N75" s="77">
        <f>(N70-N71)*$K$68</f>
        <v>0</v>
      </c>
      <c r="O75" s="112">
        <f>M75+N75</f>
        <v>0</v>
      </c>
    </row>
    <row r="76" spans="1:65" ht="38.25" x14ac:dyDescent="0.2">
      <c r="K76" s="188" t="s">
        <v>1317</v>
      </c>
      <c r="L76" s="188"/>
      <c r="M76" s="77">
        <v>0</v>
      </c>
      <c r="N76">
        <v>1</v>
      </c>
    </row>
    <row r="77" spans="1:65" x14ac:dyDescent="0.2">
      <c r="K77" t="s">
        <v>1318</v>
      </c>
      <c r="N77">
        <f>(K68+N76)^2</f>
        <v>4</v>
      </c>
    </row>
    <row r="78" spans="1:65" ht="26.25" x14ac:dyDescent="0.25">
      <c r="K78" s="248" t="s">
        <v>1319</v>
      </c>
      <c r="L78" s="248"/>
      <c r="N78">
        <f>N77*N69</f>
        <v>0</v>
      </c>
      <c r="O78" s="112">
        <f>M78+N78</f>
        <v>0</v>
      </c>
    </row>
  </sheetData>
  <conditionalFormatting sqref="K66:L67 K69:L69 P68:X69 K68:N68 K70:P70 O67:AW67 N66:AW66 AA68:AW70 K73:AW1048576 K71:AW71 M72:AW72 AX10:BD17 AX19:BD25 AX27:BD27 AX69:BD74 K1:AW27 AX32:BD36 K28:BF31 K32:AW32 K34:AW65 K33 M33:AW33 H32">
    <cfRule type="cellIs" dxfId="35" priority="12" operator="equal">
      <formula>0</formula>
    </cfRule>
  </conditionalFormatting>
  <conditionalFormatting sqref="M67:N67">
    <cfRule type="cellIs" dxfId="34" priority="11" operator="equal">
      <formula>0</formula>
    </cfRule>
  </conditionalFormatting>
  <conditionalFormatting sqref="J67">
    <cfRule type="cellIs" dxfId="33" priority="10" operator="equal">
      <formula>0</formula>
    </cfRule>
  </conditionalFormatting>
  <conditionalFormatting sqref="Y68:Z69">
    <cfRule type="cellIs" dxfId="32" priority="8" operator="equal">
      <formula>0</formula>
    </cfRule>
  </conditionalFormatting>
  <conditionalFormatting sqref="Q70:X70">
    <cfRule type="cellIs" dxfId="31" priority="7" operator="equal">
      <formula>0</formula>
    </cfRule>
  </conditionalFormatting>
  <conditionalFormatting sqref="Y70:Z70">
    <cfRule type="cellIs" dxfId="30" priority="4" operator="equal">
      <formula>0</formula>
    </cfRule>
  </conditionalFormatting>
  <conditionalFormatting sqref="AX2:BD7">
    <cfRule type="cellIs" dxfId="29" priority="3" operator="equal">
      <formula>0</formula>
    </cfRule>
  </conditionalFormatting>
  <conditionalFormatting sqref="BE10:BF17 BE19:BF25 BE27:BF27 BE69:BF74 BE32:BF36">
    <cfRule type="cellIs" dxfId="28" priority="2" operator="equal">
      <formula>0</formula>
    </cfRule>
  </conditionalFormatting>
  <conditionalFormatting sqref="BE2:BF7">
    <cfRule type="cellIs" dxfId="27" priority="1" operator="equal">
      <formula>0</formula>
    </cfRule>
  </conditionalFormatting>
  <pageMargins left="0.7" right="0.7" top="0.75" bottom="0.75" header="0.3" footer="0.3"/>
  <pageSetup paperSize="9" scale="64" orientation="portrait" r:id="rId1"/>
  <headerFooter>
    <oddFooter>&amp;A&amp;RPage &amp;P</oddFooter>
  </headerFooter>
  <colBreaks count="2" manualBreakCount="2">
    <brk id="6" max="74" man="1"/>
    <brk id="40" max="74"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5:Q33"/>
  <sheetViews>
    <sheetView view="pageBreakPreview" topLeftCell="A4" zoomScaleNormal="100" zoomScaleSheetLayoutView="100" zoomScalePageLayoutView="60" workbookViewId="0">
      <selection activeCell="K18" sqref="K18"/>
    </sheetView>
  </sheetViews>
  <sheetFormatPr defaultRowHeight="12.75" x14ac:dyDescent="0.2"/>
  <cols>
    <col min="2" max="2" width="35.7109375" customWidth="1"/>
    <col min="3" max="3" width="8" style="1" customWidth="1"/>
    <col min="4" max="4" width="11.42578125" style="1" customWidth="1"/>
    <col min="5" max="5" width="11.42578125" style="58" customWidth="1"/>
    <col min="6" max="6" width="11.42578125" style="295" customWidth="1"/>
    <col min="7" max="7" width="2.140625" style="154" customWidth="1"/>
    <col min="8" max="8" width="6.42578125" style="1" customWidth="1"/>
    <col min="9" max="9" width="7.140625" style="1" customWidth="1"/>
    <col min="10" max="10" width="9" style="1" customWidth="1"/>
    <col min="11" max="11" width="9.140625" style="77"/>
  </cols>
  <sheetData>
    <row r="5" spans="1:16" x14ac:dyDescent="0.2">
      <c r="J5" s="114"/>
    </row>
    <row r="7" spans="1:16" x14ac:dyDescent="0.2">
      <c r="A7" s="5" t="s">
        <v>0</v>
      </c>
      <c r="B7" s="5" t="s">
        <v>1</v>
      </c>
      <c r="C7" s="5" t="s">
        <v>2</v>
      </c>
      <c r="D7" s="5" t="s">
        <v>3</v>
      </c>
      <c r="E7" s="53" t="s">
        <v>4</v>
      </c>
      <c r="F7" s="289" t="s">
        <v>5</v>
      </c>
      <c r="G7" s="155"/>
      <c r="H7" s="114"/>
      <c r="I7" s="114"/>
    </row>
    <row r="8" spans="1:16" x14ac:dyDescent="0.2">
      <c r="A8" s="8"/>
      <c r="B8" s="8"/>
      <c r="C8" s="9"/>
      <c r="D8" s="9"/>
      <c r="E8" s="54" t="s">
        <v>6</v>
      </c>
      <c r="F8" s="290" t="s">
        <v>6</v>
      </c>
      <c r="G8" s="156"/>
      <c r="H8" s="115"/>
      <c r="I8" s="115"/>
      <c r="J8" s="115"/>
    </row>
    <row r="9" spans="1:16" ht="25.5" x14ac:dyDescent="0.2">
      <c r="A9" s="2" t="s">
        <v>456</v>
      </c>
      <c r="B9" s="2" t="s">
        <v>457</v>
      </c>
      <c r="C9" s="2"/>
      <c r="D9" s="6"/>
      <c r="E9" s="69"/>
      <c r="F9" s="303"/>
      <c r="G9" s="192"/>
      <c r="H9" s="190"/>
      <c r="I9" s="190"/>
      <c r="J9" s="190"/>
    </row>
    <row r="10" spans="1:16" x14ac:dyDescent="0.2">
      <c r="A10" s="31"/>
      <c r="B10" s="32" t="s">
        <v>458</v>
      </c>
      <c r="C10" s="28"/>
      <c r="D10" s="28"/>
      <c r="E10" s="62"/>
      <c r="F10" s="303"/>
      <c r="G10" s="193"/>
      <c r="H10" s="191"/>
      <c r="I10" s="191"/>
      <c r="J10" s="191"/>
    </row>
    <row r="11" spans="1:16" ht="25.5" x14ac:dyDescent="0.2">
      <c r="A11" s="90" t="s">
        <v>459</v>
      </c>
      <c r="B11" s="90" t="s">
        <v>460</v>
      </c>
      <c r="C11" s="91" t="s">
        <v>68</v>
      </c>
      <c r="D11" s="91" t="s">
        <v>724</v>
      </c>
      <c r="E11" s="60"/>
      <c r="F11" s="293" t="str">
        <f t="shared" ref="F11:F23" si="0">IF(ISNUMBER(SEARCH("incl",$D11)),"-",IF(ISNUMBER(SEARCH("not r",$D11)),"-",IF(ISNUMBER(SEARCH("refer",$D11)),"-",IF(C11="sum","",$D11*$E11))))</f>
        <v>-</v>
      </c>
      <c r="G11" s="158"/>
      <c r="H11" s="88"/>
      <c r="I11" s="88"/>
      <c r="J11" s="88"/>
      <c r="K11" s="196" t="s">
        <v>1233</v>
      </c>
      <c r="L11" s="195" t="s">
        <v>1154</v>
      </c>
      <c r="M11" s="195" t="s">
        <v>1153</v>
      </c>
    </row>
    <row r="12" spans="1:16" ht="15" x14ac:dyDescent="0.2">
      <c r="A12" s="45" t="s">
        <v>461</v>
      </c>
      <c r="B12" s="45" t="s">
        <v>462</v>
      </c>
      <c r="C12" s="46" t="s">
        <v>68</v>
      </c>
      <c r="D12" s="46">
        <f>H12</f>
        <v>17</v>
      </c>
      <c r="E12" s="60"/>
      <c r="F12" s="293">
        <f t="shared" si="0"/>
        <v>0</v>
      </c>
      <c r="G12" s="158"/>
      <c r="H12" s="111">
        <f>I12*SUM(K12:M12)</f>
        <v>17</v>
      </c>
      <c r="I12" s="94">
        <v>1</v>
      </c>
      <c r="J12" s="131" t="s">
        <v>1232</v>
      </c>
      <c r="K12" s="197">
        <f>'Section B'!H20+'Section B'!H21+'Section B'!H22+'Section B'!H23+'Section B'!H24</f>
        <v>8</v>
      </c>
      <c r="L12" s="197">
        <f>'Section D'!H19+'Section D'!H20+'Section D'!H21+'Section D'!H30+'Section D'!H31+'Section D'!H39+'Section D'!H40+'Section D'!H41+'Section D'!H42</f>
        <v>9</v>
      </c>
      <c r="M12" s="195">
        <v>0</v>
      </c>
    </row>
    <row r="13" spans="1:16" ht="15" x14ac:dyDescent="0.2">
      <c r="A13" s="35" t="s">
        <v>463</v>
      </c>
      <c r="B13" s="35" t="s">
        <v>464</v>
      </c>
      <c r="C13" s="36" t="s">
        <v>68</v>
      </c>
      <c r="D13" s="46">
        <f>H13</f>
        <v>17</v>
      </c>
      <c r="E13" s="60"/>
      <c r="F13" s="293">
        <f t="shared" si="0"/>
        <v>0</v>
      </c>
      <c r="G13" s="158"/>
      <c r="H13" s="111">
        <f>I13*SUM(K13:M13)</f>
        <v>17</v>
      </c>
      <c r="I13" s="94">
        <v>1</v>
      </c>
      <c r="J13" s="131" t="s">
        <v>1232</v>
      </c>
      <c r="K13" s="197">
        <f>'Section B'!H20+'Section B'!H21+'Section B'!H22+'Section B'!H23+'Section B'!H24</f>
        <v>8</v>
      </c>
      <c r="L13" s="197">
        <f>'Section D'!H19+'Section D'!H20+'Section D'!H21+'Section D'!H30+'Section D'!H31+'Section D'!H39+'Section D'!H40+'Section D'!H41+'Section D'!H42</f>
        <v>9</v>
      </c>
      <c r="M13" s="195">
        <v>0</v>
      </c>
      <c r="N13" s="77"/>
      <c r="O13" s="77"/>
    </row>
    <row r="14" spans="1:16" ht="38.25" x14ac:dyDescent="0.2">
      <c r="A14" s="35" t="s">
        <v>465</v>
      </c>
      <c r="B14" s="35" t="s">
        <v>466</v>
      </c>
      <c r="C14" s="94" t="s">
        <v>68</v>
      </c>
      <c r="D14" s="46">
        <v>10</v>
      </c>
      <c r="E14" s="60"/>
      <c r="F14" s="293">
        <f t="shared" si="0"/>
        <v>0</v>
      </c>
      <c r="G14" s="158"/>
      <c r="H14" s="313">
        <v>10</v>
      </c>
      <c r="I14" s="313" t="s">
        <v>1352</v>
      </c>
      <c r="J14" s="88"/>
    </row>
    <row r="15" spans="1:16" ht="25.5" x14ac:dyDescent="0.2">
      <c r="A15" s="45" t="s">
        <v>467</v>
      </c>
      <c r="B15" s="45" t="s">
        <v>468</v>
      </c>
      <c r="C15" s="46" t="s">
        <v>68</v>
      </c>
      <c r="D15" s="241">
        <f>H15</f>
        <v>1</v>
      </c>
      <c r="E15" s="75"/>
      <c r="F15" s="293">
        <f t="shared" si="0"/>
        <v>0</v>
      </c>
      <c r="G15" s="158"/>
      <c r="H15" s="111">
        <f>ROUNDUP(I15*K15,0)</f>
        <v>1</v>
      </c>
      <c r="I15" s="286">
        <v>0.5</v>
      </c>
      <c r="J15" s="88" t="s">
        <v>1323</v>
      </c>
      <c r="K15" s="77">
        <f>'Section B'!$H$17+'Section B'!$H$18</f>
        <v>1</v>
      </c>
    </row>
    <row r="16" spans="1:16" ht="25.5" x14ac:dyDescent="0.2">
      <c r="A16" s="45" t="s">
        <v>469</v>
      </c>
      <c r="B16" s="45" t="s">
        <v>470</v>
      </c>
      <c r="C16" s="46" t="s">
        <v>68</v>
      </c>
      <c r="D16" s="241">
        <f>H16</f>
        <v>1</v>
      </c>
      <c r="E16" s="250"/>
      <c r="F16" s="293">
        <f t="shared" si="0"/>
        <v>0</v>
      </c>
      <c r="G16" s="158"/>
      <c r="H16" s="111">
        <f>ROUNDUP(I16*K16,0)</f>
        <v>1</v>
      </c>
      <c r="I16" s="286">
        <v>0.25</v>
      </c>
      <c r="J16" s="88" t="s">
        <v>1323</v>
      </c>
      <c r="K16" s="77">
        <f>'Section B'!$H$17+'Section B'!$H$18</f>
        <v>1</v>
      </c>
      <c r="O16">
        <v>10</v>
      </c>
      <c r="P16">
        <f>O16/O$19</f>
        <v>0.55555555555555558</v>
      </c>
    </row>
    <row r="17" spans="1:17" ht="25.5" x14ac:dyDescent="0.2">
      <c r="A17" s="47" t="s">
        <v>471</v>
      </c>
      <c r="B17" s="47" t="s">
        <v>472</v>
      </c>
      <c r="C17" s="48" t="s">
        <v>68</v>
      </c>
      <c r="D17" s="48" t="s">
        <v>1111</v>
      </c>
      <c r="E17" s="60"/>
      <c r="F17" s="293" t="str">
        <f t="shared" si="0"/>
        <v>-</v>
      </c>
      <c r="G17" s="158"/>
      <c r="H17" s="88"/>
      <c r="I17" s="88"/>
      <c r="J17" s="88"/>
      <c r="O17">
        <v>1</v>
      </c>
      <c r="P17">
        <f t="shared" ref="P17:P19" si="1">O17/O$19</f>
        <v>5.5555555555555552E-2</v>
      </c>
    </row>
    <row r="18" spans="1:17" ht="25.5" x14ac:dyDescent="0.2">
      <c r="A18" s="47" t="s">
        <v>473</v>
      </c>
      <c r="B18" s="47" t="s">
        <v>474</v>
      </c>
      <c r="C18" s="48" t="s">
        <v>11</v>
      </c>
      <c r="D18" s="48" t="s">
        <v>1111</v>
      </c>
      <c r="E18" s="60"/>
      <c r="F18" s="293" t="str">
        <f t="shared" si="0"/>
        <v>-</v>
      </c>
      <c r="G18" s="158"/>
      <c r="H18" s="88"/>
      <c r="I18" s="88"/>
      <c r="J18" s="88"/>
      <c r="O18">
        <v>8</v>
      </c>
      <c r="P18">
        <f t="shared" si="1"/>
        <v>0.44444444444444442</v>
      </c>
    </row>
    <row r="19" spans="1:17" ht="25.5" x14ac:dyDescent="0.2">
      <c r="A19" s="47" t="s">
        <v>475</v>
      </c>
      <c r="B19" s="47" t="s">
        <v>476</v>
      </c>
      <c r="C19" s="48" t="s">
        <v>11</v>
      </c>
      <c r="D19" s="48" t="s">
        <v>1110</v>
      </c>
      <c r="E19" s="61"/>
      <c r="F19" s="293" t="str">
        <f t="shared" si="0"/>
        <v>-</v>
      </c>
      <c r="G19" s="158"/>
      <c r="H19" s="88"/>
      <c r="I19" s="88"/>
      <c r="J19" s="88"/>
      <c r="L19" s="77"/>
      <c r="O19">
        <v>18</v>
      </c>
      <c r="P19">
        <f t="shared" si="1"/>
        <v>1</v>
      </c>
    </row>
    <row r="20" spans="1:17" ht="25.5" x14ac:dyDescent="0.2">
      <c r="A20" s="47" t="s">
        <v>477</v>
      </c>
      <c r="B20" s="47" t="s">
        <v>478</v>
      </c>
      <c r="C20" s="48" t="s">
        <v>11</v>
      </c>
      <c r="D20" s="48" t="s">
        <v>1110</v>
      </c>
      <c r="E20" s="67"/>
      <c r="F20" s="293" t="str">
        <f t="shared" si="0"/>
        <v>-</v>
      </c>
      <c r="G20" s="158"/>
      <c r="H20" s="88"/>
      <c r="I20" s="88"/>
      <c r="J20" s="88"/>
      <c r="K20" s="201" t="s">
        <v>1233</v>
      </c>
      <c r="L20" s="9" t="s">
        <v>1154</v>
      </c>
      <c r="M20" s="9" t="s">
        <v>1153</v>
      </c>
      <c r="N20" s="8"/>
    </row>
    <row r="21" spans="1:17" ht="15" x14ac:dyDescent="0.25">
      <c r="A21" s="35" t="s">
        <v>479</v>
      </c>
      <c r="B21" s="35" t="s">
        <v>480</v>
      </c>
      <c r="C21" s="36" t="s">
        <v>68</v>
      </c>
      <c r="D21" s="251">
        <f>ROUNDUP(H21,0)</f>
        <v>2</v>
      </c>
      <c r="E21" s="67"/>
      <c r="F21" s="293">
        <f t="shared" si="0"/>
        <v>0</v>
      </c>
      <c r="G21" s="158"/>
      <c r="H21" s="198">
        <f>I21*SUM(K21:M21)</f>
        <v>1.5</v>
      </c>
      <c r="I21" s="199">
        <v>0.5</v>
      </c>
      <c r="J21" s="94" t="s">
        <v>1234</v>
      </c>
      <c r="K21" s="200">
        <f>'Section B'!$H$11+'Section B'!$H$13</f>
        <v>1</v>
      </c>
      <c r="L21" s="200">
        <f>'Section D'!$H$15+'Section D'!$H$26+'Section D'!$H$36</f>
        <v>2</v>
      </c>
      <c r="M21" s="3"/>
      <c r="N21" s="3"/>
    </row>
    <row r="22" spans="1:17" ht="25.5" x14ac:dyDescent="0.2">
      <c r="A22" s="47" t="s">
        <v>481</v>
      </c>
      <c r="B22" s="47" t="s">
        <v>482</v>
      </c>
      <c r="C22" s="48" t="s">
        <v>68</v>
      </c>
      <c r="D22" s="47" t="s">
        <v>724</v>
      </c>
      <c r="E22" s="67"/>
      <c r="F22" s="293" t="str">
        <f t="shared" si="0"/>
        <v>-</v>
      </c>
      <c r="G22" s="158"/>
      <c r="H22" s="88"/>
      <c r="I22" s="88"/>
      <c r="J22" s="88"/>
    </row>
    <row r="23" spans="1:17" ht="25.5" x14ac:dyDescent="0.2">
      <c r="A23" s="47" t="s">
        <v>483</v>
      </c>
      <c r="B23" s="47" t="s">
        <v>484</v>
      </c>
      <c r="C23" s="48" t="s">
        <v>68</v>
      </c>
      <c r="D23" s="47" t="s">
        <v>724</v>
      </c>
      <c r="E23" s="67"/>
      <c r="F23" s="293" t="str">
        <f t="shared" si="0"/>
        <v>-</v>
      </c>
      <c r="G23" s="158"/>
      <c r="H23" s="88"/>
      <c r="I23" s="88"/>
      <c r="J23" s="88"/>
    </row>
    <row r="24" spans="1:17" ht="25.5" x14ac:dyDescent="0.2">
      <c r="A24" s="35"/>
      <c r="B24" s="16" t="s">
        <v>485</v>
      </c>
      <c r="C24" s="36"/>
      <c r="D24" s="35"/>
      <c r="E24" s="67"/>
      <c r="F24" s="296"/>
      <c r="G24" s="158"/>
      <c r="H24" s="88"/>
      <c r="I24" s="88"/>
      <c r="J24" s="88"/>
      <c r="K24" s="201" t="s">
        <v>1233</v>
      </c>
      <c r="L24" s="9" t="s">
        <v>1154</v>
      </c>
      <c r="M24" s="9" t="s">
        <v>1153</v>
      </c>
      <c r="N24" s="8" t="s">
        <v>1324</v>
      </c>
    </row>
    <row r="25" spans="1:17" ht="25.5" x14ac:dyDescent="0.2">
      <c r="A25" s="35" t="s">
        <v>486</v>
      </c>
      <c r="B25" s="35" t="s">
        <v>487</v>
      </c>
      <c r="C25" s="36" t="s">
        <v>68</v>
      </c>
      <c r="D25" s="251">
        <f>ROUNDUP(H25,0)</f>
        <v>1</v>
      </c>
      <c r="E25" s="67"/>
      <c r="F25" s="293">
        <f t="shared" ref="F25:F30" si="2">IF(ISNUMBER(SEARCH("incl",$D25)),"-",IF(ISNUMBER(SEARCH("not r",$D25)),"-",IF(ISNUMBER(SEARCH("refer",$D25)),"-",IF(C25="sum","",$D25*$E25))))</f>
        <v>0</v>
      </c>
      <c r="G25" s="158"/>
      <c r="H25" s="198">
        <f>I25*SUM(K25:N25)</f>
        <v>0.30000000000000004</v>
      </c>
      <c r="I25" s="199">
        <v>0.1</v>
      </c>
      <c r="J25" s="94" t="s">
        <v>1336</v>
      </c>
      <c r="K25" s="197">
        <f>'Section B'!$H$11+'Section B'!$H$13</f>
        <v>1</v>
      </c>
      <c r="L25" s="197">
        <f>'Section D'!$H$15+'Section D'!$H$26+'Section D'!$H$36</f>
        <v>2</v>
      </c>
      <c r="M25" s="3"/>
      <c r="N25" s="197">
        <f>'Section C'!$H$31+'Section C'!$H$32</f>
        <v>0</v>
      </c>
      <c r="P25" s="99" t="s">
        <v>1235</v>
      </c>
    </row>
    <row r="26" spans="1:17" ht="25.5" x14ac:dyDescent="0.2">
      <c r="A26" s="35" t="s">
        <v>488</v>
      </c>
      <c r="B26" s="35" t="s">
        <v>489</v>
      </c>
      <c r="C26" s="36" t="s">
        <v>68</v>
      </c>
      <c r="D26" s="251">
        <f>ROUNDUP(H26,0)</f>
        <v>1</v>
      </c>
      <c r="E26" s="67"/>
      <c r="F26" s="293">
        <f t="shared" si="2"/>
        <v>0</v>
      </c>
      <c r="G26" s="158"/>
      <c r="H26" s="198">
        <f>I26*SUM(K26:N26)</f>
        <v>0.30000000000000004</v>
      </c>
      <c r="I26" s="199">
        <v>0.1</v>
      </c>
      <c r="J26" s="94" t="s">
        <v>1336</v>
      </c>
      <c r="K26" s="197">
        <f>'Section B'!$H$11+'Section B'!$H$13</f>
        <v>1</v>
      </c>
      <c r="L26" s="197">
        <f>'Section D'!$H$15+'Section D'!$H$26+'Section D'!$H$36</f>
        <v>2</v>
      </c>
      <c r="M26" s="3"/>
      <c r="N26" s="197">
        <f>'Section C'!$H$31+'Section C'!$H$32</f>
        <v>0</v>
      </c>
      <c r="P26" s="99" t="s">
        <v>1236</v>
      </c>
    </row>
    <row r="27" spans="1:17" ht="25.5" x14ac:dyDescent="0.2">
      <c r="A27" s="47" t="s">
        <v>490</v>
      </c>
      <c r="B27" s="47" t="s">
        <v>491</v>
      </c>
      <c r="C27" s="48" t="s">
        <v>68</v>
      </c>
      <c r="D27" s="47" t="s">
        <v>724</v>
      </c>
      <c r="E27" s="67"/>
      <c r="F27" s="293" t="str">
        <f t="shared" si="2"/>
        <v>-</v>
      </c>
      <c r="G27" s="158"/>
      <c r="H27" s="88"/>
      <c r="I27" s="88"/>
      <c r="J27" s="88"/>
    </row>
    <row r="28" spans="1:17" ht="25.5" x14ac:dyDescent="0.2">
      <c r="A28" s="72" t="s">
        <v>492</v>
      </c>
      <c r="B28" s="72" t="s">
        <v>493</v>
      </c>
      <c r="C28" s="73" t="s">
        <v>68</v>
      </c>
      <c r="D28" s="73" t="s">
        <v>1120</v>
      </c>
      <c r="E28" s="67"/>
      <c r="F28" s="293" t="str">
        <f t="shared" si="2"/>
        <v>-</v>
      </c>
      <c r="G28" s="158"/>
      <c r="H28" s="88"/>
      <c r="I28" s="88"/>
      <c r="J28" s="88"/>
      <c r="P28" s="186" t="s">
        <v>1147</v>
      </c>
    </row>
    <row r="29" spans="1:17" ht="25.5" x14ac:dyDescent="0.2">
      <c r="A29" s="35" t="s">
        <v>494</v>
      </c>
      <c r="B29" s="35" t="s">
        <v>1128</v>
      </c>
      <c r="C29" s="36" t="s">
        <v>68</v>
      </c>
      <c r="D29" s="251">
        <f>ROUNDUP(H29,0)</f>
        <v>1</v>
      </c>
      <c r="E29" s="67"/>
      <c r="F29" s="293">
        <f t="shared" si="2"/>
        <v>0</v>
      </c>
      <c r="G29" s="158"/>
      <c r="H29" s="198">
        <f>I29*SUM(K29:N29)</f>
        <v>0.44999999999999996</v>
      </c>
      <c r="I29" s="286">
        <v>0.15</v>
      </c>
      <c r="J29" s="94" t="s">
        <v>1336</v>
      </c>
      <c r="K29" s="202">
        <f>K26</f>
        <v>1</v>
      </c>
      <c r="L29" s="202">
        <f t="shared" ref="L29:N29" si="3">L26</f>
        <v>2</v>
      </c>
      <c r="M29" s="202">
        <f t="shared" si="3"/>
        <v>0</v>
      </c>
      <c r="N29" s="202">
        <f t="shared" si="3"/>
        <v>0</v>
      </c>
      <c r="P29" s="186" t="s">
        <v>1237</v>
      </c>
      <c r="Q29" s="92"/>
    </row>
    <row r="30" spans="1:17" ht="38.25" x14ac:dyDescent="0.2">
      <c r="A30" s="72" t="s">
        <v>495</v>
      </c>
      <c r="B30" s="72" t="s">
        <v>1238</v>
      </c>
      <c r="C30" s="73" t="s">
        <v>68</v>
      </c>
      <c r="D30" s="73" t="s">
        <v>1120</v>
      </c>
      <c r="E30" s="60"/>
      <c r="F30" s="293" t="str">
        <f t="shared" si="2"/>
        <v>-</v>
      </c>
      <c r="G30" s="158"/>
      <c r="H30" s="88"/>
      <c r="I30" s="88"/>
      <c r="J30" s="88"/>
      <c r="K30" s="77" t="s">
        <v>1143</v>
      </c>
      <c r="Q30" s="92" t="s">
        <v>1146</v>
      </c>
    </row>
    <row r="31" spans="1:17" x14ac:dyDescent="0.2">
      <c r="A31" s="35"/>
      <c r="B31" s="35"/>
      <c r="C31" s="36"/>
      <c r="D31" s="36"/>
      <c r="E31" s="60"/>
      <c r="F31" s="296"/>
      <c r="G31" s="158"/>
      <c r="H31" s="88"/>
      <c r="I31" s="88"/>
      <c r="J31" s="88"/>
    </row>
    <row r="32" spans="1:17" ht="25.5" x14ac:dyDescent="0.2">
      <c r="A32" s="35"/>
      <c r="B32" s="35" t="s">
        <v>496</v>
      </c>
      <c r="C32" s="36"/>
      <c r="D32" s="36"/>
      <c r="E32" s="60"/>
      <c r="F32" s="296"/>
      <c r="G32" s="158"/>
      <c r="H32" s="88"/>
      <c r="I32" s="88"/>
      <c r="J32" s="88"/>
    </row>
    <row r="33" spans="1:10" ht="12.75" customHeight="1" x14ac:dyDescent="0.2">
      <c r="A33" s="40" t="s">
        <v>497</v>
      </c>
      <c r="B33" s="41"/>
      <c r="C33" s="41"/>
      <c r="D33" s="41"/>
      <c r="E33" s="68"/>
      <c r="F33" s="304">
        <f>SUM(F11:F30)</f>
        <v>0</v>
      </c>
      <c r="G33" s="156"/>
      <c r="H33" s="115"/>
      <c r="I33" s="115"/>
      <c r="J33" s="115"/>
    </row>
  </sheetData>
  <pageMargins left="0.7" right="0.7" top="0.75" bottom="0.75" header="0.3" footer="0.3"/>
  <pageSetup paperSize="9" scale="88" orientation="portrait" r:id="rId1"/>
  <headerFooter>
    <oddFooter>&amp;A&amp;RPage &amp;P</oddFooter>
  </headerFooter>
  <colBreaks count="1" manualBreakCount="1">
    <brk id="7" min="6" max="32" man="1"/>
  </col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7:F34"/>
  <sheetViews>
    <sheetView view="pageBreakPreview" zoomScaleNormal="100" zoomScaleSheetLayoutView="100" zoomScalePageLayoutView="60" workbookViewId="0">
      <selection activeCell="D13" sqref="D13"/>
    </sheetView>
  </sheetViews>
  <sheetFormatPr defaultRowHeight="12.75" x14ac:dyDescent="0.2"/>
  <cols>
    <col min="2" max="2" width="35.7109375" customWidth="1"/>
    <col min="3" max="3" width="7.7109375" style="1" customWidth="1"/>
    <col min="4" max="5" width="11.42578125" style="1" customWidth="1"/>
    <col min="6" max="6" width="11.42578125" style="295" customWidth="1"/>
  </cols>
  <sheetData>
    <row r="7" spans="1:6" x14ac:dyDescent="0.2">
      <c r="A7" s="5" t="s">
        <v>0</v>
      </c>
      <c r="B7" s="5" t="s">
        <v>1</v>
      </c>
      <c r="C7" s="5" t="s">
        <v>2</v>
      </c>
      <c r="D7" s="5" t="s">
        <v>3</v>
      </c>
      <c r="E7" s="5" t="s">
        <v>4</v>
      </c>
      <c r="F7" s="289" t="s">
        <v>5</v>
      </c>
    </row>
    <row r="8" spans="1:6" x14ac:dyDescent="0.2">
      <c r="A8" s="8"/>
      <c r="B8" s="8"/>
      <c r="C8" s="9"/>
      <c r="D8" s="9"/>
      <c r="E8" s="9" t="s">
        <v>6</v>
      </c>
      <c r="F8" s="290" t="s">
        <v>6</v>
      </c>
    </row>
    <row r="9" spans="1:6" x14ac:dyDescent="0.2">
      <c r="A9" s="10" t="s">
        <v>499</v>
      </c>
      <c r="B9" s="10" t="s">
        <v>500</v>
      </c>
      <c r="C9" s="14"/>
      <c r="D9" s="14"/>
      <c r="E9" s="14"/>
      <c r="F9" s="292"/>
    </row>
    <row r="10" spans="1:6" x14ac:dyDescent="0.2">
      <c r="A10" s="11"/>
      <c r="B10" s="12" t="s">
        <v>501</v>
      </c>
      <c r="C10" s="13"/>
      <c r="D10" s="13"/>
      <c r="E10" s="13"/>
      <c r="F10" s="292"/>
    </row>
    <row r="11" spans="1:6" s="76" customFormat="1" ht="25.5" x14ac:dyDescent="0.2">
      <c r="A11" s="45" t="s">
        <v>502</v>
      </c>
      <c r="B11" s="45" t="s">
        <v>503</v>
      </c>
      <c r="C11" s="46" t="s">
        <v>68</v>
      </c>
      <c r="D11" s="46"/>
      <c r="E11" s="46"/>
      <c r="F11" s="356">
        <f t="shared" ref="F11:F17" si="0">IF(ISNUMBER(SEARCH("incl",$D11)),"-",IF(ISNUMBER(SEARCH("not r",$D11)),"-",IF(ISNUMBER(SEARCH("refer",$D11)),"-",IF(C11="sum","",$D11*$E11))))</f>
        <v>0</v>
      </c>
    </row>
    <row r="12" spans="1:6" ht="25.5" x14ac:dyDescent="0.2">
      <c r="A12" s="47" t="s">
        <v>504</v>
      </c>
      <c r="B12" s="47" t="s">
        <v>505</v>
      </c>
      <c r="C12" s="48" t="s">
        <v>68</v>
      </c>
      <c r="D12" s="48" t="s">
        <v>724</v>
      </c>
      <c r="E12" s="14"/>
      <c r="F12" s="293" t="str">
        <f t="shared" si="0"/>
        <v>-</v>
      </c>
    </row>
    <row r="13" spans="1:6" s="76" customFormat="1" ht="25.5" x14ac:dyDescent="0.2">
      <c r="A13" s="45" t="s">
        <v>506</v>
      </c>
      <c r="B13" s="45" t="s">
        <v>507</v>
      </c>
      <c r="C13" s="46" t="s">
        <v>147</v>
      </c>
      <c r="D13" s="46">
        <v>231</v>
      </c>
      <c r="E13" s="46"/>
      <c r="F13" s="356">
        <f t="shared" si="0"/>
        <v>0</v>
      </c>
    </row>
    <row r="14" spans="1:6" s="76" customFormat="1" ht="25.5" x14ac:dyDescent="0.2">
      <c r="A14" s="45" t="s">
        <v>508</v>
      </c>
      <c r="B14" s="45" t="s">
        <v>509</v>
      </c>
      <c r="C14" s="46" t="s">
        <v>147</v>
      </c>
      <c r="D14" s="46">
        <v>63</v>
      </c>
      <c r="E14" s="46"/>
      <c r="F14" s="356">
        <f t="shared" si="0"/>
        <v>0</v>
      </c>
    </row>
    <row r="15" spans="1:6" ht="25.5" x14ac:dyDescent="0.2">
      <c r="A15" s="47" t="s">
        <v>510</v>
      </c>
      <c r="B15" s="47" t="s">
        <v>511</v>
      </c>
      <c r="C15" s="48" t="s">
        <v>147</v>
      </c>
      <c r="D15" s="48" t="s">
        <v>724</v>
      </c>
      <c r="E15" s="14"/>
      <c r="F15" s="293" t="str">
        <f t="shared" si="0"/>
        <v>-</v>
      </c>
    </row>
    <row r="16" spans="1:6" s="76" customFormat="1" ht="25.5" x14ac:dyDescent="0.2">
      <c r="A16" s="45" t="s">
        <v>512</v>
      </c>
      <c r="B16" s="45" t="s">
        <v>513</v>
      </c>
      <c r="C16" s="46" t="s">
        <v>158</v>
      </c>
      <c r="D16" s="46">
        <v>1</v>
      </c>
      <c r="E16" s="46"/>
      <c r="F16" s="356">
        <f t="shared" si="0"/>
        <v>0</v>
      </c>
    </row>
    <row r="17" spans="1:6" ht="51" x14ac:dyDescent="0.2">
      <c r="A17" s="47" t="s">
        <v>514</v>
      </c>
      <c r="B17" s="47" t="s">
        <v>515</v>
      </c>
      <c r="C17" s="48" t="s">
        <v>210</v>
      </c>
      <c r="D17" s="48" t="s">
        <v>724</v>
      </c>
      <c r="E17" s="14"/>
      <c r="F17" s="293" t="str">
        <f t="shared" si="0"/>
        <v>-</v>
      </c>
    </row>
    <row r="18" spans="1:6" x14ac:dyDescent="0.2">
      <c r="A18" s="11"/>
      <c r="B18" s="18" t="s">
        <v>516</v>
      </c>
      <c r="C18" s="13"/>
      <c r="D18" s="13"/>
      <c r="E18" s="13"/>
      <c r="F18" s="292"/>
    </row>
    <row r="19" spans="1:6" ht="38.25" x14ac:dyDescent="0.2">
      <c r="A19" s="47" t="s">
        <v>517</v>
      </c>
      <c r="B19" s="47" t="s">
        <v>518</v>
      </c>
      <c r="C19" s="48" t="s">
        <v>68</v>
      </c>
      <c r="D19" s="48" t="s">
        <v>724</v>
      </c>
      <c r="E19" s="14"/>
      <c r="F19" s="293" t="str">
        <f t="shared" ref="F19:F33" si="1">IF(ISNUMBER(SEARCH("incl",$D19)),"-",IF(ISNUMBER(SEARCH("not r",$D19)),"-",IF(ISNUMBER(SEARCH("refer",$D19)),"-",IF(C19="sum","",$D19*$E19))))</f>
        <v>-</v>
      </c>
    </row>
    <row r="20" spans="1:6" ht="25.5" x14ac:dyDescent="0.2">
      <c r="A20" s="47" t="s">
        <v>519</v>
      </c>
      <c r="B20" s="47" t="s">
        <v>520</v>
      </c>
      <c r="C20" s="48" t="s">
        <v>68</v>
      </c>
      <c r="D20" s="48" t="s">
        <v>724</v>
      </c>
      <c r="E20" s="13"/>
      <c r="F20" s="293" t="str">
        <f t="shared" si="1"/>
        <v>-</v>
      </c>
    </row>
    <row r="21" spans="1:6" ht="51" x14ac:dyDescent="0.2">
      <c r="A21" s="47" t="s">
        <v>521</v>
      </c>
      <c r="B21" s="47" t="s">
        <v>522</v>
      </c>
      <c r="C21" s="48" t="s">
        <v>147</v>
      </c>
      <c r="D21" s="48" t="s">
        <v>724</v>
      </c>
      <c r="E21" s="14"/>
      <c r="F21" s="293" t="str">
        <f t="shared" si="1"/>
        <v>-</v>
      </c>
    </row>
    <row r="22" spans="1:6" ht="25.5" x14ac:dyDescent="0.2">
      <c r="A22" s="47" t="s">
        <v>523</v>
      </c>
      <c r="B22" s="47" t="s">
        <v>524</v>
      </c>
      <c r="C22" s="48" t="s">
        <v>147</v>
      </c>
      <c r="D22" s="48" t="s">
        <v>724</v>
      </c>
      <c r="E22" s="13"/>
      <c r="F22" s="293" t="str">
        <f t="shared" si="1"/>
        <v>-</v>
      </c>
    </row>
    <row r="23" spans="1:6" ht="25.5" x14ac:dyDescent="0.2">
      <c r="A23" s="47" t="s">
        <v>525</v>
      </c>
      <c r="B23" s="47" t="s">
        <v>526</v>
      </c>
      <c r="C23" s="48" t="s">
        <v>147</v>
      </c>
      <c r="D23" s="48" t="s">
        <v>724</v>
      </c>
      <c r="E23" s="14"/>
      <c r="F23" s="293" t="str">
        <f t="shared" si="1"/>
        <v>-</v>
      </c>
    </row>
    <row r="24" spans="1:6" ht="25.5" x14ac:dyDescent="0.2">
      <c r="A24" s="47" t="s">
        <v>527</v>
      </c>
      <c r="B24" s="47" t="s">
        <v>528</v>
      </c>
      <c r="C24" s="48" t="s">
        <v>147</v>
      </c>
      <c r="D24" s="48" t="s">
        <v>724</v>
      </c>
      <c r="E24" s="13"/>
      <c r="F24" s="293" t="str">
        <f t="shared" si="1"/>
        <v>-</v>
      </c>
    </row>
    <row r="25" spans="1:6" ht="25.5" x14ac:dyDescent="0.2">
      <c r="A25" s="47" t="s">
        <v>529</v>
      </c>
      <c r="B25" s="47" t="s">
        <v>530</v>
      </c>
      <c r="C25" s="48" t="s">
        <v>147</v>
      </c>
      <c r="D25" s="48" t="s">
        <v>724</v>
      </c>
      <c r="E25" s="14"/>
      <c r="F25" s="293" t="str">
        <f t="shared" si="1"/>
        <v>-</v>
      </c>
    </row>
    <row r="26" spans="1:6" ht="25.5" x14ac:dyDescent="0.2">
      <c r="A26" s="47" t="s">
        <v>531</v>
      </c>
      <c r="B26" s="47" t="s">
        <v>532</v>
      </c>
      <c r="C26" s="48" t="s">
        <v>147</v>
      </c>
      <c r="D26" s="48" t="s">
        <v>724</v>
      </c>
      <c r="E26" s="13"/>
      <c r="F26" s="293" t="str">
        <f t="shared" si="1"/>
        <v>-</v>
      </c>
    </row>
    <row r="27" spans="1:6" ht="25.5" x14ac:dyDescent="0.2">
      <c r="A27" s="47" t="s">
        <v>533</v>
      </c>
      <c r="B27" s="47" t="s">
        <v>534</v>
      </c>
      <c r="C27" s="48" t="s">
        <v>68</v>
      </c>
      <c r="D27" s="48" t="s">
        <v>724</v>
      </c>
      <c r="E27" s="14"/>
      <c r="F27" s="293" t="str">
        <f t="shared" si="1"/>
        <v>-</v>
      </c>
    </row>
    <row r="28" spans="1:6" ht="25.5" x14ac:dyDescent="0.2">
      <c r="A28" s="47" t="s">
        <v>535</v>
      </c>
      <c r="B28" s="47" t="s">
        <v>536</v>
      </c>
      <c r="C28" s="48" t="s">
        <v>158</v>
      </c>
      <c r="D28" s="48" t="s">
        <v>724</v>
      </c>
      <c r="E28" s="13"/>
      <c r="F28" s="293" t="str">
        <f t="shared" si="1"/>
        <v>-</v>
      </c>
    </row>
    <row r="29" spans="1:6" ht="25.5" x14ac:dyDescent="0.2">
      <c r="A29" s="47" t="s">
        <v>537</v>
      </c>
      <c r="B29" s="47" t="s">
        <v>538</v>
      </c>
      <c r="C29" s="48" t="s">
        <v>158</v>
      </c>
      <c r="D29" s="48" t="s">
        <v>724</v>
      </c>
      <c r="E29" s="14"/>
      <c r="F29" s="293" t="str">
        <f t="shared" si="1"/>
        <v>-</v>
      </c>
    </row>
    <row r="30" spans="1:6" ht="25.5" x14ac:dyDescent="0.2">
      <c r="A30" s="47" t="s">
        <v>539</v>
      </c>
      <c r="B30" s="47" t="s">
        <v>540</v>
      </c>
      <c r="C30" s="48" t="s">
        <v>147</v>
      </c>
      <c r="D30" s="48" t="s">
        <v>724</v>
      </c>
      <c r="E30" s="13"/>
      <c r="F30" s="293" t="str">
        <f t="shared" si="1"/>
        <v>-</v>
      </c>
    </row>
    <row r="31" spans="1:6" ht="25.5" x14ac:dyDescent="0.2">
      <c r="A31" s="47" t="s">
        <v>541</v>
      </c>
      <c r="B31" s="47" t="s">
        <v>542</v>
      </c>
      <c r="C31" s="48" t="s">
        <v>68</v>
      </c>
      <c r="D31" s="48" t="s">
        <v>724</v>
      </c>
      <c r="E31" s="14"/>
      <c r="F31" s="293" t="str">
        <f t="shared" si="1"/>
        <v>-</v>
      </c>
    </row>
    <row r="32" spans="1:6" ht="25.5" x14ac:dyDescent="0.2">
      <c r="A32" s="47" t="s">
        <v>543</v>
      </c>
      <c r="B32" s="47" t="s">
        <v>544</v>
      </c>
      <c r="C32" s="48" t="s">
        <v>68</v>
      </c>
      <c r="D32" s="48" t="s">
        <v>724</v>
      </c>
      <c r="E32" s="13"/>
      <c r="F32" s="293" t="str">
        <f t="shared" si="1"/>
        <v>-</v>
      </c>
    </row>
    <row r="33" spans="1:6" ht="25.5" x14ac:dyDescent="0.2">
      <c r="A33" s="47" t="s">
        <v>545</v>
      </c>
      <c r="B33" s="47" t="s">
        <v>546</v>
      </c>
      <c r="C33" s="48" t="s">
        <v>158</v>
      </c>
      <c r="D33" s="48" t="s">
        <v>724</v>
      </c>
      <c r="E33" s="14"/>
      <c r="F33" s="293" t="str">
        <f t="shared" si="1"/>
        <v>-</v>
      </c>
    </row>
    <row r="34" spans="1:6" x14ac:dyDescent="0.2">
      <c r="A34" s="412" t="s">
        <v>498</v>
      </c>
      <c r="B34" s="413"/>
      <c r="C34" s="413"/>
      <c r="D34" s="413"/>
      <c r="E34" s="414"/>
      <c r="F34" s="294">
        <f>SUM(F11:F33)</f>
        <v>0</v>
      </c>
    </row>
  </sheetData>
  <mergeCells count="1">
    <mergeCell ref="A34:E34"/>
  </mergeCells>
  <pageMargins left="0.7" right="0.7" top="0.75" bottom="0.75" header="0.3" footer="0.3"/>
  <pageSetup paperSize="9" orientation="portrait" r:id="rId1"/>
  <headerFooter>
    <oddFooter>&amp;A&amp;RPage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7:F25"/>
  <sheetViews>
    <sheetView view="pageBreakPreview" zoomScale="90" zoomScaleNormal="100" zoomScaleSheetLayoutView="90" zoomScalePageLayoutView="60" workbookViewId="0">
      <selection activeCell="J35" sqref="J35"/>
    </sheetView>
  </sheetViews>
  <sheetFormatPr defaultRowHeight="12.75" x14ac:dyDescent="0.2"/>
  <cols>
    <col min="2" max="2" width="35.7109375" customWidth="1"/>
    <col min="3" max="3" width="7" style="1" customWidth="1"/>
    <col min="4" max="4" width="11.42578125" style="1" customWidth="1"/>
    <col min="5" max="5" width="11.42578125" style="58" customWidth="1"/>
    <col min="6" max="6" width="11.42578125" style="295" customWidth="1"/>
  </cols>
  <sheetData>
    <row r="7" spans="1:6" x14ac:dyDescent="0.2">
      <c r="A7" s="5" t="s">
        <v>0</v>
      </c>
      <c r="B7" s="5" t="s">
        <v>1</v>
      </c>
      <c r="C7" s="5" t="s">
        <v>2</v>
      </c>
      <c r="D7" s="5" t="s">
        <v>3</v>
      </c>
      <c r="E7" s="53" t="s">
        <v>4</v>
      </c>
      <c r="F7" s="289" t="s">
        <v>5</v>
      </c>
    </row>
    <row r="8" spans="1:6" x14ac:dyDescent="0.2">
      <c r="A8" s="8"/>
      <c r="B8" s="8"/>
      <c r="C8" s="9"/>
      <c r="D8" s="9"/>
      <c r="E8" s="54" t="s">
        <v>6</v>
      </c>
      <c r="F8" s="290" t="s">
        <v>6</v>
      </c>
    </row>
    <row r="9" spans="1:6" x14ac:dyDescent="0.2">
      <c r="A9" s="42" t="s">
        <v>547</v>
      </c>
      <c r="B9" s="42" t="s">
        <v>548</v>
      </c>
      <c r="C9" s="42"/>
      <c r="D9" s="39"/>
      <c r="E9" s="64"/>
      <c r="F9" s="302"/>
    </row>
    <row r="10" spans="1:6" x14ac:dyDescent="0.2">
      <c r="A10" s="39"/>
      <c r="B10" s="83" t="s">
        <v>549</v>
      </c>
      <c r="C10" s="39"/>
      <c r="D10" s="39"/>
      <c r="E10" s="64"/>
      <c r="F10" s="302"/>
    </row>
    <row r="11" spans="1:6" ht="38.25" x14ac:dyDescent="0.2">
      <c r="A11" s="72" t="s">
        <v>550</v>
      </c>
      <c r="B11" s="72" t="s">
        <v>1116</v>
      </c>
      <c r="C11" s="72" t="s">
        <v>1141</v>
      </c>
      <c r="D11" s="72" t="s">
        <v>724</v>
      </c>
      <c r="E11" s="65"/>
      <c r="F11" s="293" t="str">
        <f t="shared" ref="F11:F15" si="0">IF(ISNUMBER(SEARCH("incl",$D11)),"-",IF(ISNUMBER(SEARCH("not r",$D11)),"-",IF(ISNUMBER(SEARCH("refer",$D11)),"-",IF(C11="sum","",$D11*$E11))))</f>
        <v>-</v>
      </c>
    </row>
    <row r="12" spans="1:6" ht="25.5" x14ac:dyDescent="0.2">
      <c r="A12" s="72" t="s">
        <v>551</v>
      </c>
      <c r="B12" s="72" t="s">
        <v>552</v>
      </c>
      <c r="C12" s="72" t="s">
        <v>1118</v>
      </c>
      <c r="D12" s="72" t="s">
        <v>724</v>
      </c>
      <c r="E12" s="64"/>
      <c r="F12" s="293" t="str">
        <f t="shared" si="0"/>
        <v>-</v>
      </c>
    </row>
    <row r="13" spans="1:6" ht="25.5" x14ac:dyDescent="0.2">
      <c r="A13" s="47" t="s">
        <v>553</v>
      </c>
      <c r="B13" s="47" t="s">
        <v>554</v>
      </c>
      <c r="C13" s="47" t="s">
        <v>1118</v>
      </c>
      <c r="D13" s="47" t="s">
        <v>724</v>
      </c>
      <c r="E13" s="65"/>
      <c r="F13" s="293" t="str">
        <f t="shared" si="0"/>
        <v>-</v>
      </c>
    </row>
    <row r="14" spans="1:6" ht="25.5" x14ac:dyDescent="0.2">
      <c r="A14" s="47" t="s">
        <v>555</v>
      </c>
      <c r="B14" s="47" t="s">
        <v>556</v>
      </c>
      <c r="C14" s="47" t="s">
        <v>1118</v>
      </c>
      <c r="D14" s="47" t="s">
        <v>724</v>
      </c>
      <c r="E14" s="64"/>
      <c r="F14" s="293" t="str">
        <f t="shared" si="0"/>
        <v>-</v>
      </c>
    </row>
    <row r="15" spans="1:6" ht="25.5" x14ac:dyDescent="0.2">
      <c r="A15" s="47" t="s">
        <v>557</v>
      </c>
      <c r="B15" s="47" t="s">
        <v>558</v>
      </c>
      <c r="C15" s="47" t="s">
        <v>1118</v>
      </c>
      <c r="D15" s="47" t="s">
        <v>724</v>
      </c>
      <c r="E15" s="65"/>
      <c r="F15" s="293" t="str">
        <f t="shared" si="0"/>
        <v>-</v>
      </c>
    </row>
    <row r="16" spans="1:6" ht="25.5" x14ac:dyDescent="0.2">
      <c r="A16" s="47"/>
      <c r="B16" s="83" t="s">
        <v>559</v>
      </c>
      <c r="C16" s="47"/>
      <c r="D16" s="47" t="s">
        <v>724</v>
      </c>
      <c r="E16" s="64"/>
      <c r="F16" s="296"/>
    </row>
    <row r="17" spans="1:6" ht="51" x14ac:dyDescent="0.2">
      <c r="A17" s="47" t="s">
        <v>560</v>
      </c>
      <c r="B17" s="47" t="s">
        <v>561</v>
      </c>
      <c r="C17" s="47" t="s">
        <v>11</v>
      </c>
      <c r="D17" s="47" t="s">
        <v>724</v>
      </c>
      <c r="E17" s="65"/>
      <c r="F17" s="293" t="str">
        <f t="shared" ref="F17:F19" si="1">IF(ISNUMBER(SEARCH("incl",$D17)),"-",IF(ISNUMBER(SEARCH("not r",$D17)),"-",IF(ISNUMBER(SEARCH("refer",$D17)),"-",IF(C17="sum","",$D17*$E17))))</f>
        <v>-</v>
      </c>
    </row>
    <row r="18" spans="1:6" ht="51" x14ac:dyDescent="0.2">
      <c r="A18" s="47" t="s">
        <v>562</v>
      </c>
      <c r="B18" s="47" t="s">
        <v>563</v>
      </c>
      <c r="C18" s="47" t="s">
        <v>147</v>
      </c>
      <c r="D18" s="47" t="s">
        <v>724</v>
      </c>
      <c r="E18" s="64"/>
      <c r="F18" s="293" t="str">
        <f t="shared" si="1"/>
        <v>-</v>
      </c>
    </row>
    <row r="19" spans="1:6" ht="25.5" x14ac:dyDescent="0.2">
      <c r="A19" s="47" t="s">
        <v>564</v>
      </c>
      <c r="B19" s="47" t="s">
        <v>565</v>
      </c>
      <c r="C19" s="47" t="s">
        <v>68</v>
      </c>
      <c r="D19" s="47" t="s">
        <v>724</v>
      </c>
      <c r="E19" s="65"/>
      <c r="F19" s="293" t="str">
        <f t="shared" si="1"/>
        <v>-</v>
      </c>
    </row>
    <row r="20" spans="1:6" x14ac:dyDescent="0.2">
      <c r="A20" s="47"/>
      <c r="B20" s="83" t="s">
        <v>566</v>
      </c>
      <c r="C20" s="47"/>
      <c r="D20" s="39"/>
      <c r="E20" s="64"/>
      <c r="F20" s="296"/>
    </row>
    <row r="21" spans="1:6" ht="38.25" x14ac:dyDescent="0.2">
      <c r="A21" s="47" t="s">
        <v>567</v>
      </c>
      <c r="B21" s="47" t="s">
        <v>568</v>
      </c>
      <c r="C21" s="47" t="s">
        <v>11</v>
      </c>
      <c r="D21" s="47" t="s">
        <v>724</v>
      </c>
      <c r="E21" s="65"/>
      <c r="F21" s="293" t="str">
        <f t="shared" ref="F21:F22" si="2">IF(ISNUMBER(SEARCH("incl",$D21)),"-",IF(ISNUMBER(SEARCH("not r",$D21)),"-",IF(ISNUMBER(SEARCH("refer",$D21)),"-",IF(C21="sum","",$D21*$E21))))</f>
        <v>-</v>
      </c>
    </row>
    <row r="22" spans="1:6" ht="38.25" x14ac:dyDescent="0.2">
      <c r="A22" s="47" t="s">
        <v>569</v>
      </c>
      <c r="B22" s="47" t="s">
        <v>570</v>
      </c>
      <c r="C22" s="47" t="s">
        <v>210</v>
      </c>
      <c r="D22" s="47" t="s">
        <v>724</v>
      </c>
      <c r="E22" s="64"/>
      <c r="F22" s="293" t="str">
        <f t="shared" si="2"/>
        <v>-</v>
      </c>
    </row>
    <row r="23" spans="1:6" x14ac:dyDescent="0.2">
      <c r="A23" s="43" t="s">
        <v>571</v>
      </c>
      <c r="B23" s="43"/>
      <c r="C23" s="42"/>
      <c r="D23" s="42"/>
      <c r="E23" s="66"/>
      <c r="F23" s="415"/>
    </row>
    <row r="24" spans="1:6" ht="25.5" x14ac:dyDescent="0.2">
      <c r="A24" s="43"/>
      <c r="B24" s="43"/>
      <c r="C24" s="96" t="s">
        <v>210</v>
      </c>
      <c r="D24" s="96" t="s">
        <v>724</v>
      </c>
      <c r="E24" s="66"/>
      <c r="F24" s="415"/>
    </row>
    <row r="25" spans="1:6" ht="12.75" customHeight="1" x14ac:dyDescent="0.2">
      <c r="A25" s="33" t="s">
        <v>572</v>
      </c>
      <c r="B25" s="34"/>
      <c r="C25" s="34"/>
      <c r="D25" s="34"/>
      <c r="E25" s="57"/>
      <c r="F25" s="294">
        <f>SUM(F11:F24)</f>
        <v>0</v>
      </c>
    </row>
  </sheetData>
  <mergeCells count="1">
    <mergeCell ref="F23:F24"/>
  </mergeCells>
  <pageMargins left="0.7" right="0.7" top="0.75" bottom="0.75" header="0.3" footer="0.3"/>
  <pageSetup paperSize="9" orientation="portrait" r:id="rId1"/>
  <headerFooter>
    <oddFooter>&amp;A&amp;RPage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5:M68"/>
  <sheetViews>
    <sheetView view="pageBreakPreview" zoomScale="90" zoomScaleNormal="100" zoomScaleSheetLayoutView="90" zoomScalePageLayoutView="60" workbookViewId="0">
      <selection activeCell="L25" sqref="L25"/>
    </sheetView>
  </sheetViews>
  <sheetFormatPr defaultRowHeight="12.75" x14ac:dyDescent="0.2"/>
  <cols>
    <col min="2" max="2" width="35.7109375" customWidth="1"/>
    <col min="3" max="3" width="7.85546875" style="1" customWidth="1"/>
    <col min="4" max="4" width="11.42578125" style="1" customWidth="1"/>
    <col min="5" max="5" width="11.42578125" style="58" customWidth="1"/>
    <col min="6" max="6" width="11.42578125" style="295" customWidth="1"/>
    <col min="7" max="7" width="3.140625" style="207" customWidth="1"/>
    <col min="8" max="8" width="11.42578125" style="1" customWidth="1"/>
    <col min="9" max="10" width="7.85546875" style="1" customWidth="1"/>
    <col min="11" max="11" width="9.140625" style="77"/>
  </cols>
  <sheetData>
    <row r="5" spans="1:11" x14ac:dyDescent="0.2">
      <c r="J5" s="114"/>
    </row>
    <row r="7" spans="1:11" x14ac:dyDescent="0.2">
      <c r="A7" s="5" t="s">
        <v>0</v>
      </c>
      <c r="B7" s="5" t="s">
        <v>1</v>
      </c>
      <c r="C7" s="5" t="s">
        <v>2</v>
      </c>
      <c r="D7" s="5" t="s">
        <v>3</v>
      </c>
      <c r="E7" s="53" t="s">
        <v>4</v>
      </c>
      <c r="F7" s="289" t="s">
        <v>5</v>
      </c>
      <c r="G7" s="203"/>
      <c r="H7" s="114"/>
      <c r="I7" s="114"/>
    </row>
    <row r="8" spans="1:11" x14ac:dyDescent="0.2">
      <c r="A8" s="8"/>
      <c r="B8" s="8"/>
      <c r="C8" s="9"/>
      <c r="D8" s="9"/>
      <c r="E8" s="54" t="s">
        <v>6</v>
      </c>
      <c r="F8" s="290" t="s">
        <v>6</v>
      </c>
      <c r="G8" s="204"/>
      <c r="H8" s="115"/>
      <c r="I8" s="115"/>
      <c r="J8" s="115"/>
    </row>
    <row r="9" spans="1:11" x14ac:dyDescent="0.2">
      <c r="A9" s="27" t="s">
        <v>573</v>
      </c>
      <c r="B9" s="27" t="s">
        <v>574</v>
      </c>
      <c r="C9" s="25"/>
      <c r="D9" s="30"/>
      <c r="E9" s="59"/>
      <c r="F9" s="300"/>
      <c r="G9" s="205"/>
      <c r="H9" s="136"/>
      <c r="I9" s="136"/>
      <c r="J9" s="136"/>
      <c r="K9" s="76" t="s">
        <v>1240</v>
      </c>
    </row>
    <row r="10" spans="1:11" ht="25.5" x14ac:dyDescent="0.2">
      <c r="A10" s="45" t="s">
        <v>575</v>
      </c>
      <c r="B10" s="45" t="s">
        <v>576</v>
      </c>
      <c r="C10" s="45" t="s">
        <v>68</v>
      </c>
      <c r="D10" s="46">
        <f>H10</f>
        <v>8</v>
      </c>
      <c r="E10" s="60"/>
      <c r="F10" s="293">
        <f t="shared" ref="F10:F66" si="0">IF(ISNUMBER(SEARCH("incl",$D10)),"-",IF(ISNUMBER(SEARCH("not r",$D10)),"-",IF(ISNUMBER(SEARCH("refer",$D10)),"-",IF(C10="sum","",$D10*$E10))))</f>
        <v>0</v>
      </c>
      <c r="G10" s="206"/>
      <c r="H10" s="116">
        <f>I10*K10</f>
        <v>8</v>
      </c>
      <c r="I10" s="88">
        <v>1</v>
      </c>
      <c r="J10" s="88" t="s">
        <v>1239</v>
      </c>
      <c r="K10" s="116">
        <f>'Section B'!$H20</f>
        <v>8</v>
      </c>
    </row>
    <row r="11" spans="1:11" ht="25.5" x14ac:dyDescent="0.2">
      <c r="A11" s="45" t="s">
        <v>577</v>
      </c>
      <c r="B11" s="45" t="s">
        <v>578</v>
      </c>
      <c r="C11" s="45" t="s">
        <v>68</v>
      </c>
      <c r="D11" s="46">
        <f>H11</f>
        <v>0</v>
      </c>
      <c r="E11" s="60"/>
      <c r="F11" s="293">
        <f t="shared" si="0"/>
        <v>0</v>
      </c>
      <c r="G11" s="206"/>
      <c r="H11" s="116">
        <f t="shared" ref="H11:H13" si="1">I11*K11</f>
        <v>0</v>
      </c>
      <c r="I11" s="88">
        <v>2</v>
      </c>
      <c r="J11" s="88" t="s">
        <v>1239</v>
      </c>
      <c r="K11" s="116">
        <f>'Section B'!$H21</f>
        <v>0</v>
      </c>
    </row>
    <row r="12" spans="1:11" ht="25.5" x14ac:dyDescent="0.2">
      <c r="A12" s="47" t="s">
        <v>579</v>
      </c>
      <c r="B12" s="47" t="s">
        <v>580</v>
      </c>
      <c r="C12" s="47" t="s">
        <v>68</v>
      </c>
      <c r="D12" s="48" t="s">
        <v>1111</v>
      </c>
      <c r="E12" s="60"/>
      <c r="F12" s="293" t="str">
        <f t="shared" si="0"/>
        <v>-</v>
      </c>
      <c r="G12" s="206"/>
      <c r="H12" s="116">
        <f t="shared" si="1"/>
        <v>0</v>
      </c>
      <c r="I12" s="88"/>
      <c r="J12" s="88"/>
      <c r="K12" s="116">
        <f>'Section B'!$H22</f>
        <v>0</v>
      </c>
    </row>
    <row r="13" spans="1:11" ht="25.5" x14ac:dyDescent="0.2">
      <c r="A13" s="47" t="s">
        <v>581</v>
      </c>
      <c r="B13" s="47" t="s">
        <v>582</v>
      </c>
      <c r="C13" s="47" t="s">
        <v>68</v>
      </c>
      <c r="D13" s="48" t="s">
        <v>1111</v>
      </c>
      <c r="E13" s="60"/>
      <c r="F13" s="293" t="str">
        <f t="shared" si="0"/>
        <v>-</v>
      </c>
      <c r="G13" s="206"/>
      <c r="H13" s="116">
        <f t="shared" si="1"/>
        <v>0</v>
      </c>
      <c r="I13" s="88"/>
      <c r="J13" s="88"/>
      <c r="K13" s="116">
        <f>'Section B'!$H23</f>
        <v>0</v>
      </c>
    </row>
    <row r="14" spans="1:11" ht="38.25" x14ac:dyDescent="0.2">
      <c r="A14" s="45" t="s">
        <v>583</v>
      </c>
      <c r="B14" s="45" t="s">
        <v>1242</v>
      </c>
      <c r="C14" s="45" t="s">
        <v>68</v>
      </c>
      <c r="D14" s="46">
        <f>ROUNDUP(H14,0)</f>
        <v>15</v>
      </c>
      <c r="E14" s="75"/>
      <c r="F14" s="293">
        <f t="shared" si="0"/>
        <v>0</v>
      </c>
      <c r="G14" s="206"/>
      <c r="H14" s="116">
        <f>K14/I14</f>
        <v>15</v>
      </c>
      <c r="I14" s="88">
        <v>2</v>
      </c>
      <c r="J14" s="88" t="s">
        <v>1241</v>
      </c>
      <c r="K14" s="116">
        <f>'Section C'!H40</f>
        <v>30</v>
      </c>
    </row>
    <row r="15" spans="1:11" ht="25.5" x14ac:dyDescent="0.2">
      <c r="A15" s="47" t="s">
        <v>584</v>
      </c>
      <c r="B15" s="47" t="s">
        <v>585</v>
      </c>
      <c r="C15" s="47" t="s">
        <v>68</v>
      </c>
      <c r="D15" s="48" t="s">
        <v>1111</v>
      </c>
      <c r="E15" s="60"/>
      <c r="F15" s="293" t="str">
        <f t="shared" si="0"/>
        <v>-</v>
      </c>
      <c r="G15" s="206"/>
      <c r="H15" s="88"/>
      <c r="I15" s="88"/>
      <c r="J15" s="88"/>
    </row>
    <row r="16" spans="1:11" ht="25.5" x14ac:dyDescent="0.2">
      <c r="A16" s="47" t="s">
        <v>586</v>
      </c>
      <c r="B16" s="47" t="s">
        <v>587</v>
      </c>
      <c r="C16" s="47" t="s">
        <v>68</v>
      </c>
      <c r="D16" s="48" t="s">
        <v>1111</v>
      </c>
      <c r="E16" s="60"/>
      <c r="F16" s="293" t="str">
        <f t="shared" si="0"/>
        <v>-</v>
      </c>
      <c r="G16" s="206"/>
      <c r="H16" s="88"/>
      <c r="I16" s="88"/>
      <c r="J16" s="88"/>
    </row>
    <row r="17" spans="1:13" ht="25.5" x14ac:dyDescent="0.2">
      <c r="A17" s="47" t="s">
        <v>588</v>
      </c>
      <c r="B17" s="47" t="s">
        <v>589</v>
      </c>
      <c r="C17" s="47" t="s">
        <v>68</v>
      </c>
      <c r="D17" s="48" t="s">
        <v>1111</v>
      </c>
      <c r="E17" s="60"/>
      <c r="F17" s="293" t="str">
        <f t="shared" si="0"/>
        <v>-</v>
      </c>
      <c r="G17" s="206"/>
      <c r="H17" s="88"/>
      <c r="I17" s="88"/>
      <c r="J17" s="88"/>
    </row>
    <row r="18" spans="1:13" ht="25.5" x14ac:dyDescent="0.2">
      <c r="A18" s="47" t="s">
        <v>590</v>
      </c>
      <c r="B18" s="49" t="s">
        <v>591</v>
      </c>
      <c r="C18" s="47" t="s">
        <v>68</v>
      </c>
      <c r="D18" s="48" t="s">
        <v>1111</v>
      </c>
      <c r="E18" s="60"/>
      <c r="F18" s="293" t="str">
        <f t="shared" si="0"/>
        <v>-</v>
      </c>
      <c r="G18" s="206"/>
      <c r="H18" s="88"/>
      <c r="I18" s="88"/>
      <c r="J18" s="88"/>
    </row>
    <row r="19" spans="1:13" ht="25.5" x14ac:dyDescent="0.2">
      <c r="A19" s="47" t="s">
        <v>592</v>
      </c>
      <c r="B19" s="47" t="s">
        <v>593</v>
      </c>
      <c r="C19" s="47" t="s">
        <v>68</v>
      </c>
      <c r="D19" s="48" t="s">
        <v>1111</v>
      </c>
      <c r="E19" s="60"/>
      <c r="F19" s="293" t="str">
        <f t="shared" si="0"/>
        <v>-</v>
      </c>
      <c r="G19" s="206"/>
      <c r="H19" s="88"/>
      <c r="I19" s="88"/>
      <c r="J19" s="88"/>
      <c r="L19" s="77"/>
    </row>
    <row r="20" spans="1:13" ht="25.5" x14ac:dyDescent="0.2">
      <c r="A20" s="47" t="s">
        <v>594</v>
      </c>
      <c r="B20" s="47" t="s">
        <v>595</v>
      </c>
      <c r="C20" s="47" t="s">
        <v>68</v>
      </c>
      <c r="D20" s="48" t="s">
        <v>1111</v>
      </c>
      <c r="E20" s="60"/>
      <c r="F20" s="293" t="str">
        <f t="shared" si="0"/>
        <v>-</v>
      </c>
      <c r="G20" s="206"/>
      <c r="H20" s="88"/>
      <c r="I20" s="88"/>
      <c r="J20" s="88"/>
    </row>
    <row r="21" spans="1:13" ht="25.5" x14ac:dyDescent="0.2">
      <c r="A21" s="47" t="s">
        <v>596</v>
      </c>
      <c r="B21" s="47" t="s">
        <v>597</v>
      </c>
      <c r="C21" s="47" t="s">
        <v>68</v>
      </c>
      <c r="D21" s="48" t="s">
        <v>1111</v>
      </c>
      <c r="E21" s="60"/>
      <c r="F21" s="293" t="str">
        <f t="shared" si="0"/>
        <v>-</v>
      </c>
      <c r="G21" s="206"/>
      <c r="H21" s="88"/>
      <c r="I21" s="88"/>
      <c r="J21" s="88"/>
    </row>
    <row r="22" spans="1:13" ht="25.5" x14ac:dyDescent="0.2">
      <c r="A22" s="47" t="s">
        <v>598</v>
      </c>
      <c r="B22" s="47" t="s">
        <v>599</v>
      </c>
      <c r="C22" s="47" t="s">
        <v>68</v>
      </c>
      <c r="D22" s="48" t="s">
        <v>1111</v>
      </c>
      <c r="E22" s="60"/>
      <c r="F22" s="293" t="str">
        <f t="shared" si="0"/>
        <v>-</v>
      </c>
      <c r="G22" s="206"/>
      <c r="H22" s="88"/>
      <c r="I22" s="88"/>
      <c r="J22" s="88"/>
    </row>
    <row r="23" spans="1:13" ht="25.5" x14ac:dyDescent="0.2">
      <c r="A23" s="47" t="s">
        <v>600</v>
      </c>
      <c r="B23" s="47" t="s">
        <v>601</v>
      </c>
      <c r="C23" s="47" t="s">
        <v>210</v>
      </c>
      <c r="D23" s="48" t="s">
        <v>1111</v>
      </c>
      <c r="E23" s="60"/>
      <c r="F23" s="293" t="str">
        <f t="shared" si="0"/>
        <v>-</v>
      </c>
      <c r="G23" s="206"/>
    </row>
    <row r="24" spans="1:13" ht="25.5" x14ac:dyDescent="0.2">
      <c r="A24" s="47" t="s">
        <v>602</v>
      </c>
      <c r="B24" s="47" t="s">
        <v>603</v>
      </c>
      <c r="C24" s="47" t="s">
        <v>68</v>
      </c>
      <c r="D24" s="48" t="s">
        <v>1111</v>
      </c>
      <c r="E24" s="60"/>
      <c r="F24" s="293" t="str">
        <f t="shared" si="0"/>
        <v>-</v>
      </c>
      <c r="G24" s="206"/>
      <c r="K24" s="77" t="s">
        <v>1154</v>
      </c>
      <c r="L24" t="s">
        <v>1337</v>
      </c>
    </row>
    <row r="25" spans="1:13" ht="38.25" x14ac:dyDescent="0.2">
      <c r="A25" s="45" t="s">
        <v>604</v>
      </c>
      <c r="B25" s="45" t="s">
        <v>1133</v>
      </c>
      <c r="C25" s="45" t="s">
        <v>68</v>
      </c>
      <c r="D25" s="46">
        <f>H25</f>
        <v>11</v>
      </c>
      <c r="E25" s="60"/>
      <c r="F25" s="293">
        <f t="shared" si="0"/>
        <v>0</v>
      </c>
      <c r="G25" s="206"/>
      <c r="H25" s="94">
        <f>I25*(K25-L25)</f>
        <v>11</v>
      </c>
      <c r="I25" s="88">
        <v>1</v>
      </c>
      <c r="J25" s="88" t="s">
        <v>1338</v>
      </c>
      <c r="K25" s="77">
        <f>'Section D'!$H$15+'Section D'!$H$26+'Section D'!$H$27+'Section D'!$H$36</f>
        <v>13</v>
      </c>
      <c r="L25">
        <v>2</v>
      </c>
    </row>
    <row r="26" spans="1:13" ht="25.5" x14ac:dyDescent="0.2">
      <c r="A26" s="47" t="s">
        <v>605</v>
      </c>
      <c r="B26" s="47" t="s">
        <v>606</v>
      </c>
      <c r="C26" s="47" t="s">
        <v>68</v>
      </c>
      <c r="D26" s="48" t="s">
        <v>1111</v>
      </c>
      <c r="E26" s="60"/>
      <c r="F26" s="293" t="str">
        <f t="shared" si="0"/>
        <v>-</v>
      </c>
      <c r="G26" s="206"/>
      <c r="H26" s="88"/>
      <c r="I26" s="88"/>
      <c r="J26" s="88"/>
      <c r="K26" s="88"/>
      <c r="L26" s="88"/>
      <c r="M26" s="88"/>
    </row>
    <row r="27" spans="1:13" ht="25.5" x14ac:dyDescent="0.2">
      <c r="A27" s="47" t="s">
        <v>607</v>
      </c>
      <c r="B27" s="47" t="s">
        <v>608</v>
      </c>
      <c r="C27" s="47" t="s">
        <v>68</v>
      </c>
      <c r="D27" s="48" t="s">
        <v>1111</v>
      </c>
      <c r="E27" s="60"/>
      <c r="F27" s="293" t="str">
        <f t="shared" si="0"/>
        <v>-</v>
      </c>
      <c r="G27" s="206"/>
      <c r="H27" s="88"/>
      <c r="I27" s="88"/>
      <c r="J27" s="88"/>
      <c r="K27" s="194" t="s">
        <v>1154</v>
      </c>
      <c r="L27" s="3" t="s">
        <v>1153</v>
      </c>
    </row>
    <row r="28" spans="1:13" ht="12.75" customHeight="1" x14ac:dyDescent="0.25">
      <c r="A28" s="26" t="s">
        <v>609</v>
      </c>
      <c r="B28" s="84" t="s">
        <v>1132</v>
      </c>
      <c r="C28" s="26" t="s">
        <v>68</v>
      </c>
      <c r="D28" s="237">
        <f>ROUNDUP(H28,-1)</f>
        <v>20</v>
      </c>
      <c r="E28" s="85"/>
      <c r="F28" s="293">
        <f t="shared" si="0"/>
        <v>0</v>
      </c>
      <c r="G28" s="206"/>
      <c r="H28" s="94">
        <f>I28*K28</f>
        <v>13</v>
      </c>
      <c r="I28" s="94">
        <v>1</v>
      </c>
      <c r="J28" s="94" t="s">
        <v>1243</v>
      </c>
      <c r="K28" s="200">
        <f>'Section D'!$H$15+'Section D'!$H$26+'Section D'!$H$27+'Section D'!$H$36</f>
        <v>13</v>
      </c>
      <c r="L28" s="3"/>
    </row>
    <row r="29" spans="1:13" x14ac:dyDescent="0.2">
      <c r="A29" s="39"/>
      <c r="B29" s="18" t="s">
        <v>610</v>
      </c>
      <c r="C29" s="39"/>
      <c r="D29" s="17"/>
      <c r="E29" s="61"/>
      <c r="F29" s="296"/>
      <c r="G29" s="206"/>
      <c r="H29" s="88"/>
      <c r="I29" s="88"/>
      <c r="J29" s="88"/>
    </row>
    <row r="30" spans="1:13" ht="33" customHeight="1" x14ac:dyDescent="0.2">
      <c r="A30" s="47" t="s">
        <v>611</v>
      </c>
      <c r="B30" s="47" t="s">
        <v>612</v>
      </c>
      <c r="C30" s="47" t="s">
        <v>68</v>
      </c>
      <c r="D30" s="48" t="s">
        <v>1111</v>
      </c>
      <c r="E30" s="60"/>
      <c r="F30" s="293" t="str">
        <f t="shared" si="0"/>
        <v>-</v>
      </c>
      <c r="G30" s="206"/>
      <c r="H30" s="88"/>
      <c r="I30" s="88"/>
      <c r="J30" s="88"/>
    </row>
    <row r="31" spans="1:13" x14ac:dyDescent="0.2">
      <c r="A31" s="47"/>
      <c r="B31" s="49" t="s">
        <v>613</v>
      </c>
      <c r="C31" s="47"/>
      <c r="D31" s="48"/>
      <c r="E31" s="60"/>
      <c r="F31" s="293">
        <f t="shared" si="0"/>
        <v>0</v>
      </c>
      <c r="G31" s="206"/>
      <c r="H31" s="88"/>
      <c r="I31" s="88"/>
      <c r="J31" s="88"/>
    </row>
    <row r="32" spans="1:13" ht="38.25" x14ac:dyDescent="0.2">
      <c r="A32" s="47" t="s">
        <v>614</v>
      </c>
      <c r="B32" s="47" t="s">
        <v>615</v>
      </c>
      <c r="C32" s="47" t="s">
        <v>182</v>
      </c>
      <c r="D32" s="48" t="s">
        <v>1111</v>
      </c>
      <c r="E32" s="60"/>
      <c r="F32" s="293" t="str">
        <f t="shared" si="0"/>
        <v>-</v>
      </c>
      <c r="G32" s="206"/>
      <c r="H32" s="88"/>
      <c r="I32" s="88"/>
      <c r="J32" s="88"/>
    </row>
    <row r="33" spans="1:10" ht="38.25" x14ac:dyDescent="0.2">
      <c r="A33" s="47" t="s">
        <v>616</v>
      </c>
      <c r="B33" s="47" t="s">
        <v>617</v>
      </c>
      <c r="C33" s="47" t="s">
        <v>182</v>
      </c>
      <c r="D33" s="48" t="s">
        <v>1111</v>
      </c>
      <c r="E33" s="60"/>
      <c r="F33" s="293" t="str">
        <f t="shared" si="0"/>
        <v>-</v>
      </c>
      <c r="G33" s="206"/>
      <c r="H33" s="88"/>
      <c r="I33" s="88"/>
      <c r="J33" s="88"/>
    </row>
    <row r="34" spans="1:10" ht="25.5" x14ac:dyDescent="0.2">
      <c r="A34" s="47" t="s">
        <v>618</v>
      </c>
      <c r="B34" s="47" t="s">
        <v>619</v>
      </c>
      <c r="C34" s="47" t="s">
        <v>182</v>
      </c>
      <c r="D34" s="48" t="s">
        <v>1111</v>
      </c>
      <c r="E34" s="60"/>
      <c r="F34" s="293" t="str">
        <f t="shared" si="0"/>
        <v>-</v>
      </c>
      <c r="G34" s="206"/>
      <c r="H34" s="88"/>
      <c r="I34" s="88"/>
      <c r="J34" s="88"/>
    </row>
    <row r="35" spans="1:10" ht="25.5" x14ac:dyDescent="0.2">
      <c r="A35" s="47" t="s">
        <v>620</v>
      </c>
      <c r="B35" s="47" t="s">
        <v>621</v>
      </c>
      <c r="C35" s="47" t="s">
        <v>182</v>
      </c>
      <c r="D35" s="48" t="s">
        <v>1111</v>
      </c>
      <c r="E35" s="60"/>
      <c r="F35" s="293" t="str">
        <f t="shared" si="0"/>
        <v>-</v>
      </c>
      <c r="G35" s="206"/>
      <c r="H35" s="88"/>
      <c r="I35" s="88"/>
      <c r="J35" s="88"/>
    </row>
    <row r="36" spans="1:10" ht="51" x14ac:dyDescent="0.2">
      <c r="A36" s="47" t="s">
        <v>622</v>
      </c>
      <c r="B36" s="47" t="s">
        <v>623</v>
      </c>
      <c r="C36" s="47" t="s">
        <v>182</v>
      </c>
      <c r="D36" s="48" t="s">
        <v>1111</v>
      </c>
      <c r="E36" s="60"/>
      <c r="F36" s="293" t="str">
        <f t="shared" si="0"/>
        <v>-</v>
      </c>
      <c r="G36" s="206"/>
      <c r="H36" s="88"/>
      <c r="I36" s="88"/>
      <c r="J36" s="88"/>
    </row>
    <row r="37" spans="1:10" ht="38.25" x14ac:dyDescent="0.2">
      <c r="A37" s="47" t="s">
        <v>624</v>
      </c>
      <c r="B37" s="47" t="s">
        <v>625</v>
      </c>
      <c r="C37" s="47" t="s">
        <v>182</v>
      </c>
      <c r="D37" s="48" t="s">
        <v>1111</v>
      </c>
      <c r="E37" s="60"/>
      <c r="F37" s="293" t="str">
        <f t="shared" si="0"/>
        <v>-</v>
      </c>
      <c r="G37" s="206"/>
      <c r="H37" s="88"/>
      <c r="I37" s="88"/>
      <c r="J37" s="88"/>
    </row>
    <row r="38" spans="1:10" ht="25.5" x14ac:dyDescent="0.2">
      <c r="A38" s="47" t="s">
        <v>626</v>
      </c>
      <c r="B38" s="47" t="s">
        <v>627</v>
      </c>
      <c r="C38" s="47" t="s">
        <v>182</v>
      </c>
      <c r="D38" s="48" t="s">
        <v>1111</v>
      </c>
      <c r="E38" s="60"/>
      <c r="F38" s="293" t="str">
        <f t="shared" si="0"/>
        <v>-</v>
      </c>
      <c r="G38" s="206"/>
      <c r="H38" s="88"/>
      <c r="I38" s="88"/>
      <c r="J38" s="88"/>
    </row>
    <row r="39" spans="1:10" ht="25.5" x14ac:dyDescent="0.2">
      <c r="A39" s="47" t="s">
        <v>628</v>
      </c>
      <c r="B39" s="47" t="s">
        <v>629</v>
      </c>
      <c r="C39" s="47" t="s">
        <v>182</v>
      </c>
      <c r="D39" s="48" t="s">
        <v>1111</v>
      </c>
      <c r="E39" s="60"/>
      <c r="F39" s="293" t="str">
        <f t="shared" si="0"/>
        <v>-</v>
      </c>
      <c r="G39" s="206"/>
      <c r="H39" s="88"/>
      <c r="I39" s="88"/>
      <c r="J39" s="88"/>
    </row>
    <row r="40" spans="1:10" ht="51" x14ac:dyDescent="0.2">
      <c r="A40" s="71"/>
      <c r="B40" s="71" t="s">
        <v>630</v>
      </c>
      <c r="C40" s="39"/>
      <c r="D40" s="36"/>
      <c r="E40" s="60"/>
      <c r="F40" s="293">
        <f t="shared" si="0"/>
        <v>0</v>
      </c>
      <c r="G40" s="206"/>
      <c r="H40" s="88"/>
      <c r="I40" s="88"/>
      <c r="J40" s="88"/>
    </row>
    <row r="41" spans="1:10" x14ac:dyDescent="0.2">
      <c r="A41" s="39"/>
      <c r="B41" s="12" t="s">
        <v>631</v>
      </c>
      <c r="C41" s="39"/>
      <c r="D41" s="36"/>
      <c r="E41" s="60"/>
      <c r="F41" s="296"/>
      <c r="G41" s="206"/>
      <c r="H41" s="88"/>
      <c r="I41" s="88"/>
      <c r="J41" s="88"/>
    </row>
    <row r="42" spans="1:10" ht="25.5" x14ac:dyDescent="0.2">
      <c r="A42" s="47" t="s">
        <v>632</v>
      </c>
      <c r="B42" s="47" t="s">
        <v>633</v>
      </c>
      <c r="C42" s="47" t="s">
        <v>68</v>
      </c>
      <c r="D42" s="48" t="s">
        <v>1111</v>
      </c>
      <c r="E42" s="60"/>
      <c r="F42" s="293" t="str">
        <f t="shared" si="0"/>
        <v>-</v>
      </c>
      <c r="G42" s="206"/>
      <c r="H42" s="88"/>
      <c r="I42" s="88"/>
      <c r="J42" s="88"/>
    </row>
    <row r="43" spans="1:10" ht="38.25" x14ac:dyDescent="0.2">
      <c r="A43" s="47" t="s">
        <v>634</v>
      </c>
      <c r="B43" s="47" t="s">
        <v>635</v>
      </c>
      <c r="C43" s="47" t="s">
        <v>163</v>
      </c>
      <c r="D43" s="48" t="s">
        <v>1111</v>
      </c>
      <c r="E43" s="60"/>
      <c r="F43" s="293" t="str">
        <f t="shared" si="0"/>
        <v>-</v>
      </c>
      <c r="G43" s="206"/>
      <c r="H43" s="88"/>
      <c r="I43" s="88"/>
      <c r="J43" s="88"/>
    </row>
    <row r="44" spans="1:10" ht="25.5" x14ac:dyDescent="0.2">
      <c r="A44" s="47" t="s">
        <v>636</v>
      </c>
      <c r="B44" s="47" t="s">
        <v>637</v>
      </c>
      <c r="C44" s="47" t="s">
        <v>68</v>
      </c>
      <c r="D44" s="48" t="s">
        <v>1111</v>
      </c>
      <c r="E44" s="60"/>
      <c r="F44" s="293" t="str">
        <f t="shared" si="0"/>
        <v>-</v>
      </c>
      <c r="G44" s="206"/>
      <c r="H44" s="88"/>
      <c r="I44" s="88"/>
      <c r="J44" s="88"/>
    </row>
    <row r="45" spans="1:10" ht="25.5" x14ac:dyDescent="0.2">
      <c r="A45" s="47" t="s">
        <v>638</v>
      </c>
      <c r="B45" s="47" t="s">
        <v>639</v>
      </c>
      <c r="C45" s="47" t="s">
        <v>68</v>
      </c>
      <c r="D45" s="48" t="s">
        <v>1111</v>
      </c>
      <c r="E45" s="60"/>
      <c r="F45" s="293" t="str">
        <f t="shared" si="0"/>
        <v>-</v>
      </c>
      <c r="G45" s="206"/>
      <c r="H45" s="88"/>
      <c r="I45" s="88"/>
      <c r="J45" s="88"/>
    </row>
    <row r="46" spans="1:10" ht="25.5" x14ac:dyDescent="0.2">
      <c r="A46" s="47" t="s">
        <v>640</v>
      </c>
      <c r="B46" s="47" t="s">
        <v>641</v>
      </c>
      <c r="C46" s="47" t="s">
        <v>68</v>
      </c>
      <c r="D46" s="48" t="s">
        <v>1111</v>
      </c>
      <c r="E46" s="60"/>
      <c r="F46" s="293" t="str">
        <f t="shared" si="0"/>
        <v>-</v>
      </c>
      <c r="G46" s="206"/>
      <c r="H46" s="88"/>
      <c r="I46" s="88"/>
      <c r="J46" s="88"/>
    </row>
    <row r="47" spans="1:10" ht="25.5" x14ac:dyDescent="0.2">
      <c r="A47" s="47" t="s">
        <v>642</v>
      </c>
      <c r="B47" s="47" t="s">
        <v>643</v>
      </c>
      <c r="C47" s="47" t="s">
        <v>11</v>
      </c>
      <c r="D47" s="48" t="s">
        <v>1111</v>
      </c>
      <c r="E47" s="60"/>
      <c r="F47" s="293" t="str">
        <f t="shared" si="0"/>
        <v>-</v>
      </c>
      <c r="G47" s="206"/>
      <c r="H47" s="88"/>
      <c r="I47" s="88"/>
      <c r="J47" s="88"/>
    </row>
    <row r="48" spans="1:10" ht="38.25" x14ac:dyDescent="0.2">
      <c r="A48" s="47" t="s">
        <v>644</v>
      </c>
      <c r="B48" s="47" t="s">
        <v>645</v>
      </c>
      <c r="C48" s="47" t="s">
        <v>68</v>
      </c>
      <c r="D48" s="48" t="s">
        <v>1111</v>
      </c>
      <c r="E48" s="60"/>
      <c r="F48" s="293" t="str">
        <f t="shared" si="0"/>
        <v>-</v>
      </c>
      <c r="G48" s="206"/>
      <c r="H48" s="88"/>
      <c r="I48" s="88"/>
      <c r="J48" s="88"/>
    </row>
    <row r="49" spans="1:10" ht="12.75" customHeight="1" x14ac:dyDescent="0.2">
      <c r="A49" s="47" t="s">
        <v>646</v>
      </c>
      <c r="B49" s="47" t="s">
        <v>647</v>
      </c>
      <c r="C49" s="47" t="s">
        <v>68</v>
      </c>
      <c r="D49" s="51" t="s">
        <v>1111</v>
      </c>
      <c r="E49" s="60"/>
      <c r="F49" s="293" t="str">
        <f t="shared" si="0"/>
        <v>-</v>
      </c>
      <c r="G49" s="206"/>
      <c r="H49" s="88"/>
      <c r="I49" s="88"/>
      <c r="J49" s="88"/>
    </row>
    <row r="50" spans="1:10" ht="25.5" x14ac:dyDescent="0.2">
      <c r="A50" s="47"/>
      <c r="B50" s="172" t="s">
        <v>648</v>
      </c>
      <c r="C50" s="47"/>
      <c r="D50" s="51" t="s">
        <v>1111</v>
      </c>
      <c r="E50" s="60"/>
      <c r="F50" s="296"/>
      <c r="G50" s="206"/>
      <c r="H50" s="88"/>
      <c r="I50" s="88"/>
      <c r="J50" s="88"/>
    </row>
    <row r="51" spans="1:10" ht="25.5" x14ac:dyDescent="0.2">
      <c r="A51" s="47" t="s">
        <v>649</v>
      </c>
      <c r="B51" s="47" t="s">
        <v>633</v>
      </c>
      <c r="C51" s="47" t="s">
        <v>68</v>
      </c>
      <c r="D51" s="51" t="s">
        <v>1111</v>
      </c>
      <c r="E51" s="61"/>
      <c r="F51" s="293" t="str">
        <f t="shared" si="0"/>
        <v>-</v>
      </c>
      <c r="G51" s="206"/>
      <c r="H51" s="88"/>
      <c r="I51" s="88"/>
      <c r="J51" s="88"/>
    </row>
    <row r="52" spans="1:10" ht="51" x14ac:dyDescent="0.2">
      <c r="A52" s="47" t="s">
        <v>650</v>
      </c>
      <c r="B52" s="47" t="s">
        <v>651</v>
      </c>
      <c r="C52" s="47" t="s">
        <v>68</v>
      </c>
      <c r="D52" s="51" t="s">
        <v>1111</v>
      </c>
      <c r="E52" s="60"/>
      <c r="F52" s="293" t="str">
        <f t="shared" si="0"/>
        <v>-</v>
      </c>
      <c r="G52" s="206"/>
      <c r="H52" s="88"/>
      <c r="I52" s="88"/>
      <c r="J52" s="88"/>
    </row>
    <row r="53" spans="1:10" ht="38.25" x14ac:dyDescent="0.2">
      <c r="A53" s="47" t="s">
        <v>652</v>
      </c>
      <c r="B53" s="47" t="s">
        <v>653</v>
      </c>
      <c r="C53" s="47" t="s">
        <v>11</v>
      </c>
      <c r="D53" s="48" t="s">
        <v>1111</v>
      </c>
      <c r="E53" s="60"/>
      <c r="F53" s="293" t="str">
        <f t="shared" si="0"/>
        <v>-</v>
      </c>
      <c r="G53" s="206"/>
      <c r="H53" s="88"/>
      <c r="I53" s="88"/>
      <c r="J53" s="88"/>
    </row>
    <row r="54" spans="1:10" ht="25.5" x14ac:dyDescent="0.2">
      <c r="A54" s="39"/>
      <c r="B54" s="12" t="s">
        <v>654</v>
      </c>
      <c r="C54" s="47" t="s">
        <v>68</v>
      </c>
      <c r="D54" s="48" t="s">
        <v>1111</v>
      </c>
      <c r="E54" s="60"/>
      <c r="F54" s="296"/>
      <c r="G54" s="206"/>
      <c r="H54" s="88"/>
      <c r="I54" s="88"/>
      <c r="J54" s="88"/>
    </row>
    <row r="55" spans="1:10" ht="63.75" x14ac:dyDescent="0.2">
      <c r="A55" s="47" t="s">
        <v>655</v>
      </c>
      <c r="B55" s="47" t="s">
        <v>656</v>
      </c>
      <c r="C55" s="47" t="s">
        <v>68</v>
      </c>
      <c r="D55" s="48" t="s">
        <v>1111</v>
      </c>
      <c r="E55" s="60"/>
      <c r="F55" s="293" t="str">
        <f t="shared" si="0"/>
        <v>-</v>
      </c>
      <c r="G55" s="206"/>
      <c r="H55" s="88"/>
      <c r="I55" s="88"/>
      <c r="J55" s="88"/>
    </row>
    <row r="56" spans="1:10" ht="63.75" x14ac:dyDescent="0.2">
      <c r="A56" s="47" t="s">
        <v>657</v>
      </c>
      <c r="B56" s="47" t="s">
        <v>658</v>
      </c>
      <c r="C56" s="47" t="s">
        <v>68</v>
      </c>
      <c r="D56" s="48" t="s">
        <v>1111</v>
      </c>
      <c r="E56" s="60"/>
      <c r="F56" s="293" t="str">
        <f t="shared" si="0"/>
        <v>-</v>
      </c>
      <c r="G56" s="206"/>
      <c r="H56" s="88"/>
      <c r="I56" s="88"/>
      <c r="J56" s="88"/>
    </row>
    <row r="57" spans="1:10" ht="63.75" x14ac:dyDescent="0.2">
      <c r="A57" s="47" t="s">
        <v>659</v>
      </c>
      <c r="B57" s="47" t="s">
        <v>660</v>
      </c>
      <c r="C57" s="47" t="s">
        <v>68</v>
      </c>
      <c r="D57" s="48" t="s">
        <v>1111</v>
      </c>
      <c r="E57" s="60"/>
      <c r="F57" s="293" t="str">
        <f t="shared" si="0"/>
        <v>-</v>
      </c>
      <c r="G57" s="206"/>
      <c r="H57" s="88"/>
      <c r="I57" s="88"/>
      <c r="J57" s="88"/>
    </row>
    <row r="58" spans="1:10" ht="38.25" x14ac:dyDescent="0.2">
      <c r="A58" s="47" t="s">
        <v>661</v>
      </c>
      <c r="B58" s="47" t="s">
        <v>662</v>
      </c>
      <c r="C58" s="47" t="s">
        <v>182</v>
      </c>
      <c r="D58" s="48" t="s">
        <v>1111</v>
      </c>
      <c r="E58" s="60"/>
      <c r="F58" s="293" t="str">
        <f t="shared" si="0"/>
        <v>-</v>
      </c>
      <c r="G58" s="206"/>
      <c r="H58" s="88"/>
      <c r="I58" s="88"/>
      <c r="J58" s="88"/>
    </row>
    <row r="59" spans="1:10" ht="38.25" x14ac:dyDescent="0.2">
      <c r="A59" s="47" t="s">
        <v>663</v>
      </c>
      <c r="B59" s="47" t="s">
        <v>664</v>
      </c>
      <c r="C59" s="47" t="s">
        <v>68</v>
      </c>
      <c r="D59" s="48" t="s">
        <v>1111</v>
      </c>
      <c r="E59" s="60"/>
      <c r="F59" s="293" t="str">
        <f t="shared" si="0"/>
        <v>-</v>
      </c>
      <c r="G59" s="206"/>
      <c r="H59" s="88"/>
      <c r="I59" s="88"/>
      <c r="J59" s="88"/>
    </row>
    <row r="60" spans="1:10" x14ac:dyDescent="0.2">
      <c r="A60" s="47"/>
      <c r="B60" s="172" t="s">
        <v>665</v>
      </c>
      <c r="C60" s="47"/>
      <c r="D60" s="36"/>
      <c r="E60" s="60"/>
      <c r="F60" s="296"/>
      <c r="G60" s="206"/>
      <c r="H60" s="88"/>
      <c r="I60" s="88"/>
      <c r="J60" s="88"/>
    </row>
    <row r="61" spans="1:10" ht="25.5" x14ac:dyDescent="0.2">
      <c r="A61" s="47" t="s">
        <v>666</v>
      </c>
      <c r="B61" s="47" t="s">
        <v>667</v>
      </c>
      <c r="C61" s="47" t="s">
        <v>68</v>
      </c>
      <c r="D61" s="48" t="s">
        <v>1111</v>
      </c>
      <c r="E61" s="60"/>
      <c r="F61" s="293" t="str">
        <f t="shared" si="0"/>
        <v>-</v>
      </c>
      <c r="G61" s="206"/>
      <c r="H61" s="88"/>
      <c r="I61" s="88"/>
      <c r="J61" s="88"/>
    </row>
    <row r="62" spans="1:10" ht="25.5" x14ac:dyDescent="0.2">
      <c r="A62" s="47" t="s">
        <v>668</v>
      </c>
      <c r="B62" s="47" t="s">
        <v>669</v>
      </c>
      <c r="C62" s="47" t="s">
        <v>68</v>
      </c>
      <c r="D62" s="48" t="s">
        <v>1111</v>
      </c>
      <c r="E62" s="60"/>
      <c r="F62" s="293" t="str">
        <f t="shared" si="0"/>
        <v>-</v>
      </c>
      <c r="G62" s="206"/>
      <c r="H62" s="88"/>
      <c r="I62" s="88"/>
      <c r="J62" s="88"/>
    </row>
    <row r="63" spans="1:10" ht="25.5" x14ac:dyDescent="0.2">
      <c r="A63" s="47" t="s">
        <v>670</v>
      </c>
      <c r="B63" s="47" t="s">
        <v>671</v>
      </c>
      <c r="C63" s="47" t="s">
        <v>68</v>
      </c>
      <c r="D63" s="48" t="s">
        <v>1111</v>
      </c>
      <c r="E63" s="60"/>
      <c r="F63" s="293" t="str">
        <f t="shared" si="0"/>
        <v>-</v>
      </c>
      <c r="G63" s="206"/>
      <c r="H63" s="88"/>
      <c r="I63" s="88"/>
      <c r="J63" s="88"/>
    </row>
    <row r="64" spans="1:10" ht="25.5" x14ac:dyDescent="0.2">
      <c r="A64" s="47" t="s">
        <v>672</v>
      </c>
      <c r="B64" s="47" t="s">
        <v>673</v>
      </c>
      <c r="C64" s="47" t="s">
        <v>210</v>
      </c>
      <c r="D64" s="48" t="s">
        <v>1111</v>
      </c>
      <c r="E64" s="60"/>
      <c r="F64" s="293" t="str">
        <f t="shared" si="0"/>
        <v>-</v>
      </c>
      <c r="G64" s="206"/>
      <c r="H64" s="88"/>
      <c r="I64" s="88"/>
      <c r="J64" s="88"/>
    </row>
    <row r="65" spans="1:10" ht="25.5" x14ac:dyDescent="0.2">
      <c r="A65" s="47" t="s">
        <v>674</v>
      </c>
      <c r="B65" s="47" t="s">
        <v>675</v>
      </c>
      <c r="C65" s="47" t="s">
        <v>210</v>
      </c>
      <c r="D65" s="48" t="s">
        <v>1111</v>
      </c>
      <c r="E65" s="60"/>
      <c r="F65" s="293" t="str">
        <f t="shared" si="0"/>
        <v>-</v>
      </c>
      <c r="G65" s="206"/>
      <c r="H65" s="88"/>
      <c r="I65" s="88"/>
      <c r="J65" s="88"/>
    </row>
    <row r="66" spans="1:10" ht="25.5" x14ac:dyDescent="0.2">
      <c r="A66" s="47" t="s">
        <v>676</v>
      </c>
      <c r="B66" s="47" t="s">
        <v>677</v>
      </c>
      <c r="C66" s="47" t="s">
        <v>210</v>
      </c>
      <c r="D66" s="48" t="s">
        <v>1111</v>
      </c>
      <c r="E66" s="60"/>
      <c r="F66" s="293" t="str">
        <f t="shared" si="0"/>
        <v>-</v>
      </c>
      <c r="G66" s="206"/>
      <c r="H66" s="88"/>
      <c r="I66" s="88"/>
      <c r="J66" s="88"/>
    </row>
    <row r="67" spans="1:10" ht="12.75" customHeight="1" thickBot="1" x14ac:dyDescent="0.25">
      <c r="A67" s="26"/>
      <c r="B67" s="26"/>
      <c r="C67" s="26"/>
      <c r="D67" s="28"/>
      <c r="E67" s="62"/>
      <c r="F67" s="296"/>
      <c r="G67" s="206"/>
      <c r="H67" s="88"/>
      <c r="I67" s="88"/>
      <c r="J67" s="88"/>
    </row>
    <row r="68" spans="1:10" ht="13.5" thickBot="1" x14ac:dyDescent="0.25">
      <c r="A68" s="37" t="s">
        <v>1112</v>
      </c>
      <c r="B68" s="38"/>
      <c r="C68" s="38"/>
      <c r="D68" s="38"/>
      <c r="E68" s="63"/>
      <c r="F68" s="301">
        <f>SUM(F10:F66)</f>
        <v>0</v>
      </c>
      <c r="G68" s="206"/>
      <c r="H68" s="88"/>
      <c r="I68" s="88"/>
      <c r="J68" s="88"/>
    </row>
  </sheetData>
  <pageMargins left="0.7" right="0.7" top="0.75" bottom="0.75" header="0.3" footer="0.3"/>
  <pageSetup paperSize="9" orientation="portrait" r:id="rId1"/>
  <headerFooter>
    <oddFooter>&amp;A&amp;RPage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2:AW57"/>
  <sheetViews>
    <sheetView topLeftCell="A10" zoomScale="80" zoomScaleNormal="80" zoomScaleSheetLayoutView="80" zoomScalePageLayoutView="60" workbookViewId="0">
      <selection activeCell="W33" sqref="W33"/>
    </sheetView>
  </sheetViews>
  <sheetFormatPr defaultRowHeight="12.75" x14ac:dyDescent="0.2"/>
  <cols>
    <col min="2" max="2" width="35.7109375" customWidth="1"/>
    <col min="3" max="3" width="8.28515625" style="1" customWidth="1"/>
    <col min="4" max="5" width="11.42578125" style="1" customWidth="1"/>
    <col min="6" max="6" width="11.42578125" style="295" customWidth="1"/>
    <col min="7" max="7" width="3.140625" style="295" customWidth="1"/>
    <col min="8" max="9" width="11.42578125" style="295" customWidth="1"/>
    <col min="10" max="10" width="11.42578125" customWidth="1"/>
  </cols>
  <sheetData>
    <row r="2" spans="1:49" ht="15" x14ac:dyDescent="0.25">
      <c r="J2" s="255" t="s">
        <v>1325</v>
      </c>
      <c r="K2" s="323" t="str">
        <f>'Section B'!K2</f>
        <v>BH 1</v>
      </c>
      <c r="L2" s="323" t="str">
        <f>'Section B'!L2</f>
        <v>BH 2</v>
      </c>
      <c r="M2" s="323">
        <f>'Section B'!M2</f>
        <v>0</v>
      </c>
      <c r="N2" s="323">
        <f>'Section B'!N2</f>
        <v>0</v>
      </c>
      <c r="O2" s="323">
        <f>'Section B'!O2</f>
        <v>0</v>
      </c>
      <c r="P2" s="323">
        <f>'Section B'!P2</f>
        <v>0</v>
      </c>
      <c r="Q2" s="323">
        <f>'Section B'!Q2</f>
        <v>0</v>
      </c>
      <c r="R2" s="323">
        <f>'Section B'!R2</f>
        <v>0</v>
      </c>
      <c r="S2" s="323">
        <f>'Section B'!S2</f>
        <v>0</v>
      </c>
      <c r="T2" s="323">
        <f>'Section B'!T2</f>
        <v>0</v>
      </c>
      <c r="U2" s="323">
        <f>'Section B'!U2</f>
        <v>0</v>
      </c>
      <c r="V2" s="323">
        <f>'Section B'!V2</f>
        <v>0</v>
      </c>
      <c r="W2" s="323">
        <f>'Section B'!W2</f>
        <v>0</v>
      </c>
      <c r="X2" s="323">
        <f>'Section B'!X2</f>
        <v>0</v>
      </c>
      <c r="Y2" s="236">
        <f>'Section B'!Y2</f>
        <v>0</v>
      </c>
      <c r="Z2" s="323">
        <f>'Section B'!Z2</f>
        <v>0</v>
      </c>
      <c r="AA2" s="323">
        <f>'Section B'!AA2</f>
        <v>0</v>
      </c>
      <c r="AB2" s="323">
        <f>'Section B'!AB2</f>
        <v>0</v>
      </c>
      <c r="AC2" s="323">
        <f>'Section B'!AC2</f>
        <v>0</v>
      </c>
      <c r="AD2" s="323">
        <f>'Section B'!AD2</f>
        <v>0</v>
      </c>
      <c r="AE2" s="323">
        <f>'Section B'!AE2</f>
        <v>0</v>
      </c>
      <c r="AF2" s="323">
        <f>'Section B'!AF2</f>
        <v>0</v>
      </c>
      <c r="AG2" s="323">
        <f>'Section B'!AG2</f>
        <v>0</v>
      </c>
      <c r="AH2" s="323">
        <f>'Section B'!AH2</f>
        <v>0</v>
      </c>
      <c r="AI2" s="323">
        <f>'Section B'!AI2</f>
        <v>0</v>
      </c>
      <c r="AJ2" s="323">
        <f>'Section B'!AJ2</f>
        <v>0</v>
      </c>
      <c r="AK2" s="323">
        <f>'Section B'!AK2</f>
        <v>0</v>
      </c>
      <c r="AL2" s="323">
        <f>'Section B'!AL2</f>
        <v>0</v>
      </c>
      <c r="AM2" s="323">
        <f>'Section B'!AM2</f>
        <v>0</v>
      </c>
      <c r="AN2" s="323">
        <f>'Section B'!AN2</f>
        <v>0</v>
      </c>
      <c r="AO2" s="323">
        <f>'Section B'!AO2</f>
        <v>0</v>
      </c>
      <c r="AP2" s="323">
        <f>'Section B'!AP2</f>
        <v>0</v>
      </c>
      <c r="AQ2" s="323">
        <f>'Section B'!AQ2</f>
        <v>0</v>
      </c>
      <c r="AR2" s="323">
        <f>'Section B'!AR2</f>
        <v>0</v>
      </c>
      <c r="AS2" s="323">
        <f>'Section B'!AS2</f>
        <v>0</v>
      </c>
      <c r="AT2" s="323">
        <f>'Section B'!AT2</f>
        <v>0</v>
      </c>
      <c r="AU2" s="323">
        <f>'Section B'!AU2</f>
        <v>0</v>
      </c>
      <c r="AV2" s="323">
        <f>'Section B'!AV2</f>
        <v>0</v>
      </c>
      <c r="AW2" s="323">
        <f>'Section B'!AW2</f>
        <v>0</v>
      </c>
    </row>
    <row r="3" spans="1:49" ht="15" x14ac:dyDescent="0.2">
      <c r="J3" s="107" t="s">
        <v>1172</v>
      </c>
      <c r="K3" s="171">
        <f>'Section B'!K3</f>
        <v>19</v>
      </c>
      <c r="L3" s="171">
        <f>'Section B'!L3</f>
        <v>0</v>
      </c>
      <c r="M3" s="171">
        <f>'Section B'!M3</f>
        <v>0</v>
      </c>
      <c r="N3" s="171">
        <f>'Section B'!N3</f>
        <v>0</v>
      </c>
      <c r="O3" s="171">
        <f>'Section B'!O3</f>
        <v>0</v>
      </c>
      <c r="P3" s="171">
        <f>'Section B'!P3</f>
        <v>0</v>
      </c>
      <c r="Q3" s="171">
        <f>'Section B'!Q3</f>
        <v>0</v>
      </c>
      <c r="R3" s="171">
        <f>'Section B'!R3</f>
        <v>0</v>
      </c>
      <c r="S3" s="171">
        <f>'Section B'!S3</f>
        <v>0</v>
      </c>
      <c r="T3" s="171">
        <f>'Section B'!T3</f>
        <v>0</v>
      </c>
      <c r="U3" s="171">
        <f>'Section B'!U3</f>
        <v>0</v>
      </c>
      <c r="V3" s="171">
        <f>'Section B'!V3</f>
        <v>0</v>
      </c>
      <c r="W3" s="171">
        <f>'Section B'!W3</f>
        <v>0</v>
      </c>
      <c r="X3" s="171">
        <f>'Section B'!X3</f>
        <v>0</v>
      </c>
      <c r="Y3" s="171">
        <f>'Section B'!Y3</f>
        <v>0</v>
      </c>
      <c r="Z3" s="171">
        <f>'Section B'!Z3</f>
        <v>0</v>
      </c>
      <c r="AA3" s="171">
        <f>'Section B'!AA3</f>
        <v>0</v>
      </c>
      <c r="AB3" s="171">
        <f>'Section B'!AB3</f>
        <v>0</v>
      </c>
      <c r="AC3" s="171">
        <f>'Section B'!AC3</f>
        <v>0</v>
      </c>
      <c r="AD3" s="171">
        <f>'Section B'!AD3</f>
        <v>0</v>
      </c>
      <c r="AE3" s="171">
        <f>'Section B'!AE3</f>
        <v>0</v>
      </c>
      <c r="AF3" s="171">
        <f>'Section B'!AF3</f>
        <v>0</v>
      </c>
      <c r="AG3" s="171">
        <f>'Section B'!AG3</f>
        <v>0</v>
      </c>
      <c r="AH3" s="321">
        <f>'Section B'!AH3</f>
        <v>0</v>
      </c>
      <c r="AI3" s="171">
        <f>'Section B'!AI3</f>
        <v>0</v>
      </c>
      <c r="AJ3" s="171">
        <f>'Section B'!AJ3</f>
        <v>0</v>
      </c>
      <c r="AK3" s="171">
        <f>'Section B'!AK3</f>
        <v>0</v>
      </c>
      <c r="AL3" s="171">
        <f>'Section B'!AL3</f>
        <v>0</v>
      </c>
      <c r="AM3" s="171">
        <f>'Section B'!AM3</f>
        <v>0</v>
      </c>
      <c r="AN3" s="171">
        <f>'Section B'!AN3</f>
        <v>0</v>
      </c>
      <c r="AO3" s="171">
        <f>'Section B'!AO3</f>
        <v>0</v>
      </c>
      <c r="AP3" s="171">
        <f>'Section B'!AP3</f>
        <v>0</v>
      </c>
      <c r="AQ3" s="171">
        <f>'Section B'!AQ3</f>
        <v>0</v>
      </c>
      <c r="AR3" s="171">
        <f>'Section B'!AR3</f>
        <v>0</v>
      </c>
      <c r="AS3" s="171">
        <f>'Section B'!AS3</f>
        <v>0</v>
      </c>
      <c r="AT3" s="171">
        <f>'Section B'!AT3</f>
        <v>0</v>
      </c>
      <c r="AU3" s="171">
        <f>'Section B'!AU3</f>
        <v>0</v>
      </c>
      <c r="AV3" s="321">
        <f>'Section B'!AV3</f>
        <v>0</v>
      </c>
      <c r="AW3" s="321">
        <f>'Section B'!AW3</f>
        <v>0</v>
      </c>
    </row>
    <row r="4" spans="1:49" ht="15" x14ac:dyDescent="0.2">
      <c r="J4" s="108" t="s">
        <v>1173</v>
      </c>
      <c r="K4" s="171">
        <f>'Section B'!K4</f>
        <v>8</v>
      </c>
      <c r="L4" s="171">
        <f>'Section B'!L4</f>
        <v>0</v>
      </c>
      <c r="M4" s="171">
        <f>'Section B'!M4</f>
        <v>0</v>
      </c>
      <c r="N4" s="171">
        <f>'Section B'!N4</f>
        <v>0</v>
      </c>
      <c r="O4" s="171">
        <f>'Section B'!O4</f>
        <v>0</v>
      </c>
      <c r="P4" s="171">
        <f>'Section B'!P4</f>
        <v>0</v>
      </c>
      <c r="Q4" s="171">
        <f>'Section B'!Q4</f>
        <v>0</v>
      </c>
      <c r="R4" s="171">
        <f>'Section B'!R4</f>
        <v>0</v>
      </c>
      <c r="S4" s="171">
        <f>'Section B'!S4</f>
        <v>0</v>
      </c>
      <c r="T4" s="171">
        <f>'Section B'!T4</f>
        <v>0</v>
      </c>
      <c r="U4" s="171">
        <f>'Section B'!U4</f>
        <v>0</v>
      </c>
      <c r="V4" s="171">
        <f>'Section B'!V4</f>
        <v>0</v>
      </c>
      <c r="W4" s="171">
        <f>'Section B'!W4</f>
        <v>0</v>
      </c>
      <c r="X4" s="171">
        <f>'Section B'!X4</f>
        <v>0</v>
      </c>
      <c r="Y4" s="171">
        <f>'Section B'!Y4</f>
        <v>0</v>
      </c>
      <c r="Z4" s="171">
        <f>'Section B'!Z4</f>
        <v>0</v>
      </c>
      <c r="AA4" s="171">
        <f>'Section B'!AA4</f>
        <v>0</v>
      </c>
      <c r="AB4" s="171">
        <f>'Section B'!AB4</f>
        <v>0</v>
      </c>
      <c r="AC4" s="171">
        <f>'Section B'!AC4</f>
        <v>0</v>
      </c>
      <c r="AD4" s="171">
        <f>'Section B'!AD4</f>
        <v>0</v>
      </c>
      <c r="AE4" s="171">
        <f>'Section B'!AE4</f>
        <v>0</v>
      </c>
      <c r="AF4" s="171">
        <f>'Section B'!AF4</f>
        <v>0</v>
      </c>
      <c r="AG4" s="171">
        <f>'Section B'!AG4</f>
        <v>0</v>
      </c>
      <c r="AH4" s="321">
        <f>'Section B'!AH4</f>
        <v>0</v>
      </c>
      <c r="AI4" s="171">
        <f>'Section B'!AI4</f>
        <v>0</v>
      </c>
      <c r="AJ4" s="171">
        <f>'Section B'!AJ4</f>
        <v>0</v>
      </c>
      <c r="AK4" s="171">
        <f>'Section B'!AK4</f>
        <v>0</v>
      </c>
      <c r="AL4" s="171">
        <f>'Section B'!AL4</f>
        <v>0</v>
      </c>
      <c r="AM4" s="171">
        <f>'Section B'!AM4</f>
        <v>0</v>
      </c>
      <c r="AN4" s="171">
        <f>'Section B'!AN4</f>
        <v>0</v>
      </c>
      <c r="AO4" s="171">
        <f>'Section B'!AO4</f>
        <v>0</v>
      </c>
      <c r="AP4" s="322">
        <f>'Section B'!AP4</f>
        <v>0</v>
      </c>
      <c r="AQ4" s="171">
        <f>'Section B'!AQ4</f>
        <v>0</v>
      </c>
      <c r="AR4" s="171">
        <f>'Section B'!AR4</f>
        <v>0</v>
      </c>
      <c r="AS4" s="171">
        <f>'Section B'!AS4</f>
        <v>0</v>
      </c>
      <c r="AT4" s="171">
        <f>'Section B'!AT4</f>
        <v>0</v>
      </c>
      <c r="AU4" s="171">
        <f>'Section B'!AU4</f>
        <v>0</v>
      </c>
      <c r="AV4" s="321">
        <f>'Section B'!AV4</f>
        <v>0</v>
      </c>
      <c r="AW4" s="321">
        <f>'Section B'!AW4</f>
        <v>0</v>
      </c>
    </row>
    <row r="5" spans="1:49" ht="15" x14ac:dyDescent="0.2">
      <c r="J5" s="320" t="s">
        <v>1174</v>
      </c>
      <c r="K5" s="197">
        <f t="shared" ref="K5:AW5" si="0">K3-K4</f>
        <v>11</v>
      </c>
      <c r="L5" s="197">
        <f t="shared" si="0"/>
        <v>0</v>
      </c>
      <c r="M5" s="197">
        <f t="shared" si="0"/>
        <v>0</v>
      </c>
      <c r="N5" s="197">
        <f t="shared" si="0"/>
        <v>0</v>
      </c>
      <c r="O5" s="197">
        <f t="shared" si="0"/>
        <v>0</v>
      </c>
      <c r="P5" s="197">
        <f t="shared" si="0"/>
        <v>0</v>
      </c>
      <c r="Q5" s="197">
        <f t="shared" si="0"/>
        <v>0</v>
      </c>
      <c r="R5" s="197">
        <f t="shared" si="0"/>
        <v>0</v>
      </c>
      <c r="S5" s="197">
        <f t="shared" si="0"/>
        <v>0</v>
      </c>
      <c r="T5" s="197">
        <f t="shared" si="0"/>
        <v>0</v>
      </c>
      <c r="U5" s="197">
        <f t="shared" si="0"/>
        <v>0</v>
      </c>
      <c r="V5" s="197">
        <f t="shared" si="0"/>
        <v>0</v>
      </c>
      <c r="W5" s="197">
        <f t="shared" si="0"/>
        <v>0</v>
      </c>
      <c r="X5" s="197">
        <f t="shared" si="0"/>
        <v>0</v>
      </c>
      <c r="Y5" s="197">
        <f t="shared" si="0"/>
        <v>0</v>
      </c>
      <c r="Z5" s="197">
        <f t="shared" si="0"/>
        <v>0</v>
      </c>
      <c r="AA5" s="197">
        <f t="shared" si="0"/>
        <v>0</v>
      </c>
      <c r="AB5" s="197">
        <f t="shared" si="0"/>
        <v>0</v>
      </c>
      <c r="AC5" s="197">
        <f t="shared" si="0"/>
        <v>0</v>
      </c>
      <c r="AD5" s="197">
        <f t="shared" si="0"/>
        <v>0</v>
      </c>
      <c r="AE5" s="197">
        <f t="shared" si="0"/>
        <v>0</v>
      </c>
      <c r="AF5" s="197">
        <f t="shared" si="0"/>
        <v>0</v>
      </c>
      <c r="AG5" s="197">
        <f t="shared" si="0"/>
        <v>0</v>
      </c>
      <c r="AH5" s="197">
        <f t="shared" si="0"/>
        <v>0</v>
      </c>
      <c r="AI5" s="197">
        <f t="shared" si="0"/>
        <v>0</v>
      </c>
      <c r="AJ5" s="197">
        <f t="shared" si="0"/>
        <v>0</v>
      </c>
      <c r="AK5" s="197">
        <f t="shared" si="0"/>
        <v>0</v>
      </c>
      <c r="AL5" s="197">
        <f t="shared" si="0"/>
        <v>0</v>
      </c>
      <c r="AM5" s="197">
        <f t="shared" si="0"/>
        <v>0</v>
      </c>
      <c r="AN5" s="197">
        <f t="shared" si="0"/>
        <v>0</v>
      </c>
      <c r="AO5" s="197">
        <f t="shared" si="0"/>
        <v>0</v>
      </c>
      <c r="AP5" s="197">
        <f t="shared" si="0"/>
        <v>0</v>
      </c>
      <c r="AQ5" s="197">
        <f t="shared" si="0"/>
        <v>0</v>
      </c>
      <c r="AR5" s="197">
        <f t="shared" si="0"/>
        <v>0</v>
      </c>
      <c r="AS5" s="197">
        <f t="shared" si="0"/>
        <v>0</v>
      </c>
      <c r="AT5" s="197">
        <f t="shared" si="0"/>
        <v>0</v>
      </c>
      <c r="AU5" s="197">
        <f t="shared" si="0"/>
        <v>0</v>
      </c>
      <c r="AV5" s="197">
        <f t="shared" si="0"/>
        <v>0</v>
      </c>
      <c r="AW5" s="197">
        <f t="shared" si="0"/>
        <v>0</v>
      </c>
    </row>
    <row r="6" spans="1:49" ht="15" x14ac:dyDescent="0.2">
      <c r="I6" s="225" t="s">
        <v>1357</v>
      </c>
      <c r="J6" s="93" t="s">
        <v>1359</v>
      </c>
      <c r="K6" s="324"/>
      <c r="L6" s="355" t="s">
        <v>1361</v>
      </c>
      <c r="M6" s="355"/>
      <c r="N6" s="324"/>
      <c r="O6" s="324"/>
      <c r="P6" s="324" t="s">
        <v>1361</v>
      </c>
      <c r="Q6" s="324"/>
      <c r="R6" s="324"/>
      <c r="S6" s="324" t="s">
        <v>1360</v>
      </c>
      <c r="T6" s="324"/>
      <c r="U6" s="324" t="s">
        <v>1361</v>
      </c>
      <c r="V6" s="324" t="s">
        <v>1360</v>
      </c>
      <c r="W6" s="324"/>
      <c r="X6" s="324"/>
      <c r="Y6" s="367" t="s">
        <v>1360</v>
      </c>
      <c r="Z6" s="367"/>
      <c r="AA6" s="367" t="s">
        <v>1361</v>
      </c>
      <c r="AB6" s="368"/>
      <c r="AC6" s="368" t="s">
        <v>1361</v>
      </c>
      <c r="AD6" s="367"/>
      <c r="AE6" s="367"/>
      <c r="AF6" s="367" t="s">
        <v>1361</v>
      </c>
      <c r="AG6" s="367" t="s">
        <v>1361</v>
      </c>
      <c r="AH6" s="367" t="s">
        <v>1361</v>
      </c>
      <c r="AI6" s="367" t="s">
        <v>1361</v>
      </c>
      <c r="AJ6" s="367"/>
      <c r="AK6" s="171">
        <f>'Section B'!AK6</f>
        <v>0</v>
      </c>
      <c r="AL6" s="171">
        <f>'Section B'!AL6</f>
        <v>0</v>
      </c>
      <c r="AM6" s="171">
        <f>'Section B'!AM6</f>
        <v>0</v>
      </c>
      <c r="AN6" s="171">
        <f>'Section B'!AN6</f>
        <v>0</v>
      </c>
      <c r="AO6" s="171">
        <f>'Section B'!AO6</f>
        <v>0</v>
      </c>
      <c r="AP6" s="171">
        <f>'Section B'!AP6</f>
        <v>0</v>
      </c>
      <c r="AQ6" s="171">
        <f>'Section B'!AQ6</f>
        <v>0</v>
      </c>
      <c r="AR6" s="171">
        <f>'Section B'!AR6</f>
        <v>0</v>
      </c>
      <c r="AS6" s="171">
        <f>'Section B'!AS6</f>
        <v>0</v>
      </c>
      <c r="AT6" s="171">
        <f>'Section B'!AT6</f>
        <v>0</v>
      </c>
      <c r="AU6" s="171">
        <f>'Section B'!AU6</f>
        <v>0</v>
      </c>
      <c r="AV6" s="171">
        <f>'Section B'!AV6</f>
        <v>0</v>
      </c>
      <c r="AW6" s="171">
        <f>'Section B'!AW6</f>
        <v>0</v>
      </c>
    </row>
    <row r="7" spans="1:49" x14ac:dyDescent="0.2">
      <c r="A7" s="5" t="s">
        <v>0</v>
      </c>
      <c r="B7" s="5" t="s">
        <v>1</v>
      </c>
      <c r="C7" s="5" t="s">
        <v>2</v>
      </c>
      <c r="D7" s="5" t="s">
        <v>3</v>
      </c>
      <c r="E7" s="5" t="s">
        <v>4</v>
      </c>
      <c r="F7" s="289" t="s">
        <v>5</v>
      </c>
      <c r="G7" s="318"/>
      <c r="H7" s="318"/>
      <c r="I7" s="318"/>
      <c r="J7" s="93" t="s">
        <v>1358</v>
      </c>
      <c r="K7" s="324"/>
      <c r="L7" s="324">
        <v>9</v>
      </c>
      <c r="M7" s="324"/>
      <c r="N7" s="324"/>
      <c r="O7" s="324"/>
      <c r="P7" s="324">
        <v>11</v>
      </c>
      <c r="Q7" s="324"/>
      <c r="R7" s="324"/>
      <c r="S7" s="324">
        <v>17</v>
      </c>
      <c r="T7" s="324"/>
      <c r="U7" s="324">
        <v>9</v>
      </c>
      <c r="V7" s="324">
        <v>19</v>
      </c>
      <c r="W7" s="324"/>
      <c r="X7" s="324"/>
      <c r="Y7" s="324">
        <v>14</v>
      </c>
      <c r="Z7" s="324"/>
      <c r="AA7" s="324">
        <v>30</v>
      </c>
      <c r="AB7" s="324"/>
      <c r="AC7" s="324">
        <v>30</v>
      </c>
      <c r="AD7" s="324"/>
      <c r="AE7" s="324"/>
      <c r="AF7" s="324">
        <v>30</v>
      </c>
      <c r="AG7" s="348">
        <v>30</v>
      </c>
      <c r="AH7" s="348">
        <v>30</v>
      </c>
      <c r="AI7" s="348">
        <v>30</v>
      </c>
      <c r="AJ7" s="348"/>
      <c r="AK7" s="3"/>
      <c r="AL7" s="3"/>
      <c r="AM7" s="3"/>
      <c r="AN7" s="3"/>
      <c r="AO7" s="3"/>
      <c r="AP7" s="3"/>
      <c r="AQ7" s="3"/>
      <c r="AR7" s="3"/>
      <c r="AS7" s="3"/>
      <c r="AT7" s="3"/>
      <c r="AU7" s="3"/>
      <c r="AV7" s="3"/>
      <c r="AW7" s="3"/>
    </row>
    <row r="8" spans="1:49" ht="13.5" thickBot="1" x14ac:dyDescent="0.25">
      <c r="A8" s="8"/>
      <c r="B8" s="8"/>
      <c r="C8" s="9"/>
      <c r="D8" s="9"/>
      <c r="E8" s="9" t="s">
        <v>6</v>
      </c>
      <c r="F8" s="290" t="s">
        <v>6</v>
      </c>
      <c r="G8" s="319"/>
      <c r="H8" s="115" t="s">
        <v>1189</v>
      </c>
      <c r="I8" s="319"/>
      <c r="J8" s="93" t="s">
        <v>1362</v>
      </c>
      <c r="K8" s="324"/>
      <c r="L8" s="324">
        <v>1</v>
      </c>
      <c r="M8" s="324"/>
      <c r="N8" s="324"/>
      <c r="O8" s="324"/>
      <c r="P8" s="324">
        <v>1</v>
      </c>
      <c r="Q8" s="324"/>
      <c r="R8" s="324"/>
      <c r="S8" s="324">
        <v>1</v>
      </c>
      <c r="T8" s="324"/>
      <c r="U8" s="324">
        <v>1</v>
      </c>
      <c r="V8" s="324">
        <v>1</v>
      </c>
      <c r="W8" s="324"/>
      <c r="X8" s="324"/>
      <c r="Y8" s="324">
        <v>1</v>
      </c>
      <c r="Z8" s="324"/>
      <c r="AA8" s="324"/>
      <c r="AB8" s="324"/>
      <c r="AC8" s="324"/>
      <c r="AD8" s="324"/>
      <c r="AE8" s="324"/>
      <c r="AF8" s="324"/>
      <c r="AG8" s="348"/>
      <c r="AH8" s="348"/>
      <c r="AI8" s="348"/>
      <c r="AJ8" s="283"/>
      <c r="AK8" s="3"/>
      <c r="AL8" s="3"/>
      <c r="AM8" s="3"/>
      <c r="AN8" s="3"/>
      <c r="AO8" s="3"/>
      <c r="AP8" s="3"/>
      <c r="AQ8" s="3"/>
      <c r="AR8" s="3"/>
      <c r="AS8" s="3"/>
      <c r="AT8" s="3"/>
      <c r="AU8" s="3"/>
      <c r="AV8" s="3"/>
      <c r="AW8" s="3"/>
    </row>
    <row r="9" spans="1:49" x14ac:dyDescent="0.2">
      <c r="A9" s="2" t="s">
        <v>678</v>
      </c>
      <c r="B9" s="2" t="s">
        <v>679</v>
      </c>
      <c r="C9" s="6"/>
      <c r="D9" s="6"/>
      <c r="E9" s="6"/>
      <c r="F9" s="298"/>
      <c r="G9" s="325"/>
      <c r="H9" s="147"/>
      <c r="I9" s="325"/>
      <c r="J9" s="329"/>
    </row>
    <row r="10" spans="1:49" x14ac:dyDescent="0.2">
      <c r="A10" s="47"/>
      <c r="B10" s="172" t="s">
        <v>680</v>
      </c>
      <c r="C10" s="48"/>
      <c r="D10" s="48"/>
      <c r="E10" s="7"/>
      <c r="F10" s="299"/>
      <c r="G10" s="326"/>
      <c r="H10" s="230"/>
      <c r="I10" s="326"/>
    </row>
    <row r="11" spans="1:49" ht="38.25" x14ac:dyDescent="0.2">
      <c r="A11" s="50" t="s">
        <v>681</v>
      </c>
      <c r="B11" s="50" t="s">
        <v>682</v>
      </c>
      <c r="C11" s="98" t="s">
        <v>147</v>
      </c>
      <c r="D11" s="98">
        <f t="shared" ref="D11:D19" si="1">H11</f>
        <v>-265</v>
      </c>
      <c r="E11" s="44"/>
      <c r="F11" s="293">
        <f t="shared" ref="F11:F30" si="2">IF(ISNUMBER(SEARCH("incl",$D11)),"-",IF(ISNUMBER(SEARCH("not r",$D11)),"-",IF(ISNUMBER(SEARCH("refer",$D11)),"-",IF(C11="sum","",$D11*$E11))))</f>
        <v>0</v>
      </c>
      <c r="G11" s="326"/>
      <c r="H11" s="178">
        <f>SUM(K11:AU11)</f>
        <v>-265</v>
      </c>
      <c r="I11" s="326"/>
      <c r="J11" s="331" t="s">
        <v>1365</v>
      </c>
      <c r="K11" s="117"/>
      <c r="L11" s="171">
        <f>IF(L$6="",0,L$3-L$7-L$8)</f>
        <v>-10</v>
      </c>
      <c r="M11" s="171">
        <f t="shared" ref="M11:AW11" si="3">IF(M$6="",0,M$3-M$7-M$8)</f>
        <v>0</v>
      </c>
      <c r="N11" s="171">
        <f>IF(N$6="",0,N$3-N$7-N$8)</f>
        <v>0</v>
      </c>
      <c r="O11" s="171">
        <f t="shared" si="3"/>
        <v>0</v>
      </c>
      <c r="P11" s="171">
        <f t="shared" si="3"/>
        <v>-12</v>
      </c>
      <c r="Q11" s="171">
        <f t="shared" si="3"/>
        <v>0</v>
      </c>
      <c r="R11" s="171">
        <f t="shared" si="3"/>
        <v>0</v>
      </c>
      <c r="S11" s="171">
        <f t="shared" si="3"/>
        <v>-18</v>
      </c>
      <c r="T11" s="171">
        <f t="shared" si="3"/>
        <v>0</v>
      </c>
      <c r="U11" s="171">
        <f t="shared" si="3"/>
        <v>-10</v>
      </c>
      <c r="V11" s="171">
        <f t="shared" si="3"/>
        <v>-20</v>
      </c>
      <c r="W11" s="171">
        <f t="shared" si="3"/>
        <v>0</v>
      </c>
      <c r="X11" s="171">
        <f t="shared" si="3"/>
        <v>0</v>
      </c>
      <c r="Y11" s="171">
        <f t="shared" si="3"/>
        <v>-15</v>
      </c>
      <c r="Z11" s="171">
        <f t="shared" si="3"/>
        <v>0</v>
      </c>
      <c r="AA11" s="171">
        <f t="shared" si="3"/>
        <v>-30</v>
      </c>
      <c r="AB11" s="171">
        <f t="shared" si="3"/>
        <v>0</v>
      </c>
      <c r="AC11" s="171">
        <f t="shared" si="3"/>
        <v>-30</v>
      </c>
      <c r="AD11" s="171">
        <f t="shared" si="3"/>
        <v>0</v>
      </c>
      <c r="AE11" s="171">
        <f t="shared" si="3"/>
        <v>0</v>
      </c>
      <c r="AF11" s="171">
        <f t="shared" si="3"/>
        <v>-30</v>
      </c>
      <c r="AG11" s="171">
        <f t="shared" si="3"/>
        <v>-30</v>
      </c>
      <c r="AH11" s="171">
        <f t="shared" si="3"/>
        <v>-30</v>
      </c>
      <c r="AI11" s="171">
        <f t="shared" si="3"/>
        <v>-30</v>
      </c>
      <c r="AJ11" s="171">
        <f t="shared" si="3"/>
        <v>0</v>
      </c>
      <c r="AK11" s="171">
        <f t="shared" si="3"/>
        <v>0</v>
      </c>
      <c r="AL11" s="171">
        <f t="shared" si="3"/>
        <v>0</v>
      </c>
      <c r="AM11" s="171">
        <f t="shared" si="3"/>
        <v>0</v>
      </c>
      <c r="AN11" s="171">
        <f t="shared" si="3"/>
        <v>0</v>
      </c>
      <c r="AO11" s="171">
        <f t="shared" si="3"/>
        <v>0</v>
      </c>
      <c r="AP11" s="171">
        <f t="shared" si="3"/>
        <v>0</v>
      </c>
      <c r="AQ11" s="171">
        <f t="shared" si="3"/>
        <v>0</v>
      </c>
      <c r="AR11" s="171">
        <f t="shared" si="3"/>
        <v>0</v>
      </c>
      <c r="AS11" s="171">
        <f t="shared" si="3"/>
        <v>0</v>
      </c>
      <c r="AT11" s="171">
        <f t="shared" si="3"/>
        <v>0</v>
      </c>
      <c r="AU11" s="171">
        <f t="shared" si="3"/>
        <v>0</v>
      </c>
      <c r="AV11" s="171">
        <f t="shared" si="3"/>
        <v>0</v>
      </c>
      <c r="AW11" s="171">
        <f t="shared" si="3"/>
        <v>0</v>
      </c>
    </row>
    <row r="12" spans="1:49" ht="25.5" x14ac:dyDescent="0.2">
      <c r="A12" s="50" t="s">
        <v>683</v>
      </c>
      <c r="B12" s="50" t="s">
        <v>684</v>
      </c>
      <c r="C12" s="98" t="s">
        <v>68</v>
      </c>
      <c r="D12" s="98">
        <f t="shared" si="1"/>
        <v>3</v>
      </c>
      <c r="E12" s="44"/>
      <c r="F12" s="293">
        <f t="shared" si="2"/>
        <v>0</v>
      </c>
      <c r="G12" s="326"/>
      <c r="H12" s="178">
        <f t="shared" ref="H12:H28" si="4">SUM(K12:AU12)</f>
        <v>3</v>
      </c>
      <c r="I12" s="326"/>
      <c r="J12" s="117"/>
      <c r="K12" s="117"/>
      <c r="L12" s="171">
        <f>IF(L$6="P",1,0)</f>
        <v>0</v>
      </c>
      <c r="M12" s="171">
        <f t="shared" ref="M12:AW12" si="5">IF(M$6="P",1,0)</f>
        <v>0</v>
      </c>
      <c r="N12" s="171">
        <f t="shared" si="5"/>
        <v>0</v>
      </c>
      <c r="O12" s="171">
        <f t="shared" si="5"/>
        <v>0</v>
      </c>
      <c r="P12" s="171">
        <f t="shared" si="5"/>
        <v>0</v>
      </c>
      <c r="Q12" s="171">
        <f t="shared" si="5"/>
        <v>0</v>
      </c>
      <c r="R12" s="171">
        <f t="shared" si="5"/>
        <v>0</v>
      </c>
      <c r="S12" s="171">
        <f t="shared" si="5"/>
        <v>1</v>
      </c>
      <c r="T12" s="171">
        <f t="shared" si="5"/>
        <v>0</v>
      </c>
      <c r="U12" s="171">
        <f t="shared" si="5"/>
        <v>0</v>
      </c>
      <c r="V12" s="171">
        <f t="shared" si="5"/>
        <v>1</v>
      </c>
      <c r="W12" s="171">
        <f t="shared" si="5"/>
        <v>0</v>
      </c>
      <c r="X12" s="171">
        <f t="shared" si="5"/>
        <v>0</v>
      </c>
      <c r="Y12" s="171">
        <f t="shared" si="5"/>
        <v>1</v>
      </c>
      <c r="Z12" s="171">
        <f t="shared" si="5"/>
        <v>0</v>
      </c>
      <c r="AA12" s="171">
        <f t="shared" si="5"/>
        <v>0</v>
      </c>
      <c r="AB12" s="171">
        <f t="shared" si="5"/>
        <v>0</v>
      </c>
      <c r="AC12" s="171">
        <f t="shared" si="5"/>
        <v>0</v>
      </c>
      <c r="AD12" s="171">
        <f t="shared" si="5"/>
        <v>0</v>
      </c>
      <c r="AE12" s="171">
        <f t="shared" si="5"/>
        <v>0</v>
      </c>
      <c r="AF12" s="171">
        <f t="shared" si="5"/>
        <v>0</v>
      </c>
      <c r="AG12" s="171">
        <f t="shared" si="5"/>
        <v>0</v>
      </c>
      <c r="AH12" s="171">
        <f t="shared" si="5"/>
        <v>0</v>
      </c>
      <c r="AI12" s="171">
        <f t="shared" si="5"/>
        <v>0</v>
      </c>
      <c r="AJ12" s="171">
        <f t="shared" si="5"/>
        <v>0</v>
      </c>
      <c r="AK12" s="171">
        <f t="shared" si="5"/>
        <v>0</v>
      </c>
      <c r="AL12" s="171">
        <f t="shared" si="5"/>
        <v>0</v>
      </c>
      <c r="AM12" s="171">
        <f t="shared" si="5"/>
        <v>0</v>
      </c>
      <c r="AN12" s="171">
        <f t="shared" si="5"/>
        <v>0</v>
      </c>
      <c r="AO12" s="171">
        <f t="shared" si="5"/>
        <v>0</v>
      </c>
      <c r="AP12" s="171">
        <f t="shared" si="5"/>
        <v>0</v>
      </c>
      <c r="AQ12" s="171">
        <f t="shared" si="5"/>
        <v>0</v>
      </c>
      <c r="AR12" s="171">
        <f t="shared" si="5"/>
        <v>0</v>
      </c>
      <c r="AS12" s="171">
        <f t="shared" si="5"/>
        <v>0</v>
      </c>
      <c r="AT12" s="171">
        <f t="shared" si="5"/>
        <v>0</v>
      </c>
      <c r="AU12" s="171">
        <f t="shared" si="5"/>
        <v>0</v>
      </c>
      <c r="AV12" s="171">
        <f t="shared" si="5"/>
        <v>0</v>
      </c>
      <c r="AW12" s="171">
        <f t="shared" si="5"/>
        <v>0</v>
      </c>
    </row>
    <row r="13" spans="1:49" ht="15" x14ac:dyDescent="0.2">
      <c r="A13" s="50" t="s">
        <v>685</v>
      </c>
      <c r="B13" s="50" t="s">
        <v>686</v>
      </c>
      <c r="C13" s="98" t="s">
        <v>147</v>
      </c>
      <c r="D13" s="98">
        <f t="shared" si="1"/>
        <v>3</v>
      </c>
      <c r="E13" s="44"/>
      <c r="F13" s="293">
        <f t="shared" si="2"/>
        <v>0</v>
      </c>
      <c r="G13" s="326"/>
      <c r="H13" s="178">
        <f>SUM(K13:AU13)</f>
        <v>3</v>
      </c>
      <c r="I13" s="335">
        <v>1</v>
      </c>
      <c r="J13" s="326" t="s">
        <v>1363</v>
      </c>
      <c r="K13" s="117"/>
      <c r="L13" s="171">
        <f>IF(L$6="P",1*$I13,0)</f>
        <v>0</v>
      </c>
      <c r="M13" s="171">
        <f t="shared" ref="M13:AW13" si="6">IF(M$6="P",1*$I13,0)</f>
        <v>0</v>
      </c>
      <c r="N13" s="171">
        <f t="shared" si="6"/>
        <v>0</v>
      </c>
      <c r="O13" s="171">
        <f t="shared" si="6"/>
        <v>0</v>
      </c>
      <c r="P13" s="171">
        <f t="shared" si="6"/>
        <v>0</v>
      </c>
      <c r="Q13" s="171">
        <f t="shared" si="6"/>
        <v>0</v>
      </c>
      <c r="R13" s="171">
        <f t="shared" si="6"/>
        <v>0</v>
      </c>
      <c r="S13" s="171">
        <f t="shared" si="6"/>
        <v>1</v>
      </c>
      <c r="T13" s="171">
        <f t="shared" si="6"/>
        <v>0</v>
      </c>
      <c r="U13" s="171">
        <f t="shared" si="6"/>
        <v>0</v>
      </c>
      <c r="V13" s="171">
        <f t="shared" si="6"/>
        <v>1</v>
      </c>
      <c r="W13" s="171">
        <f t="shared" si="6"/>
        <v>0</v>
      </c>
      <c r="X13" s="171">
        <f t="shared" si="6"/>
        <v>0</v>
      </c>
      <c r="Y13" s="171">
        <f t="shared" si="6"/>
        <v>1</v>
      </c>
      <c r="Z13" s="171">
        <f t="shared" si="6"/>
        <v>0</v>
      </c>
      <c r="AA13" s="171">
        <f t="shared" si="6"/>
        <v>0</v>
      </c>
      <c r="AB13" s="171">
        <f t="shared" si="6"/>
        <v>0</v>
      </c>
      <c r="AC13" s="171">
        <f t="shared" si="6"/>
        <v>0</v>
      </c>
      <c r="AD13" s="171">
        <f t="shared" si="6"/>
        <v>0</v>
      </c>
      <c r="AE13" s="171">
        <f t="shared" si="6"/>
        <v>0</v>
      </c>
      <c r="AF13" s="171">
        <f t="shared" si="6"/>
        <v>0</v>
      </c>
      <c r="AG13" s="171">
        <f t="shared" si="6"/>
        <v>0</v>
      </c>
      <c r="AH13" s="171">
        <f t="shared" si="6"/>
        <v>0</v>
      </c>
      <c r="AI13" s="171">
        <f t="shared" si="6"/>
        <v>0</v>
      </c>
      <c r="AJ13" s="171">
        <f t="shared" si="6"/>
        <v>0</v>
      </c>
      <c r="AK13" s="171">
        <f t="shared" si="6"/>
        <v>0</v>
      </c>
      <c r="AL13" s="171">
        <f t="shared" si="6"/>
        <v>0</v>
      </c>
      <c r="AM13" s="171">
        <f t="shared" si="6"/>
        <v>0</v>
      </c>
      <c r="AN13" s="171">
        <f t="shared" si="6"/>
        <v>0</v>
      </c>
      <c r="AO13" s="171">
        <f t="shared" si="6"/>
        <v>0</v>
      </c>
      <c r="AP13" s="171">
        <f t="shared" si="6"/>
        <v>0</v>
      </c>
      <c r="AQ13" s="171">
        <f t="shared" si="6"/>
        <v>0</v>
      </c>
      <c r="AR13" s="171">
        <f t="shared" si="6"/>
        <v>0</v>
      </c>
      <c r="AS13" s="171">
        <f t="shared" si="6"/>
        <v>0</v>
      </c>
      <c r="AT13" s="171">
        <f t="shared" si="6"/>
        <v>0</v>
      </c>
      <c r="AU13" s="171">
        <f t="shared" si="6"/>
        <v>0</v>
      </c>
      <c r="AV13" s="171">
        <f t="shared" si="6"/>
        <v>0</v>
      </c>
      <c r="AW13" s="171">
        <f t="shared" si="6"/>
        <v>0</v>
      </c>
    </row>
    <row r="14" spans="1:49" ht="25.5" x14ac:dyDescent="0.2">
      <c r="A14" s="50" t="s">
        <v>687</v>
      </c>
      <c r="B14" s="50" t="s">
        <v>688</v>
      </c>
      <c r="C14" s="98" t="s">
        <v>147</v>
      </c>
      <c r="D14" s="98">
        <f t="shared" si="1"/>
        <v>140</v>
      </c>
      <c r="E14" s="44"/>
      <c r="F14" s="293">
        <f t="shared" si="2"/>
        <v>0</v>
      </c>
      <c r="G14" s="326"/>
      <c r="H14" s="178">
        <f t="shared" si="4"/>
        <v>140</v>
      </c>
      <c r="I14" s="326"/>
      <c r="J14" s="326"/>
      <c r="K14" s="117"/>
      <c r="L14" s="171">
        <f>IF(L$6="P",L$7,0)</f>
        <v>0</v>
      </c>
      <c r="M14" s="171">
        <f t="shared" ref="M14:AW14" si="7">IF(M$6="P",M$7,0)</f>
        <v>0</v>
      </c>
      <c r="N14" s="171">
        <f t="shared" si="7"/>
        <v>0</v>
      </c>
      <c r="O14" s="171">
        <f t="shared" si="7"/>
        <v>0</v>
      </c>
      <c r="P14" s="171">
        <f t="shared" si="7"/>
        <v>0</v>
      </c>
      <c r="Q14" s="171">
        <f t="shared" si="7"/>
        <v>0</v>
      </c>
      <c r="R14" s="171">
        <f t="shared" si="7"/>
        <v>0</v>
      </c>
      <c r="S14" s="171">
        <f t="shared" si="7"/>
        <v>17</v>
      </c>
      <c r="T14" s="171">
        <f t="shared" si="7"/>
        <v>0</v>
      </c>
      <c r="U14" s="171">
        <f t="shared" si="7"/>
        <v>0</v>
      </c>
      <c r="V14" s="171">
        <f t="shared" si="7"/>
        <v>19</v>
      </c>
      <c r="W14" s="171">
        <f t="shared" si="7"/>
        <v>0</v>
      </c>
      <c r="X14" s="171">
        <f t="shared" si="7"/>
        <v>0</v>
      </c>
      <c r="Y14" s="171">
        <f t="shared" si="7"/>
        <v>14</v>
      </c>
      <c r="Z14" s="171">
        <f t="shared" si="7"/>
        <v>0</v>
      </c>
      <c r="AA14" s="171">
        <v>15</v>
      </c>
      <c r="AB14" s="171">
        <f t="shared" si="7"/>
        <v>0</v>
      </c>
      <c r="AC14" s="171">
        <v>15</v>
      </c>
      <c r="AD14" s="171">
        <f t="shared" si="7"/>
        <v>0</v>
      </c>
      <c r="AE14" s="171">
        <f t="shared" si="7"/>
        <v>0</v>
      </c>
      <c r="AF14" s="171">
        <v>15</v>
      </c>
      <c r="AG14" s="171">
        <v>15</v>
      </c>
      <c r="AH14" s="171">
        <v>15</v>
      </c>
      <c r="AI14" s="171">
        <v>15</v>
      </c>
      <c r="AJ14" s="171">
        <f t="shared" si="7"/>
        <v>0</v>
      </c>
      <c r="AK14" s="171">
        <f t="shared" si="7"/>
        <v>0</v>
      </c>
      <c r="AL14" s="171">
        <f t="shared" si="7"/>
        <v>0</v>
      </c>
      <c r="AM14" s="171">
        <f t="shared" si="7"/>
        <v>0</v>
      </c>
      <c r="AN14" s="171">
        <f t="shared" si="7"/>
        <v>0</v>
      </c>
      <c r="AO14" s="171">
        <f t="shared" si="7"/>
        <v>0</v>
      </c>
      <c r="AP14" s="171">
        <f t="shared" si="7"/>
        <v>0</v>
      </c>
      <c r="AQ14" s="171">
        <f t="shared" si="7"/>
        <v>0</v>
      </c>
      <c r="AR14" s="171">
        <f t="shared" si="7"/>
        <v>0</v>
      </c>
      <c r="AS14" s="171">
        <f t="shared" si="7"/>
        <v>0</v>
      </c>
      <c r="AT14" s="171">
        <f t="shared" si="7"/>
        <v>0</v>
      </c>
      <c r="AU14" s="171">
        <f t="shared" si="7"/>
        <v>0</v>
      </c>
      <c r="AV14" s="171">
        <f t="shared" si="7"/>
        <v>0</v>
      </c>
      <c r="AW14" s="171">
        <f t="shared" si="7"/>
        <v>0</v>
      </c>
    </row>
    <row r="15" spans="1:49" ht="15" x14ac:dyDescent="0.2">
      <c r="A15" s="50" t="s">
        <v>689</v>
      </c>
      <c r="B15" s="50" t="s">
        <v>690</v>
      </c>
      <c r="C15" s="98" t="s">
        <v>147</v>
      </c>
      <c r="D15" s="98">
        <f t="shared" si="1"/>
        <v>2.5</v>
      </c>
      <c r="E15" s="44"/>
      <c r="F15" s="293">
        <f t="shared" si="2"/>
        <v>0</v>
      </c>
      <c r="G15" s="326"/>
      <c r="H15" s="178">
        <f>SUM(K15:AU15)+S8</f>
        <v>2.5</v>
      </c>
      <c r="I15" s="336">
        <v>0.5</v>
      </c>
      <c r="J15" s="326" t="s">
        <v>1364</v>
      </c>
      <c r="K15" s="117"/>
      <c r="L15" s="171">
        <f>IF(L$6="P",1*$I15,0)</f>
        <v>0</v>
      </c>
      <c r="M15" s="171">
        <f t="shared" ref="M15:AW15" si="8">IF(M$6="P",1*$I15,0)</f>
        <v>0</v>
      </c>
      <c r="N15" s="171">
        <f t="shared" si="8"/>
        <v>0</v>
      </c>
      <c r="O15" s="171">
        <f t="shared" si="8"/>
        <v>0</v>
      </c>
      <c r="P15" s="171">
        <f t="shared" si="8"/>
        <v>0</v>
      </c>
      <c r="Q15" s="171">
        <f t="shared" si="8"/>
        <v>0</v>
      </c>
      <c r="R15" s="171">
        <f t="shared" si="8"/>
        <v>0</v>
      </c>
      <c r="S15" s="171">
        <f t="shared" si="8"/>
        <v>0.5</v>
      </c>
      <c r="T15" s="171">
        <f t="shared" si="8"/>
        <v>0</v>
      </c>
      <c r="U15" s="171">
        <f t="shared" si="8"/>
        <v>0</v>
      </c>
      <c r="V15" s="171">
        <f t="shared" si="8"/>
        <v>0.5</v>
      </c>
      <c r="W15" s="171">
        <f t="shared" si="8"/>
        <v>0</v>
      </c>
      <c r="X15" s="171">
        <f t="shared" si="8"/>
        <v>0</v>
      </c>
      <c r="Y15" s="171">
        <f t="shared" si="8"/>
        <v>0.5</v>
      </c>
      <c r="Z15" s="171">
        <f t="shared" si="8"/>
        <v>0</v>
      </c>
      <c r="AA15" s="171">
        <f t="shared" si="8"/>
        <v>0</v>
      </c>
      <c r="AB15" s="171">
        <f t="shared" si="8"/>
        <v>0</v>
      </c>
      <c r="AC15" s="171">
        <f t="shared" si="8"/>
        <v>0</v>
      </c>
      <c r="AD15" s="171">
        <f t="shared" si="8"/>
        <v>0</v>
      </c>
      <c r="AE15" s="171">
        <f t="shared" si="8"/>
        <v>0</v>
      </c>
      <c r="AF15" s="171">
        <f t="shared" si="8"/>
        <v>0</v>
      </c>
      <c r="AG15" s="171">
        <f t="shared" si="8"/>
        <v>0</v>
      </c>
      <c r="AH15" s="171">
        <f t="shared" si="8"/>
        <v>0</v>
      </c>
      <c r="AI15" s="171">
        <f t="shared" si="8"/>
        <v>0</v>
      </c>
      <c r="AJ15" s="171">
        <f t="shared" si="8"/>
        <v>0</v>
      </c>
      <c r="AK15" s="171">
        <f t="shared" si="8"/>
        <v>0</v>
      </c>
      <c r="AL15" s="171">
        <f t="shared" si="8"/>
        <v>0</v>
      </c>
      <c r="AM15" s="171">
        <f t="shared" si="8"/>
        <v>0</v>
      </c>
      <c r="AN15" s="171">
        <f t="shared" si="8"/>
        <v>0</v>
      </c>
      <c r="AO15" s="171">
        <f t="shared" si="8"/>
        <v>0</v>
      </c>
      <c r="AP15" s="171">
        <f t="shared" si="8"/>
        <v>0</v>
      </c>
      <c r="AQ15" s="171">
        <f t="shared" si="8"/>
        <v>0</v>
      </c>
      <c r="AR15" s="171">
        <f t="shared" si="8"/>
        <v>0</v>
      </c>
      <c r="AS15" s="171">
        <f t="shared" si="8"/>
        <v>0</v>
      </c>
      <c r="AT15" s="171">
        <f t="shared" si="8"/>
        <v>0</v>
      </c>
      <c r="AU15" s="171">
        <f t="shared" si="8"/>
        <v>0</v>
      </c>
      <c r="AV15" s="171">
        <f t="shared" si="8"/>
        <v>0</v>
      </c>
      <c r="AW15" s="171">
        <f t="shared" si="8"/>
        <v>0</v>
      </c>
    </row>
    <row r="16" spans="1:49" ht="25.5" x14ac:dyDescent="0.2">
      <c r="A16" s="50" t="s">
        <v>691</v>
      </c>
      <c r="B16" s="50" t="s">
        <v>692</v>
      </c>
      <c r="C16" s="98" t="s">
        <v>147</v>
      </c>
      <c r="D16" s="98">
        <f t="shared" si="1"/>
        <v>114.5</v>
      </c>
      <c r="E16" s="44"/>
      <c r="F16" s="293">
        <f t="shared" si="2"/>
        <v>0</v>
      </c>
      <c r="G16" s="326"/>
      <c r="H16" s="178">
        <f>SUM(K16:AU16)</f>
        <v>114.5</v>
      </c>
      <c r="I16" s="336">
        <v>1.5</v>
      </c>
      <c r="J16" s="326" t="s">
        <v>1366</v>
      </c>
      <c r="K16" s="117"/>
      <c r="L16" s="171">
        <f>IF(L$6="S",L$7-$I16,0)</f>
        <v>7.5</v>
      </c>
      <c r="M16" s="171">
        <f t="shared" ref="M16:AW16" si="9">IF(M$6="S",M$7-$I16,0)</f>
        <v>0</v>
      </c>
      <c r="N16" s="171">
        <f t="shared" si="9"/>
        <v>0</v>
      </c>
      <c r="O16" s="171">
        <f t="shared" si="9"/>
        <v>0</v>
      </c>
      <c r="P16" s="171">
        <f t="shared" si="9"/>
        <v>9.5</v>
      </c>
      <c r="Q16" s="171">
        <f t="shared" si="9"/>
        <v>0</v>
      </c>
      <c r="R16" s="171">
        <f t="shared" si="9"/>
        <v>0</v>
      </c>
      <c r="S16" s="171">
        <f t="shared" si="9"/>
        <v>0</v>
      </c>
      <c r="T16" s="171">
        <f t="shared" si="9"/>
        <v>0</v>
      </c>
      <c r="U16" s="171">
        <f t="shared" si="9"/>
        <v>7.5</v>
      </c>
      <c r="V16" s="171">
        <f t="shared" si="9"/>
        <v>0</v>
      </c>
      <c r="W16" s="171">
        <f t="shared" si="9"/>
        <v>0</v>
      </c>
      <c r="X16" s="171">
        <f t="shared" si="9"/>
        <v>0</v>
      </c>
      <c r="Y16" s="171">
        <f t="shared" si="9"/>
        <v>0</v>
      </c>
      <c r="Z16" s="171">
        <f t="shared" si="9"/>
        <v>0</v>
      </c>
      <c r="AA16" s="171">
        <v>15</v>
      </c>
      <c r="AB16" s="171">
        <f t="shared" si="9"/>
        <v>0</v>
      </c>
      <c r="AC16" s="171">
        <v>15</v>
      </c>
      <c r="AD16" s="171">
        <f t="shared" si="9"/>
        <v>0</v>
      </c>
      <c r="AE16" s="171">
        <f t="shared" si="9"/>
        <v>0</v>
      </c>
      <c r="AF16" s="171">
        <v>15</v>
      </c>
      <c r="AG16" s="171">
        <v>15</v>
      </c>
      <c r="AH16" s="171">
        <v>15</v>
      </c>
      <c r="AI16" s="171">
        <v>15</v>
      </c>
      <c r="AJ16" s="171">
        <f t="shared" si="9"/>
        <v>0</v>
      </c>
      <c r="AK16" s="171">
        <f t="shared" si="9"/>
        <v>0</v>
      </c>
      <c r="AL16" s="171">
        <f t="shared" si="9"/>
        <v>0</v>
      </c>
      <c r="AM16" s="171">
        <f t="shared" si="9"/>
        <v>0</v>
      </c>
      <c r="AN16" s="171">
        <f t="shared" si="9"/>
        <v>0</v>
      </c>
      <c r="AO16" s="171">
        <f t="shared" si="9"/>
        <v>0</v>
      </c>
      <c r="AP16" s="171">
        <f t="shared" si="9"/>
        <v>0</v>
      </c>
      <c r="AQ16" s="171">
        <f t="shared" si="9"/>
        <v>0</v>
      </c>
      <c r="AR16" s="171">
        <f t="shared" si="9"/>
        <v>0</v>
      </c>
      <c r="AS16" s="171">
        <f t="shared" si="9"/>
        <v>0</v>
      </c>
      <c r="AT16" s="171">
        <f t="shared" si="9"/>
        <v>0</v>
      </c>
      <c r="AU16" s="171">
        <f t="shared" si="9"/>
        <v>0</v>
      </c>
      <c r="AV16" s="171">
        <f t="shared" si="9"/>
        <v>0</v>
      </c>
      <c r="AW16" s="171">
        <f t="shared" si="9"/>
        <v>0</v>
      </c>
    </row>
    <row r="17" spans="1:49" ht="25.5" x14ac:dyDescent="0.2">
      <c r="A17" s="50" t="s">
        <v>693</v>
      </c>
      <c r="B17" s="50" t="s">
        <v>694</v>
      </c>
      <c r="C17" s="98" t="s">
        <v>147</v>
      </c>
      <c r="D17" s="98">
        <f t="shared" si="1"/>
        <v>114.5</v>
      </c>
      <c r="E17" s="44"/>
      <c r="F17" s="293">
        <f t="shared" si="2"/>
        <v>0</v>
      </c>
      <c r="G17" s="326"/>
      <c r="H17" s="178">
        <f t="shared" si="4"/>
        <v>114.5</v>
      </c>
      <c r="I17" s="326"/>
      <c r="J17" s="326" t="s">
        <v>1367</v>
      </c>
      <c r="K17" s="117"/>
      <c r="L17" s="171">
        <f>L16</f>
        <v>7.5</v>
      </c>
      <c r="M17" s="171">
        <f t="shared" ref="M17:S17" si="10">M16</f>
        <v>0</v>
      </c>
      <c r="N17" s="171">
        <f t="shared" si="10"/>
        <v>0</v>
      </c>
      <c r="O17" s="171">
        <f t="shared" si="10"/>
        <v>0</v>
      </c>
      <c r="P17" s="171">
        <f t="shared" si="10"/>
        <v>9.5</v>
      </c>
      <c r="Q17" s="171">
        <f t="shared" si="10"/>
        <v>0</v>
      </c>
      <c r="R17" s="171">
        <f t="shared" si="10"/>
        <v>0</v>
      </c>
      <c r="S17" s="171">
        <f t="shared" si="10"/>
        <v>0</v>
      </c>
      <c r="T17" s="171">
        <f t="shared" ref="T17" si="11">T16</f>
        <v>0</v>
      </c>
      <c r="U17" s="171">
        <f t="shared" ref="U17" si="12">U16</f>
        <v>7.5</v>
      </c>
      <c r="V17" s="171">
        <f t="shared" ref="V17" si="13">V16</f>
        <v>0</v>
      </c>
      <c r="W17" s="171">
        <f t="shared" ref="W17" si="14">W16</f>
        <v>0</v>
      </c>
      <c r="X17" s="171">
        <f t="shared" ref="X17" si="15">X16</f>
        <v>0</v>
      </c>
      <c r="Y17" s="171">
        <f t="shared" ref="Y17:Z17" si="16">Y16</f>
        <v>0</v>
      </c>
      <c r="Z17" s="171">
        <f t="shared" si="16"/>
        <v>0</v>
      </c>
      <c r="AA17" s="171">
        <f t="shared" ref="AA17" si="17">AA16</f>
        <v>15</v>
      </c>
      <c r="AB17" s="171">
        <f t="shared" ref="AB17" si="18">AB16</f>
        <v>0</v>
      </c>
      <c r="AC17" s="171">
        <f t="shared" ref="AC17" si="19">AC16</f>
        <v>15</v>
      </c>
      <c r="AD17" s="171">
        <f t="shared" ref="AD17" si="20">AD16</f>
        <v>0</v>
      </c>
      <c r="AE17" s="171">
        <f t="shared" ref="AE17" si="21">AE16</f>
        <v>0</v>
      </c>
      <c r="AF17" s="171">
        <f t="shared" ref="AF17:AG17" si="22">AF16</f>
        <v>15</v>
      </c>
      <c r="AG17" s="171">
        <f t="shared" si="22"/>
        <v>15</v>
      </c>
      <c r="AH17" s="171">
        <f t="shared" ref="AH17" si="23">AH16</f>
        <v>15</v>
      </c>
      <c r="AI17" s="171">
        <f t="shared" ref="AI17" si="24">AI16</f>
        <v>15</v>
      </c>
      <c r="AJ17" s="171">
        <f t="shared" ref="AJ17" si="25">AJ16</f>
        <v>0</v>
      </c>
      <c r="AK17" s="171">
        <f t="shared" ref="AK17" si="26">AK16</f>
        <v>0</v>
      </c>
      <c r="AL17" s="171">
        <f t="shared" ref="AL17" si="27">AL16</f>
        <v>0</v>
      </c>
      <c r="AM17" s="171">
        <f t="shared" ref="AM17:AN17" si="28">AM16</f>
        <v>0</v>
      </c>
      <c r="AN17" s="171">
        <f t="shared" si="28"/>
        <v>0</v>
      </c>
      <c r="AO17" s="171">
        <f t="shared" ref="AO17" si="29">AO16</f>
        <v>0</v>
      </c>
      <c r="AP17" s="171">
        <f t="shared" ref="AP17" si="30">AP16</f>
        <v>0</v>
      </c>
      <c r="AQ17" s="171">
        <f t="shared" ref="AQ17" si="31">AQ16</f>
        <v>0</v>
      </c>
      <c r="AR17" s="171">
        <f t="shared" ref="AR17" si="32">AR16</f>
        <v>0</v>
      </c>
      <c r="AS17" s="171">
        <f t="shared" ref="AS17" si="33">AS16</f>
        <v>0</v>
      </c>
      <c r="AT17" s="171">
        <f t="shared" ref="AT17:AU17" si="34">AT16</f>
        <v>0</v>
      </c>
      <c r="AU17" s="171">
        <f t="shared" si="34"/>
        <v>0</v>
      </c>
      <c r="AV17" s="171">
        <f t="shared" ref="AV17" si="35">AV16</f>
        <v>0</v>
      </c>
      <c r="AW17" s="171">
        <f t="shared" ref="AW17" si="36">AW16</f>
        <v>0</v>
      </c>
    </row>
    <row r="18" spans="1:49" ht="25.5" x14ac:dyDescent="0.2">
      <c r="A18" s="50" t="s">
        <v>695</v>
      </c>
      <c r="B18" s="50" t="s">
        <v>696</v>
      </c>
      <c r="C18" s="98" t="s">
        <v>147</v>
      </c>
      <c r="D18" s="98">
        <f t="shared" si="1"/>
        <v>94.5</v>
      </c>
      <c r="E18" s="44"/>
      <c r="F18" s="293">
        <f t="shared" si="2"/>
        <v>0</v>
      </c>
      <c r="G18" s="326"/>
      <c r="H18" s="178">
        <f t="shared" si="4"/>
        <v>94.5</v>
      </c>
      <c r="I18" s="326"/>
      <c r="J18" s="326" t="s">
        <v>1368</v>
      </c>
      <c r="K18" s="117"/>
      <c r="L18" s="171">
        <f>IF(L6="S",L$7-L$16,0)</f>
        <v>1.5</v>
      </c>
      <c r="M18" s="171">
        <f t="shared" ref="M18:S18" si="37">IF(M6="S",M$7-M$16,0)</f>
        <v>0</v>
      </c>
      <c r="N18" s="171">
        <f t="shared" si="37"/>
        <v>0</v>
      </c>
      <c r="O18" s="171">
        <f t="shared" si="37"/>
        <v>0</v>
      </c>
      <c r="P18" s="171">
        <f t="shared" si="37"/>
        <v>1.5</v>
      </c>
      <c r="Q18" s="171">
        <f t="shared" si="37"/>
        <v>0</v>
      </c>
      <c r="R18" s="171">
        <f t="shared" si="37"/>
        <v>0</v>
      </c>
      <c r="S18" s="171">
        <f t="shared" si="37"/>
        <v>0</v>
      </c>
      <c r="T18" s="171">
        <f t="shared" ref="T18:AW18" si="38">IF(T6="S",T$7-T$16,0)</f>
        <v>0</v>
      </c>
      <c r="U18" s="171">
        <f t="shared" si="38"/>
        <v>1.5</v>
      </c>
      <c r="V18" s="171">
        <f t="shared" si="38"/>
        <v>0</v>
      </c>
      <c r="W18" s="171">
        <f t="shared" si="38"/>
        <v>0</v>
      </c>
      <c r="X18" s="171">
        <f t="shared" si="38"/>
        <v>0</v>
      </c>
      <c r="Y18" s="171">
        <f t="shared" si="38"/>
        <v>0</v>
      </c>
      <c r="Z18" s="171">
        <f t="shared" si="38"/>
        <v>0</v>
      </c>
      <c r="AA18" s="171">
        <f t="shared" si="38"/>
        <v>15</v>
      </c>
      <c r="AB18" s="171">
        <f t="shared" si="38"/>
        <v>0</v>
      </c>
      <c r="AC18" s="171">
        <f t="shared" si="38"/>
        <v>15</v>
      </c>
      <c r="AD18" s="171">
        <f t="shared" si="38"/>
        <v>0</v>
      </c>
      <c r="AE18" s="171">
        <f t="shared" si="38"/>
        <v>0</v>
      </c>
      <c r="AF18" s="171">
        <f t="shared" si="38"/>
        <v>15</v>
      </c>
      <c r="AG18" s="171">
        <f t="shared" si="38"/>
        <v>15</v>
      </c>
      <c r="AH18" s="171">
        <f t="shared" si="38"/>
        <v>15</v>
      </c>
      <c r="AI18" s="171">
        <f t="shared" si="38"/>
        <v>15</v>
      </c>
      <c r="AJ18" s="171">
        <f t="shared" si="38"/>
        <v>0</v>
      </c>
      <c r="AK18" s="171">
        <f t="shared" si="38"/>
        <v>0</v>
      </c>
      <c r="AL18" s="171">
        <f t="shared" si="38"/>
        <v>0</v>
      </c>
      <c r="AM18" s="171">
        <f t="shared" si="38"/>
        <v>0</v>
      </c>
      <c r="AN18" s="171">
        <f t="shared" si="38"/>
        <v>0</v>
      </c>
      <c r="AO18" s="171">
        <f t="shared" si="38"/>
        <v>0</v>
      </c>
      <c r="AP18" s="171">
        <f t="shared" si="38"/>
        <v>0</v>
      </c>
      <c r="AQ18" s="171">
        <f t="shared" si="38"/>
        <v>0</v>
      </c>
      <c r="AR18" s="171">
        <f t="shared" si="38"/>
        <v>0</v>
      </c>
      <c r="AS18" s="171">
        <f t="shared" si="38"/>
        <v>0</v>
      </c>
      <c r="AT18" s="171">
        <f t="shared" si="38"/>
        <v>0</v>
      </c>
      <c r="AU18" s="171">
        <f t="shared" si="38"/>
        <v>0</v>
      </c>
      <c r="AV18" s="171">
        <f t="shared" si="38"/>
        <v>0</v>
      </c>
      <c r="AW18" s="171">
        <f t="shared" si="38"/>
        <v>0</v>
      </c>
    </row>
    <row r="19" spans="1:49" ht="25.5" x14ac:dyDescent="0.2">
      <c r="A19" s="50" t="s">
        <v>697</v>
      </c>
      <c r="B19" s="50" t="s">
        <v>698</v>
      </c>
      <c r="C19" s="98" t="s">
        <v>147</v>
      </c>
      <c r="D19" s="98">
        <f t="shared" si="1"/>
        <v>4.5</v>
      </c>
      <c r="E19" s="44"/>
      <c r="F19" s="293">
        <f t="shared" si="2"/>
        <v>0</v>
      </c>
      <c r="G19" s="326"/>
      <c r="H19" s="178">
        <f t="shared" si="4"/>
        <v>4.5</v>
      </c>
      <c r="I19" s="336">
        <v>0.5</v>
      </c>
      <c r="J19" s="326" t="s">
        <v>1369</v>
      </c>
      <c r="K19" s="117"/>
      <c r="L19" s="171">
        <f>IF(L$6="S",1*$I19,0)</f>
        <v>0.5</v>
      </c>
      <c r="M19" s="171">
        <f t="shared" ref="M19:AW19" si="39">IF(M$6="S",1*$I19,0)</f>
        <v>0</v>
      </c>
      <c r="N19" s="171">
        <f t="shared" si="39"/>
        <v>0</v>
      </c>
      <c r="O19" s="171">
        <f t="shared" si="39"/>
        <v>0</v>
      </c>
      <c r="P19" s="171">
        <f t="shared" si="39"/>
        <v>0.5</v>
      </c>
      <c r="Q19" s="171">
        <f t="shared" si="39"/>
        <v>0</v>
      </c>
      <c r="R19" s="171">
        <f t="shared" si="39"/>
        <v>0</v>
      </c>
      <c r="S19" s="171">
        <f t="shared" si="39"/>
        <v>0</v>
      </c>
      <c r="T19" s="171">
        <f t="shared" si="39"/>
        <v>0</v>
      </c>
      <c r="U19" s="171">
        <f t="shared" si="39"/>
        <v>0.5</v>
      </c>
      <c r="V19" s="171">
        <f t="shared" si="39"/>
        <v>0</v>
      </c>
      <c r="W19" s="171">
        <f t="shared" si="39"/>
        <v>0</v>
      </c>
      <c r="X19" s="171">
        <f t="shared" si="39"/>
        <v>0</v>
      </c>
      <c r="Y19" s="171">
        <f t="shared" si="39"/>
        <v>0</v>
      </c>
      <c r="Z19" s="171">
        <f t="shared" si="39"/>
        <v>0</v>
      </c>
      <c r="AA19" s="171">
        <f t="shared" si="39"/>
        <v>0.5</v>
      </c>
      <c r="AB19" s="171">
        <f t="shared" si="39"/>
        <v>0</v>
      </c>
      <c r="AC19" s="171">
        <f t="shared" si="39"/>
        <v>0.5</v>
      </c>
      <c r="AD19" s="171">
        <f t="shared" si="39"/>
        <v>0</v>
      </c>
      <c r="AE19" s="171">
        <f t="shared" si="39"/>
        <v>0</v>
      </c>
      <c r="AF19" s="171">
        <f t="shared" si="39"/>
        <v>0.5</v>
      </c>
      <c r="AG19" s="171">
        <f t="shared" si="39"/>
        <v>0.5</v>
      </c>
      <c r="AH19" s="171">
        <f t="shared" si="39"/>
        <v>0.5</v>
      </c>
      <c r="AI19" s="171">
        <f t="shared" si="39"/>
        <v>0.5</v>
      </c>
      <c r="AJ19" s="171">
        <f t="shared" si="39"/>
        <v>0</v>
      </c>
      <c r="AK19" s="171">
        <f t="shared" si="39"/>
        <v>0</v>
      </c>
      <c r="AL19" s="171">
        <f t="shared" si="39"/>
        <v>0</v>
      </c>
      <c r="AM19" s="171">
        <f t="shared" si="39"/>
        <v>0</v>
      </c>
      <c r="AN19" s="171">
        <f t="shared" si="39"/>
        <v>0</v>
      </c>
      <c r="AO19" s="171">
        <f t="shared" si="39"/>
        <v>0</v>
      </c>
      <c r="AP19" s="171">
        <f t="shared" si="39"/>
        <v>0</v>
      </c>
      <c r="AQ19" s="171">
        <f t="shared" si="39"/>
        <v>0</v>
      </c>
      <c r="AR19" s="171">
        <f t="shared" si="39"/>
        <v>0</v>
      </c>
      <c r="AS19" s="171">
        <f t="shared" si="39"/>
        <v>0</v>
      </c>
      <c r="AT19" s="171">
        <f t="shared" si="39"/>
        <v>0</v>
      </c>
      <c r="AU19" s="171">
        <f t="shared" si="39"/>
        <v>0</v>
      </c>
      <c r="AV19" s="171">
        <f t="shared" si="39"/>
        <v>0</v>
      </c>
      <c r="AW19" s="171">
        <f t="shared" si="39"/>
        <v>0</v>
      </c>
    </row>
    <row r="20" spans="1:49" s="78" customFormat="1" ht="32.1" customHeight="1" x14ac:dyDescent="0.2">
      <c r="A20" s="96" t="s">
        <v>699</v>
      </c>
      <c r="B20" s="96" t="s">
        <v>700</v>
      </c>
      <c r="C20" s="97" t="s">
        <v>147</v>
      </c>
      <c r="D20" s="97" t="s">
        <v>724</v>
      </c>
      <c r="E20" s="52"/>
      <c r="F20" s="394" t="str">
        <f t="shared" si="2"/>
        <v>-</v>
      </c>
      <c r="G20" s="396"/>
      <c r="H20" s="397">
        <f>SUM(K20:AU20)</f>
        <v>0</v>
      </c>
      <c r="I20" s="396"/>
      <c r="J20" s="398"/>
      <c r="K20" s="398"/>
      <c r="L20" s="399">
        <f>IF(L$6="W",L$7-$I20,0)</f>
        <v>0</v>
      </c>
      <c r="M20" s="399">
        <f>IF(M$6="W",M$7-$I20,0)</f>
        <v>0</v>
      </c>
      <c r="N20" s="399">
        <f t="shared" ref="N20:AJ20" si="40">IF(N$6="W",N$7-$I20,0)</f>
        <v>0</v>
      </c>
      <c r="O20" s="399">
        <f t="shared" si="40"/>
        <v>0</v>
      </c>
      <c r="P20" s="399">
        <f t="shared" si="40"/>
        <v>0</v>
      </c>
      <c r="Q20" s="399">
        <f t="shared" si="40"/>
        <v>0</v>
      </c>
      <c r="R20" s="399">
        <f t="shared" si="40"/>
        <v>0</v>
      </c>
      <c r="S20" s="399">
        <f t="shared" si="40"/>
        <v>0</v>
      </c>
      <c r="T20" s="399">
        <f t="shared" si="40"/>
        <v>0</v>
      </c>
      <c r="U20" s="399">
        <f t="shared" si="40"/>
        <v>0</v>
      </c>
      <c r="V20" s="399">
        <f t="shared" si="40"/>
        <v>0</v>
      </c>
      <c r="W20" s="399">
        <f t="shared" si="40"/>
        <v>0</v>
      </c>
      <c r="X20" s="399">
        <f t="shared" si="40"/>
        <v>0</v>
      </c>
      <c r="Y20" s="399">
        <f t="shared" si="40"/>
        <v>0</v>
      </c>
      <c r="Z20" s="399">
        <f t="shared" si="40"/>
        <v>0</v>
      </c>
      <c r="AA20" s="399">
        <f t="shared" si="40"/>
        <v>0</v>
      </c>
      <c r="AB20" s="399">
        <f t="shared" si="40"/>
        <v>0</v>
      </c>
      <c r="AC20" s="399">
        <f t="shared" si="40"/>
        <v>0</v>
      </c>
      <c r="AD20" s="399">
        <f t="shared" si="40"/>
        <v>0</v>
      </c>
      <c r="AE20" s="399">
        <f t="shared" si="40"/>
        <v>0</v>
      </c>
      <c r="AF20" s="399">
        <f t="shared" si="40"/>
        <v>0</v>
      </c>
      <c r="AG20" s="399">
        <f t="shared" si="40"/>
        <v>0</v>
      </c>
      <c r="AH20" s="399">
        <f t="shared" si="40"/>
        <v>0</v>
      </c>
      <c r="AI20" s="399">
        <f t="shared" si="40"/>
        <v>0</v>
      </c>
      <c r="AJ20" s="399">
        <f t="shared" si="40"/>
        <v>0</v>
      </c>
      <c r="AK20" s="398"/>
      <c r="AL20" s="398"/>
      <c r="AM20" s="398"/>
      <c r="AN20" s="398"/>
      <c r="AO20" s="398"/>
      <c r="AP20" s="398"/>
      <c r="AQ20" s="398"/>
      <c r="AR20" s="398"/>
      <c r="AS20" s="398"/>
    </row>
    <row r="21" spans="1:49" s="78" customFormat="1" ht="25.5" x14ac:dyDescent="0.2">
      <c r="A21" s="96" t="s">
        <v>701</v>
      </c>
      <c r="B21" s="96" t="s">
        <v>702</v>
      </c>
      <c r="C21" s="97" t="s">
        <v>147</v>
      </c>
      <c r="D21" s="97" t="s">
        <v>724</v>
      </c>
      <c r="E21" s="52"/>
      <c r="F21" s="394" t="str">
        <f t="shared" si="2"/>
        <v>-</v>
      </c>
      <c r="G21" s="396"/>
      <c r="H21" s="397">
        <f t="shared" si="4"/>
        <v>0</v>
      </c>
      <c r="I21" s="396"/>
      <c r="J21" s="398"/>
      <c r="K21" s="398"/>
      <c r="L21" s="399">
        <f>L20</f>
        <v>0</v>
      </c>
      <c r="M21" s="399">
        <f>M20</f>
        <v>0</v>
      </c>
      <c r="N21" s="399">
        <f t="shared" ref="N21:AJ21" si="41">N20</f>
        <v>0</v>
      </c>
      <c r="O21" s="399">
        <f t="shared" si="41"/>
        <v>0</v>
      </c>
      <c r="P21" s="399">
        <f t="shared" si="41"/>
        <v>0</v>
      </c>
      <c r="Q21" s="399">
        <f t="shared" si="41"/>
        <v>0</v>
      </c>
      <c r="R21" s="399">
        <f t="shared" si="41"/>
        <v>0</v>
      </c>
      <c r="S21" s="399">
        <f t="shared" si="41"/>
        <v>0</v>
      </c>
      <c r="T21" s="399">
        <f t="shared" si="41"/>
        <v>0</v>
      </c>
      <c r="U21" s="399">
        <f t="shared" si="41"/>
        <v>0</v>
      </c>
      <c r="V21" s="399">
        <f t="shared" si="41"/>
        <v>0</v>
      </c>
      <c r="W21" s="399">
        <f t="shared" si="41"/>
        <v>0</v>
      </c>
      <c r="X21" s="399">
        <f t="shared" si="41"/>
        <v>0</v>
      </c>
      <c r="Y21" s="399">
        <f t="shared" si="41"/>
        <v>0</v>
      </c>
      <c r="Z21" s="399">
        <f t="shared" si="41"/>
        <v>0</v>
      </c>
      <c r="AA21" s="399">
        <f t="shared" si="41"/>
        <v>0</v>
      </c>
      <c r="AB21" s="399">
        <f t="shared" si="41"/>
        <v>0</v>
      </c>
      <c r="AC21" s="399">
        <f t="shared" si="41"/>
        <v>0</v>
      </c>
      <c r="AD21" s="399">
        <f t="shared" si="41"/>
        <v>0</v>
      </c>
      <c r="AE21" s="399">
        <f t="shared" si="41"/>
        <v>0</v>
      </c>
      <c r="AF21" s="399">
        <f t="shared" si="41"/>
        <v>0</v>
      </c>
      <c r="AG21" s="399">
        <f t="shared" si="41"/>
        <v>0</v>
      </c>
      <c r="AH21" s="399">
        <f t="shared" si="41"/>
        <v>0</v>
      </c>
      <c r="AI21" s="399">
        <f t="shared" si="41"/>
        <v>0</v>
      </c>
      <c r="AJ21" s="399">
        <f t="shared" si="41"/>
        <v>0</v>
      </c>
      <c r="AK21" s="398"/>
      <c r="AL21" s="398"/>
      <c r="AM21" s="398"/>
      <c r="AN21" s="398"/>
      <c r="AO21" s="398"/>
      <c r="AP21" s="398"/>
      <c r="AQ21" s="398"/>
      <c r="AR21" s="398"/>
      <c r="AS21" s="398"/>
    </row>
    <row r="22" spans="1:49" s="78" customFormat="1" ht="25.5" x14ac:dyDescent="0.2">
      <c r="A22" s="96" t="s">
        <v>703</v>
      </c>
      <c r="B22" s="96" t="s">
        <v>704</v>
      </c>
      <c r="C22" s="97" t="s">
        <v>147</v>
      </c>
      <c r="D22" s="97" t="s">
        <v>724</v>
      </c>
      <c r="E22" s="52"/>
      <c r="F22" s="394" t="str">
        <f t="shared" si="2"/>
        <v>-</v>
      </c>
      <c r="G22" s="396"/>
      <c r="H22" s="397">
        <f>SUM(K22:AU22)</f>
        <v>0</v>
      </c>
      <c r="I22" s="396"/>
      <c r="J22" s="398"/>
      <c r="K22" s="398"/>
      <c r="L22" s="399">
        <f>IF(L10="W",L$7-L$16,0)</f>
        <v>0</v>
      </c>
      <c r="M22" s="399">
        <f>IF(M10="W",M$7-M$16,0)</f>
        <v>0</v>
      </c>
      <c r="N22" s="399">
        <f t="shared" ref="N22:AJ22" si="42">IF(N10="W",N$7-N$16,0)</f>
        <v>0</v>
      </c>
      <c r="O22" s="399">
        <f t="shared" si="42"/>
        <v>0</v>
      </c>
      <c r="P22" s="399">
        <f t="shared" si="42"/>
        <v>0</v>
      </c>
      <c r="Q22" s="399">
        <f t="shared" si="42"/>
        <v>0</v>
      </c>
      <c r="R22" s="399">
        <f t="shared" si="42"/>
        <v>0</v>
      </c>
      <c r="S22" s="399">
        <f t="shared" si="42"/>
        <v>0</v>
      </c>
      <c r="T22" s="399">
        <f t="shared" si="42"/>
        <v>0</v>
      </c>
      <c r="U22" s="399">
        <f t="shared" si="42"/>
        <v>0</v>
      </c>
      <c r="V22" s="399">
        <f t="shared" si="42"/>
        <v>0</v>
      </c>
      <c r="W22" s="399">
        <f t="shared" si="42"/>
        <v>0</v>
      </c>
      <c r="X22" s="399">
        <f t="shared" si="42"/>
        <v>0</v>
      </c>
      <c r="Y22" s="399">
        <f t="shared" si="42"/>
        <v>0</v>
      </c>
      <c r="Z22" s="399">
        <f t="shared" si="42"/>
        <v>0</v>
      </c>
      <c r="AA22" s="399">
        <f t="shared" si="42"/>
        <v>0</v>
      </c>
      <c r="AB22" s="399">
        <f t="shared" si="42"/>
        <v>0</v>
      </c>
      <c r="AC22" s="399">
        <f t="shared" si="42"/>
        <v>0</v>
      </c>
      <c r="AD22" s="399">
        <f t="shared" si="42"/>
        <v>0</v>
      </c>
      <c r="AE22" s="399">
        <f t="shared" si="42"/>
        <v>0</v>
      </c>
      <c r="AF22" s="399">
        <f t="shared" si="42"/>
        <v>0</v>
      </c>
      <c r="AG22" s="399">
        <f t="shared" si="42"/>
        <v>0</v>
      </c>
      <c r="AH22" s="399">
        <f t="shared" si="42"/>
        <v>0</v>
      </c>
      <c r="AI22" s="399">
        <f t="shared" si="42"/>
        <v>0</v>
      </c>
      <c r="AJ22" s="399">
        <f t="shared" si="42"/>
        <v>0</v>
      </c>
      <c r="AK22" s="398"/>
      <c r="AL22" s="398"/>
      <c r="AM22" s="398"/>
      <c r="AN22" s="398"/>
      <c r="AO22" s="398"/>
      <c r="AP22" s="398"/>
      <c r="AQ22" s="398"/>
      <c r="AR22" s="398"/>
      <c r="AS22" s="398"/>
    </row>
    <row r="23" spans="1:49" s="78" customFormat="1" ht="25.5" x14ac:dyDescent="0.2">
      <c r="A23" s="96" t="s">
        <v>705</v>
      </c>
      <c r="B23" s="96" t="s">
        <v>706</v>
      </c>
      <c r="C23" s="97" t="s">
        <v>147</v>
      </c>
      <c r="D23" s="97" t="s">
        <v>724</v>
      </c>
      <c r="E23" s="52"/>
      <c r="F23" s="394" t="str">
        <f t="shared" si="2"/>
        <v>-</v>
      </c>
      <c r="G23" s="396"/>
      <c r="H23" s="397">
        <f t="shared" si="4"/>
        <v>0</v>
      </c>
      <c r="I23" s="396"/>
      <c r="J23" s="398"/>
      <c r="K23" s="398"/>
      <c r="L23" s="399">
        <f>IF(L$6="SW",1*$I23,0)</f>
        <v>0</v>
      </c>
      <c r="M23" s="399">
        <f>IF(M$6="SW",1*$I23,0)</f>
        <v>0</v>
      </c>
      <c r="N23" s="399">
        <f t="shared" ref="N23:AJ23" si="43">IF(N$6="SW",1*$I23,0)</f>
        <v>0</v>
      </c>
      <c r="O23" s="399">
        <f t="shared" si="43"/>
        <v>0</v>
      </c>
      <c r="P23" s="399">
        <f t="shared" si="43"/>
        <v>0</v>
      </c>
      <c r="Q23" s="399">
        <f t="shared" si="43"/>
        <v>0</v>
      </c>
      <c r="R23" s="399">
        <f t="shared" si="43"/>
        <v>0</v>
      </c>
      <c r="S23" s="399">
        <f t="shared" si="43"/>
        <v>0</v>
      </c>
      <c r="T23" s="399">
        <f t="shared" si="43"/>
        <v>0</v>
      </c>
      <c r="U23" s="399">
        <f t="shared" si="43"/>
        <v>0</v>
      </c>
      <c r="V23" s="399">
        <f t="shared" si="43"/>
        <v>0</v>
      </c>
      <c r="W23" s="399">
        <f t="shared" si="43"/>
        <v>0</v>
      </c>
      <c r="X23" s="399">
        <f t="shared" si="43"/>
        <v>0</v>
      </c>
      <c r="Y23" s="399">
        <f t="shared" si="43"/>
        <v>0</v>
      </c>
      <c r="Z23" s="399">
        <f t="shared" si="43"/>
        <v>0</v>
      </c>
      <c r="AA23" s="399">
        <f t="shared" si="43"/>
        <v>0</v>
      </c>
      <c r="AB23" s="399">
        <f t="shared" si="43"/>
        <v>0</v>
      </c>
      <c r="AC23" s="399">
        <f t="shared" si="43"/>
        <v>0</v>
      </c>
      <c r="AD23" s="399">
        <f t="shared" si="43"/>
        <v>0</v>
      </c>
      <c r="AE23" s="399">
        <f t="shared" si="43"/>
        <v>0</v>
      </c>
      <c r="AF23" s="399">
        <f t="shared" si="43"/>
        <v>0</v>
      </c>
      <c r="AG23" s="399">
        <f t="shared" si="43"/>
        <v>0</v>
      </c>
      <c r="AH23" s="399">
        <f t="shared" si="43"/>
        <v>0</v>
      </c>
      <c r="AI23" s="399">
        <f t="shared" si="43"/>
        <v>0</v>
      </c>
      <c r="AJ23" s="399">
        <f t="shared" si="43"/>
        <v>0</v>
      </c>
      <c r="AK23" s="398"/>
      <c r="AL23" s="398"/>
      <c r="AM23" s="398"/>
      <c r="AN23" s="398"/>
      <c r="AO23" s="398"/>
      <c r="AP23" s="398"/>
      <c r="AQ23" s="398"/>
      <c r="AR23" s="398"/>
      <c r="AS23" s="398"/>
    </row>
    <row r="24" spans="1:49" s="76" customFormat="1" ht="15" x14ac:dyDescent="0.2">
      <c r="A24" s="45" t="s">
        <v>707</v>
      </c>
      <c r="B24" s="45" t="s">
        <v>708</v>
      </c>
      <c r="C24" s="46" t="s">
        <v>68</v>
      </c>
      <c r="D24" s="46">
        <f>H24</f>
        <v>9</v>
      </c>
      <c r="E24" s="400"/>
      <c r="F24" s="356">
        <f t="shared" si="2"/>
        <v>0</v>
      </c>
      <c r="G24" s="401"/>
      <c r="H24" s="359">
        <f>N26+O26</f>
        <v>9</v>
      </c>
      <c r="I24" s="401"/>
      <c r="J24" s="402"/>
      <c r="K24" s="402"/>
      <c r="L24" s="402"/>
      <c r="M24" s="402"/>
      <c r="N24" s="402"/>
      <c r="O24" s="402"/>
      <c r="P24" s="402"/>
      <c r="Q24" s="402"/>
      <c r="R24" s="402"/>
      <c r="S24" s="402"/>
      <c r="T24" s="402"/>
      <c r="U24" s="402"/>
      <c r="V24" s="402"/>
      <c r="W24" s="402"/>
      <c r="X24" s="402"/>
      <c r="Y24" s="402"/>
      <c r="Z24" s="402"/>
      <c r="AA24" s="402"/>
      <c r="AB24" s="402"/>
      <c r="AC24" s="402"/>
      <c r="AD24" s="402"/>
      <c r="AE24" s="402"/>
      <c r="AF24" s="402"/>
      <c r="AG24" s="402"/>
      <c r="AH24" s="402"/>
      <c r="AI24" s="402"/>
      <c r="AJ24" s="402"/>
      <c r="AK24" s="402"/>
      <c r="AL24" s="402"/>
      <c r="AM24" s="402"/>
      <c r="AN24" s="402"/>
      <c r="AO24" s="402"/>
      <c r="AP24" s="402"/>
      <c r="AQ24" s="402"/>
      <c r="AR24" s="402"/>
      <c r="AS24" s="402"/>
    </row>
    <row r="25" spans="1:49" ht="25.5" x14ac:dyDescent="0.2">
      <c r="A25" s="47" t="s">
        <v>709</v>
      </c>
      <c r="B25" s="47" t="s">
        <v>710</v>
      </c>
      <c r="C25" s="48" t="s">
        <v>68</v>
      </c>
      <c r="D25" s="48" t="s">
        <v>724</v>
      </c>
      <c r="E25" s="14"/>
      <c r="F25" s="293" t="str">
        <f t="shared" si="2"/>
        <v>-</v>
      </c>
      <c r="G25" s="326"/>
      <c r="H25" s="178">
        <f>SUM(M25:AU25)</f>
        <v>0</v>
      </c>
      <c r="I25" s="326"/>
      <c r="J25" s="117"/>
      <c r="K25" s="117"/>
      <c r="L25" s="333" t="s">
        <v>1373</v>
      </c>
      <c r="M25" s="117" t="s">
        <v>1371</v>
      </c>
      <c r="N25" s="117" t="s">
        <v>1372</v>
      </c>
      <c r="O25" s="117" t="s">
        <v>1379</v>
      </c>
      <c r="P25" s="117"/>
      <c r="Q25" s="117"/>
      <c r="R25" s="117"/>
      <c r="S25" s="117"/>
      <c r="T25" s="117"/>
      <c r="U25" s="117"/>
      <c r="V25" s="117"/>
      <c r="W25" s="117"/>
      <c r="X25" s="117"/>
      <c r="Y25" s="117"/>
      <c r="Z25" s="117"/>
      <c r="AA25" s="117"/>
      <c r="AB25" s="117"/>
      <c r="AC25" s="117"/>
      <c r="AD25" s="117"/>
      <c r="AE25" s="117"/>
      <c r="AF25" s="117"/>
      <c r="AG25" s="117"/>
      <c r="AH25" s="117"/>
      <c r="AI25" s="117"/>
      <c r="AJ25" s="117"/>
      <c r="AK25" s="117"/>
      <c r="AL25" s="117"/>
      <c r="AM25" s="117"/>
      <c r="AN25" s="117"/>
      <c r="AO25" s="117"/>
      <c r="AP25" s="117"/>
      <c r="AQ25" s="117"/>
      <c r="AR25" s="117"/>
      <c r="AS25" s="117"/>
    </row>
    <row r="26" spans="1:49" ht="25.5" customHeight="1" x14ac:dyDescent="0.2">
      <c r="A26" s="50" t="s">
        <v>711</v>
      </c>
      <c r="B26" s="50" t="s">
        <v>712</v>
      </c>
      <c r="C26" s="98" t="s">
        <v>68</v>
      </c>
      <c r="D26" s="98">
        <f>H26</f>
        <v>6</v>
      </c>
      <c r="E26" s="44"/>
      <c r="F26" s="293">
        <f t="shared" si="2"/>
        <v>0</v>
      </c>
      <c r="G26" s="326"/>
      <c r="H26" s="330">
        <f>I26</f>
        <v>6</v>
      </c>
      <c r="I26" s="337">
        <f>$L$26*$J26</f>
        <v>6</v>
      </c>
      <c r="J26" s="338">
        <v>0.5</v>
      </c>
      <c r="K26" s="117" t="s">
        <v>1370</v>
      </c>
      <c r="L26" s="116">
        <f>SUM(M26:N26)</f>
        <v>12</v>
      </c>
      <c r="M26" s="116">
        <f>COUNTIF($K$6:$AW$6,"P")</f>
        <v>3</v>
      </c>
      <c r="N26" s="116">
        <f>COUNTIF($K$6:$AW$6,"S")</f>
        <v>9</v>
      </c>
      <c r="O26" s="116">
        <f>COUNTIF($K$6:$AW$6,"W")</f>
        <v>0</v>
      </c>
      <c r="P26" s="117"/>
      <c r="Q26" s="117"/>
      <c r="R26" s="117"/>
      <c r="S26" s="117"/>
      <c r="T26" s="117"/>
      <c r="U26" s="117"/>
      <c r="V26" s="117"/>
      <c r="W26" s="117"/>
      <c r="X26" s="117"/>
      <c r="Y26" s="117"/>
      <c r="Z26" s="117"/>
      <c r="AA26" s="117"/>
      <c r="AB26" s="117"/>
      <c r="AC26" s="117"/>
      <c r="AD26" s="117"/>
      <c r="AE26" s="117"/>
      <c r="AF26" s="117"/>
      <c r="AG26" s="117"/>
      <c r="AH26" s="117"/>
      <c r="AI26" s="117"/>
      <c r="AJ26" s="117"/>
      <c r="AK26" s="117"/>
      <c r="AL26" s="117"/>
      <c r="AM26" s="117"/>
      <c r="AN26" s="117"/>
      <c r="AO26" s="117"/>
      <c r="AP26" s="117"/>
      <c r="AQ26" s="117"/>
      <c r="AR26" s="117"/>
      <c r="AS26" s="117"/>
    </row>
    <row r="27" spans="1:49" ht="26.25" customHeight="1" x14ac:dyDescent="0.2">
      <c r="A27" s="50" t="s">
        <v>713</v>
      </c>
      <c r="B27" s="50" t="s">
        <v>714</v>
      </c>
      <c r="C27" s="98" t="s">
        <v>68</v>
      </c>
      <c r="D27" s="98">
        <f>H27</f>
        <v>6</v>
      </c>
      <c r="E27" s="44"/>
      <c r="F27" s="293">
        <f t="shared" si="2"/>
        <v>0</v>
      </c>
      <c r="G27" s="326"/>
      <c r="H27" s="330">
        <f>I27</f>
        <v>6</v>
      </c>
      <c r="I27" s="337">
        <f>$L$26*$J27</f>
        <v>6</v>
      </c>
      <c r="J27" s="338">
        <v>0.5</v>
      </c>
      <c r="K27" s="117" t="s">
        <v>1370</v>
      </c>
      <c r="L27" s="117"/>
      <c r="M27" s="117"/>
      <c r="N27" s="117"/>
      <c r="O27" s="117"/>
      <c r="P27" s="117"/>
      <c r="Q27" s="117"/>
      <c r="R27" s="117"/>
      <c r="S27" s="117"/>
      <c r="T27" s="117"/>
      <c r="U27" s="117"/>
      <c r="V27" s="117"/>
      <c r="W27" s="117"/>
      <c r="X27" s="117"/>
      <c r="Y27" s="117"/>
      <c r="Z27" s="117"/>
      <c r="AA27" s="117"/>
      <c r="AB27" s="117"/>
      <c r="AC27" s="117"/>
      <c r="AD27" s="117"/>
      <c r="AE27" s="117"/>
      <c r="AF27" s="117"/>
      <c r="AG27" s="117"/>
      <c r="AH27" s="117"/>
      <c r="AI27" s="117"/>
      <c r="AJ27" s="117"/>
      <c r="AK27" s="117"/>
      <c r="AL27" s="117"/>
      <c r="AM27" s="117"/>
      <c r="AN27" s="117"/>
      <c r="AO27" s="117"/>
      <c r="AP27" s="117"/>
      <c r="AQ27" s="117"/>
      <c r="AR27" s="117"/>
      <c r="AS27" s="117"/>
    </row>
    <row r="28" spans="1:49" ht="25.5" x14ac:dyDescent="0.2">
      <c r="A28" s="47" t="s">
        <v>715</v>
      </c>
      <c r="B28" s="47" t="s">
        <v>716</v>
      </c>
      <c r="C28" s="48" t="s">
        <v>68</v>
      </c>
      <c r="D28" s="48" t="s">
        <v>724</v>
      </c>
      <c r="E28" s="7"/>
      <c r="F28" s="293" t="str">
        <f t="shared" si="2"/>
        <v>-</v>
      </c>
      <c r="G28" s="326"/>
      <c r="H28" s="178">
        <f t="shared" si="4"/>
        <v>0</v>
      </c>
      <c r="I28" s="326"/>
      <c r="J28" s="117"/>
      <c r="K28" s="117"/>
      <c r="L28" s="117"/>
      <c r="M28" s="117"/>
      <c r="N28" s="117"/>
      <c r="O28" s="117"/>
      <c r="P28" s="117"/>
      <c r="Q28" s="117"/>
      <c r="R28" s="117"/>
      <c r="S28" s="117"/>
      <c r="T28" s="117"/>
      <c r="U28" s="117"/>
      <c r="V28" s="117"/>
      <c r="W28" s="117"/>
      <c r="X28" s="117"/>
      <c r="Y28" s="117"/>
      <c r="Z28" s="117"/>
      <c r="AA28" s="117"/>
      <c r="AB28" s="117"/>
      <c r="AC28" s="117"/>
      <c r="AD28" s="117"/>
      <c r="AE28" s="117"/>
      <c r="AF28" s="117"/>
      <c r="AG28" s="117"/>
      <c r="AH28" s="117"/>
      <c r="AI28" s="117"/>
      <c r="AJ28" s="117"/>
      <c r="AK28" s="117"/>
      <c r="AL28" s="117"/>
      <c r="AM28" s="117"/>
      <c r="AN28" s="117"/>
      <c r="AO28" s="117"/>
      <c r="AP28" s="117"/>
      <c r="AQ28" s="117"/>
      <c r="AR28" s="117"/>
      <c r="AS28" s="117"/>
    </row>
    <row r="29" spans="1:49" ht="38.25" x14ac:dyDescent="0.2">
      <c r="A29" s="50" t="s">
        <v>717</v>
      </c>
      <c r="B29" s="50" t="s">
        <v>718</v>
      </c>
      <c r="C29" s="98" t="s">
        <v>68</v>
      </c>
      <c r="D29" s="98">
        <f>H29</f>
        <v>6</v>
      </c>
      <c r="E29" s="44"/>
      <c r="F29" s="293">
        <f t="shared" si="2"/>
        <v>0</v>
      </c>
      <c r="G29" s="326"/>
      <c r="H29" s="330">
        <f>I29</f>
        <v>6</v>
      </c>
      <c r="I29" s="337">
        <f>$L$26*$J29</f>
        <v>6</v>
      </c>
      <c r="J29" s="338">
        <v>0.5</v>
      </c>
      <c r="K29" s="117" t="s">
        <v>1370</v>
      </c>
      <c r="L29" s="117"/>
      <c r="M29" s="117"/>
      <c r="N29" s="117"/>
      <c r="O29" s="117"/>
      <c r="P29" s="117"/>
      <c r="Q29" s="117"/>
      <c r="R29" s="117"/>
      <c r="S29" s="117"/>
      <c r="T29" s="117"/>
      <c r="U29" s="117"/>
      <c r="V29" s="117"/>
      <c r="W29" s="117"/>
      <c r="X29" s="117"/>
      <c r="Y29" s="117"/>
      <c r="Z29" s="117"/>
      <c r="AA29" s="117"/>
      <c r="AB29" s="117"/>
      <c r="AC29" s="117"/>
      <c r="AD29" s="117"/>
      <c r="AE29" s="117"/>
      <c r="AF29" s="117"/>
      <c r="AG29" s="117"/>
      <c r="AH29" s="117"/>
      <c r="AI29" s="117"/>
      <c r="AJ29" s="117"/>
      <c r="AK29" s="117"/>
      <c r="AL29" s="117"/>
      <c r="AM29" s="117"/>
      <c r="AN29" s="117"/>
      <c r="AO29" s="117"/>
      <c r="AP29" s="117"/>
      <c r="AQ29" s="117"/>
      <c r="AR29" s="117"/>
      <c r="AS29" s="117"/>
    </row>
    <row r="30" spans="1:49" ht="25.5" x14ac:dyDescent="0.2">
      <c r="A30" s="50" t="s">
        <v>719</v>
      </c>
      <c r="B30" s="50" t="s">
        <v>720</v>
      </c>
      <c r="C30" s="98" t="s">
        <v>68</v>
      </c>
      <c r="D30" s="98">
        <f>H30</f>
        <v>6</v>
      </c>
      <c r="E30" s="44"/>
      <c r="F30" s="293">
        <f t="shared" si="2"/>
        <v>0</v>
      </c>
      <c r="G30" s="326"/>
      <c r="H30" s="330">
        <f>I30</f>
        <v>6</v>
      </c>
      <c r="I30" s="337">
        <f>$L$26*$J30</f>
        <v>6</v>
      </c>
      <c r="J30" s="338">
        <v>0.5</v>
      </c>
      <c r="K30" s="117" t="s">
        <v>1370</v>
      </c>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7"/>
      <c r="AI30" s="117"/>
      <c r="AJ30" s="117"/>
      <c r="AK30" s="117"/>
      <c r="AL30" s="117"/>
      <c r="AM30" s="117"/>
      <c r="AN30" s="117"/>
      <c r="AO30" s="117"/>
      <c r="AP30" s="117"/>
      <c r="AQ30" s="117"/>
      <c r="AR30" s="117"/>
      <c r="AS30" s="117"/>
    </row>
    <row r="31" spans="1:49" ht="25.5" x14ac:dyDescent="0.2">
      <c r="A31" s="47"/>
      <c r="B31" s="172" t="s">
        <v>721</v>
      </c>
      <c r="C31" s="48"/>
      <c r="D31" s="48"/>
      <c r="E31" s="7"/>
      <c r="F31" s="296"/>
      <c r="G31" s="326"/>
      <c r="H31" s="178"/>
      <c r="I31" s="326"/>
      <c r="J31" s="117"/>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7"/>
      <c r="AI31" s="117"/>
      <c r="AJ31" s="117"/>
      <c r="AK31" s="117"/>
      <c r="AL31" s="117"/>
      <c r="AM31" s="117"/>
      <c r="AN31" s="117"/>
      <c r="AO31" s="117"/>
      <c r="AP31" s="117"/>
      <c r="AQ31" s="117"/>
      <c r="AR31" s="117"/>
      <c r="AS31" s="117"/>
    </row>
    <row r="32" spans="1:49" ht="25.5" x14ac:dyDescent="0.2">
      <c r="A32" s="47" t="s">
        <v>722</v>
      </c>
      <c r="B32" s="47" t="s">
        <v>723</v>
      </c>
      <c r="C32" s="48" t="s">
        <v>11</v>
      </c>
      <c r="D32" s="48" t="s">
        <v>724</v>
      </c>
      <c r="E32" s="13"/>
      <c r="F32" s="293" t="str">
        <f t="shared" ref="F32:F37" si="44">IF(ISNUMBER(SEARCH("incl",$D32)),"-",IF(ISNUMBER(SEARCH("not r",$D32)),"-",IF(ISNUMBER(SEARCH("refer",$D32)),"-",IF(C32="sum","",$D32*$E32))))</f>
        <v>-</v>
      </c>
      <c r="G32" s="326"/>
      <c r="H32" s="178">
        <f t="shared" ref="H32:H48" si="45">SUM(K32:AU32)</f>
        <v>0</v>
      </c>
      <c r="I32" s="326"/>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7"/>
      <c r="AI32" s="117"/>
      <c r="AJ32" s="117"/>
      <c r="AK32" s="117"/>
      <c r="AL32" s="117"/>
      <c r="AM32" s="117"/>
      <c r="AN32" s="117"/>
      <c r="AO32" s="117"/>
      <c r="AP32" s="117"/>
      <c r="AQ32" s="117"/>
      <c r="AR32" s="117"/>
      <c r="AS32" s="117"/>
    </row>
    <row r="33" spans="1:45" ht="25.5" x14ac:dyDescent="0.2">
      <c r="A33" s="47" t="s">
        <v>725</v>
      </c>
      <c r="B33" s="47" t="s">
        <v>726</v>
      </c>
      <c r="C33" s="48" t="s">
        <v>158</v>
      </c>
      <c r="D33" s="48" t="s">
        <v>724</v>
      </c>
      <c r="E33" s="14"/>
      <c r="F33" s="293" t="str">
        <f t="shared" si="44"/>
        <v>-</v>
      </c>
      <c r="G33" s="326"/>
      <c r="H33" s="178">
        <f t="shared" si="45"/>
        <v>0</v>
      </c>
      <c r="I33" s="326"/>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117"/>
      <c r="AH33" s="117"/>
      <c r="AI33" s="117"/>
      <c r="AJ33" s="117"/>
      <c r="AK33" s="117"/>
      <c r="AL33" s="117"/>
      <c r="AM33" s="117"/>
      <c r="AN33" s="117"/>
      <c r="AO33" s="117"/>
      <c r="AP33" s="117"/>
      <c r="AQ33" s="117"/>
      <c r="AR33" s="117"/>
      <c r="AS33" s="117"/>
    </row>
    <row r="34" spans="1:45" ht="25.5" x14ac:dyDescent="0.2">
      <c r="A34" s="47" t="s">
        <v>727</v>
      </c>
      <c r="B34" s="47" t="s">
        <v>728</v>
      </c>
      <c r="C34" s="48" t="s">
        <v>68</v>
      </c>
      <c r="D34" s="48" t="s">
        <v>724</v>
      </c>
      <c r="E34" s="14"/>
      <c r="F34" s="293" t="str">
        <f t="shared" si="44"/>
        <v>-</v>
      </c>
      <c r="G34" s="326"/>
      <c r="H34" s="178">
        <f t="shared" si="45"/>
        <v>0</v>
      </c>
      <c r="I34" s="326"/>
      <c r="J34" s="117"/>
      <c r="K34" s="117"/>
      <c r="L34" s="117"/>
      <c r="M34" s="117"/>
      <c r="N34" s="117"/>
      <c r="O34" s="117"/>
      <c r="P34" s="117"/>
      <c r="Q34" s="117"/>
      <c r="R34" s="117"/>
      <c r="S34" s="117"/>
      <c r="T34" s="117"/>
      <c r="U34" s="117"/>
      <c r="V34" s="117"/>
      <c r="W34" s="117"/>
      <c r="X34" s="117"/>
      <c r="Y34" s="117"/>
      <c r="Z34" s="117"/>
      <c r="AA34" s="117"/>
      <c r="AB34" s="117"/>
      <c r="AC34" s="117"/>
      <c r="AD34" s="117"/>
      <c r="AE34" s="117"/>
      <c r="AF34" s="117"/>
      <c r="AG34" s="117"/>
      <c r="AH34" s="117"/>
      <c r="AI34" s="117"/>
      <c r="AJ34" s="117"/>
      <c r="AK34" s="117"/>
      <c r="AL34" s="117"/>
      <c r="AM34" s="117"/>
      <c r="AN34" s="117"/>
      <c r="AO34" s="117"/>
      <c r="AP34" s="117"/>
      <c r="AQ34" s="117"/>
      <c r="AR34" s="117"/>
      <c r="AS34" s="117"/>
    </row>
    <row r="35" spans="1:45" ht="25.5" x14ac:dyDescent="0.2">
      <c r="A35" s="47" t="s">
        <v>729</v>
      </c>
      <c r="B35" s="47" t="s">
        <v>730</v>
      </c>
      <c r="C35" s="48" t="s">
        <v>68</v>
      </c>
      <c r="D35" s="48" t="s">
        <v>724</v>
      </c>
      <c r="E35" s="14"/>
      <c r="F35" s="293" t="str">
        <f t="shared" si="44"/>
        <v>-</v>
      </c>
      <c r="G35" s="326"/>
      <c r="H35" s="178">
        <f t="shared" si="45"/>
        <v>0</v>
      </c>
      <c r="I35" s="326"/>
      <c r="J35" s="117"/>
      <c r="K35" s="117"/>
      <c r="L35" s="117"/>
      <c r="M35" s="117"/>
      <c r="N35" s="117"/>
      <c r="O35" s="117"/>
      <c r="P35" s="117"/>
      <c r="Q35" s="117"/>
      <c r="R35" s="117"/>
      <c r="S35" s="117"/>
      <c r="T35" s="117"/>
      <c r="U35" s="117"/>
      <c r="V35" s="117"/>
      <c r="W35" s="117"/>
      <c r="X35" s="117"/>
      <c r="Y35" s="117"/>
      <c r="Z35" s="117"/>
      <c r="AA35" s="117"/>
      <c r="AB35" s="117"/>
      <c r="AC35" s="117"/>
      <c r="AD35" s="117"/>
      <c r="AE35" s="117"/>
      <c r="AF35" s="117"/>
      <c r="AG35" s="117"/>
      <c r="AH35" s="117"/>
      <c r="AI35" s="117"/>
      <c r="AJ35" s="117"/>
      <c r="AK35" s="117"/>
      <c r="AL35" s="117"/>
      <c r="AM35" s="117"/>
      <c r="AN35" s="117"/>
      <c r="AO35" s="117"/>
      <c r="AP35" s="117"/>
      <c r="AQ35" s="117"/>
      <c r="AR35" s="117"/>
      <c r="AS35" s="117"/>
    </row>
    <row r="36" spans="1:45" ht="25.5" x14ac:dyDescent="0.2">
      <c r="A36" s="47" t="s">
        <v>731</v>
      </c>
      <c r="B36" s="47" t="s">
        <v>732</v>
      </c>
      <c r="C36" s="48" t="s">
        <v>68</v>
      </c>
      <c r="D36" s="48" t="s">
        <v>724</v>
      </c>
      <c r="E36" s="14"/>
      <c r="F36" s="293" t="str">
        <f t="shared" si="44"/>
        <v>-</v>
      </c>
      <c r="G36" s="326"/>
      <c r="H36" s="178">
        <f t="shared" si="45"/>
        <v>0</v>
      </c>
      <c r="I36" s="326"/>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17"/>
      <c r="AS36" s="117"/>
    </row>
    <row r="37" spans="1:45" ht="25.5" x14ac:dyDescent="0.2">
      <c r="A37" s="47" t="s">
        <v>733</v>
      </c>
      <c r="B37" s="47" t="s">
        <v>734</v>
      </c>
      <c r="C37" s="48" t="s">
        <v>735</v>
      </c>
      <c r="D37" s="48" t="s">
        <v>724</v>
      </c>
      <c r="E37" s="14"/>
      <c r="F37" s="293" t="str">
        <f t="shared" si="44"/>
        <v>-</v>
      </c>
      <c r="G37" s="326"/>
      <c r="H37" s="178">
        <f t="shared" si="45"/>
        <v>0</v>
      </c>
      <c r="I37" s="326"/>
      <c r="J37" s="117"/>
      <c r="K37" s="117"/>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7"/>
      <c r="AI37" s="117"/>
      <c r="AJ37" s="117"/>
      <c r="AK37" s="117"/>
      <c r="AL37" s="117"/>
      <c r="AM37" s="117"/>
      <c r="AN37" s="117"/>
      <c r="AO37" s="117"/>
      <c r="AP37" s="117"/>
      <c r="AQ37" s="117"/>
      <c r="AR37" s="117"/>
      <c r="AS37" s="117"/>
    </row>
    <row r="38" spans="1:45" ht="15" x14ac:dyDescent="0.2">
      <c r="A38" s="47"/>
      <c r="B38" s="172" t="s">
        <v>736</v>
      </c>
      <c r="C38" s="48"/>
      <c r="D38" s="48"/>
      <c r="E38" s="7"/>
      <c r="F38" s="296"/>
      <c r="G38" s="326"/>
      <c r="H38" s="178">
        <f t="shared" si="45"/>
        <v>0</v>
      </c>
      <c r="I38" s="326"/>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row>
    <row r="39" spans="1:45" ht="38.25" x14ac:dyDescent="0.2">
      <c r="A39" s="47" t="s">
        <v>737</v>
      </c>
      <c r="B39" s="47" t="s">
        <v>738</v>
      </c>
      <c r="C39" s="48" t="s">
        <v>147</v>
      </c>
      <c r="D39" s="48" t="s">
        <v>724</v>
      </c>
      <c r="E39" s="14"/>
      <c r="F39" s="293" t="str">
        <f t="shared" ref="F39:F48" si="46">IF(ISNUMBER(SEARCH("incl",$D39)),"-",IF(ISNUMBER(SEARCH("not r",$D39)),"-",IF(ISNUMBER(SEARCH("refer",$D39)),"-",IF(C39="sum","",$D39*$E39))))</f>
        <v>-</v>
      </c>
      <c r="G39" s="326"/>
      <c r="H39" s="178">
        <f t="shared" si="45"/>
        <v>0</v>
      </c>
      <c r="I39" s="326"/>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c r="AI39" s="117"/>
      <c r="AJ39" s="117"/>
      <c r="AK39" s="117"/>
      <c r="AL39" s="117"/>
      <c r="AM39" s="117"/>
      <c r="AN39" s="117"/>
      <c r="AO39" s="117"/>
      <c r="AP39" s="117"/>
      <c r="AQ39" s="117"/>
      <c r="AR39" s="117"/>
      <c r="AS39" s="117"/>
    </row>
    <row r="40" spans="1:45" ht="25.5" x14ac:dyDescent="0.2">
      <c r="A40" s="47" t="s">
        <v>739</v>
      </c>
      <c r="B40" s="47" t="s">
        <v>740</v>
      </c>
      <c r="C40" s="48" t="s">
        <v>1117</v>
      </c>
      <c r="D40" s="48" t="s">
        <v>724</v>
      </c>
      <c r="E40" s="14"/>
      <c r="F40" s="293" t="str">
        <f t="shared" si="46"/>
        <v>-</v>
      </c>
      <c r="G40" s="326"/>
      <c r="H40" s="178">
        <f t="shared" si="45"/>
        <v>0</v>
      </c>
      <c r="I40" s="326"/>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row>
    <row r="41" spans="1:45" ht="38.25" x14ac:dyDescent="0.2">
      <c r="A41" s="47" t="s">
        <v>741</v>
      </c>
      <c r="B41" s="47" t="s">
        <v>742</v>
      </c>
      <c r="C41" s="48" t="s">
        <v>37</v>
      </c>
      <c r="D41" s="48" t="s">
        <v>724</v>
      </c>
      <c r="E41" s="14"/>
      <c r="F41" s="293" t="str">
        <f t="shared" si="46"/>
        <v>-</v>
      </c>
      <c r="G41" s="326"/>
      <c r="H41" s="178">
        <f t="shared" si="45"/>
        <v>0</v>
      </c>
      <c r="I41" s="326"/>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c r="AI41" s="117"/>
      <c r="AJ41" s="117"/>
      <c r="AK41" s="117"/>
      <c r="AL41" s="117"/>
      <c r="AM41" s="117"/>
      <c r="AN41" s="117"/>
      <c r="AO41" s="117"/>
      <c r="AP41" s="117"/>
      <c r="AQ41" s="117"/>
      <c r="AR41" s="117"/>
      <c r="AS41" s="117"/>
    </row>
    <row r="42" spans="1:45" ht="25.5" x14ac:dyDescent="0.2">
      <c r="A42" s="47" t="s">
        <v>743</v>
      </c>
      <c r="B42" s="47" t="s">
        <v>744</v>
      </c>
      <c r="C42" s="48" t="s">
        <v>182</v>
      </c>
      <c r="D42" s="48" t="s">
        <v>724</v>
      </c>
      <c r="E42" s="14"/>
      <c r="F42" s="293" t="str">
        <f t="shared" si="46"/>
        <v>-</v>
      </c>
      <c r="G42" s="326"/>
      <c r="H42" s="178">
        <f t="shared" si="45"/>
        <v>0</v>
      </c>
      <c r="I42" s="326"/>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7"/>
      <c r="AI42" s="117"/>
      <c r="AJ42" s="117"/>
      <c r="AK42" s="117"/>
      <c r="AL42" s="117"/>
      <c r="AM42" s="117"/>
      <c r="AN42" s="117"/>
      <c r="AO42" s="117"/>
      <c r="AP42" s="117"/>
      <c r="AQ42" s="117"/>
      <c r="AR42" s="117"/>
      <c r="AS42" s="117"/>
    </row>
    <row r="43" spans="1:45" ht="25.5" x14ac:dyDescent="0.2">
      <c r="A43" s="47" t="s">
        <v>745</v>
      </c>
      <c r="B43" s="47" t="s">
        <v>712</v>
      </c>
      <c r="C43" s="48" t="s">
        <v>68</v>
      </c>
      <c r="D43" s="48" t="s">
        <v>724</v>
      </c>
      <c r="E43" s="14"/>
      <c r="F43" s="293" t="str">
        <f t="shared" si="46"/>
        <v>-</v>
      </c>
      <c r="G43" s="326"/>
      <c r="H43" s="178">
        <f t="shared" si="45"/>
        <v>0</v>
      </c>
      <c r="I43" s="326"/>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7"/>
      <c r="AI43" s="117"/>
      <c r="AJ43" s="117"/>
      <c r="AK43" s="117"/>
      <c r="AL43" s="117"/>
      <c r="AM43" s="117"/>
      <c r="AN43" s="117"/>
      <c r="AO43" s="117"/>
      <c r="AP43" s="117"/>
      <c r="AQ43" s="117"/>
      <c r="AR43" s="117"/>
      <c r="AS43" s="117"/>
    </row>
    <row r="44" spans="1:45" ht="15" x14ac:dyDescent="0.2">
      <c r="A44" s="47"/>
      <c r="B44" s="172" t="s">
        <v>746</v>
      </c>
      <c r="C44" s="48"/>
      <c r="D44" s="48"/>
      <c r="E44" s="14"/>
      <c r="F44" s="296"/>
      <c r="G44" s="326"/>
      <c r="H44" s="178">
        <f t="shared" si="45"/>
        <v>0</v>
      </c>
      <c r="I44" s="326"/>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7"/>
      <c r="AI44" s="117"/>
      <c r="AJ44" s="117"/>
      <c r="AK44" s="117"/>
      <c r="AL44" s="117"/>
      <c r="AM44" s="117"/>
      <c r="AN44" s="117"/>
      <c r="AO44" s="117"/>
      <c r="AP44" s="117"/>
      <c r="AQ44" s="117"/>
      <c r="AR44" s="117"/>
      <c r="AS44" s="117"/>
    </row>
    <row r="45" spans="1:45" ht="25.5" x14ac:dyDescent="0.2">
      <c r="A45" s="47" t="s">
        <v>747</v>
      </c>
      <c r="B45" s="47" t="s">
        <v>748</v>
      </c>
      <c r="C45" s="48" t="s">
        <v>68</v>
      </c>
      <c r="D45" s="48" t="s">
        <v>724</v>
      </c>
      <c r="E45" s="14"/>
      <c r="F45" s="293" t="str">
        <f t="shared" si="46"/>
        <v>-</v>
      </c>
      <c r="G45" s="326"/>
      <c r="H45" s="178">
        <f t="shared" si="45"/>
        <v>0</v>
      </c>
      <c r="I45" s="326"/>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c r="AI45" s="117"/>
      <c r="AJ45" s="117"/>
      <c r="AK45" s="117"/>
      <c r="AL45" s="117"/>
      <c r="AM45" s="117"/>
      <c r="AN45" s="117"/>
      <c r="AO45" s="117"/>
      <c r="AP45" s="117"/>
      <c r="AQ45" s="117"/>
      <c r="AR45" s="117"/>
      <c r="AS45" s="117"/>
    </row>
    <row r="46" spans="1:45" ht="51" x14ac:dyDescent="0.2">
      <c r="A46" s="47" t="s">
        <v>749</v>
      </c>
      <c r="B46" s="47" t="s">
        <v>750</v>
      </c>
      <c r="C46" s="48" t="s">
        <v>147</v>
      </c>
      <c r="D46" s="48" t="s">
        <v>724</v>
      </c>
      <c r="E46" s="14"/>
      <c r="F46" s="293" t="str">
        <f t="shared" si="46"/>
        <v>-</v>
      </c>
      <c r="G46" s="326"/>
      <c r="H46" s="178">
        <f t="shared" si="45"/>
        <v>0</v>
      </c>
      <c r="I46" s="326"/>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c r="AI46" s="117"/>
      <c r="AJ46" s="117"/>
      <c r="AK46" s="117"/>
      <c r="AL46" s="117"/>
      <c r="AM46" s="117"/>
      <c r="AN46" s="117"/>
      <c r="AO46" s="117"/>
      <c r="AP46" s="117"/>
      <c r="AQ46" s="117"/>
      <c r="AR46" s="117"/>
      <c r="AS46" s="117"/>
    </row>
    <row r="47" spans="1:45" ht="25.5" x14ac:dyDescent="0.2">
      <c r="A47" s="47" t="s">
        <v>751</v>
      </c>
      <c r="B47" s="47" t="s">
        <v>712</v>
      </c>
      <c r="C47" s="48" t="s">
        <v>68</v>
      </c>
      <c r="D47" s="48" t="s">
        <v>724</v>
      </c>
      <c r="E47" s="14"/>
      <c r="F47" s="293" t="str">
        <f t="shared" si="46"/>
        <v>-</v>
      </c>
      <c r="G47" s="326"/>
      <c r="H47" s="178">
        <f t="shared" si="45"/>
        <v>0</v>
      </c>
      <c r="I47" s="326"/>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c r="AI47" s="117"/>
      <c r="AJ47" s="117"/>
      <c r="AK47" s="117"/>
      <c r="AL47" s="117"/>
      <c r="AM47" s="117"/>
      <c r="AN47" s="117"/>
      <c r="AO47" s="117"/>
      <c r="AP47" s="117"/>
      <c r="AQ47" s="117"/>
      <c r="AR47" s="117"/>
      <c r="AS47" s="117"/>
    </row>
    <row r="48" spans="1:45" ht="25.5" x14ac:dyDescent="0.2">
      <c r="A48" s="47" t="s">
        <v>752</v>
      </c>
      <c r="B48" s="47" t="s">
        <v>753</v>
      </c>
      <c r="C48" s="48" t="s">
        <v>68</v>
      </c>
      <c r="D48" s="48" t="s">
        <v>724</v>
      </c>
      <c r="E48" s="14"/>
      <c r="F48" s="293" t="str">
        <f t="shared" si="46"/>
        <v>-</v>
      </c>
      <c r="G48" s="326"/>
      <c r="H48" s="178">
        <f t="shared" si="45"/>
        <v>0</v>
      </c>
      <c r="I48" s="326"/>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c r="AI48" s="117"/>
      <c r="AJ48" s="117"/>
      <c r="AK48" s="117"/>
      <c r="AL48" s="117"/>
      <c r="AM48" s="117"/>
      <c r="AN48" s="117"/>
      <c r="AO48" s="117"/>
      <c r="AP48" s="117"/>
      <c r="AQ48" s="117"/>
      <c r="AR48" s="117"/>
      <c r="AS48" s="117"/>
    </row>
    <row r="49" spans="1:45" x14ac:dyDescent="0.2">
      <c r="A49" s="412" t="s">
        <v>754</v>
      </c>
      <c r="B49" s="413"/>
      <c r="C49" s="413"/>
      <c r="D49" s="413"/>
      <c r="E49" s="414"/>
      <c r="F49" s="339">
        <f>SUM(F11:F48)</f>
        <v>0</v>
      </c>
      <c r="G49" s="328"/>
      <c r="H49" s="328"/>
      <c r="I49" s="334"/>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c r="AI49" s="117"/>
      <c r="AJ49" s="117"/>
      <c r="AK49" s="117"/>
      <c r="AL49" s="117"/>
      <c r="AM49" s="117"/>
      <c r="AN49" s="117"/>
      <c r="AO49" s="117"/>
      <c r="AP49" s="117"/>
      <c r="AQ49" s="117"/>
      <c r="AR49" s="117"/>
      <c r="AS49" s="117"/>
    </row>
    <row r="50" spans="1:45" x14ac:dyDescent="0.2">
      <c r="G50" s="327"/>
      <c r="H50" s="327"/>
      <c r="I50" s="332"/>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7"/>
      <c r="AI50" s="117"/>
      <c r="AJ50" s="117"/>
      <c r="AK50" s="117"/>
      <c r="AL50" s="117"/>
      <c r="AM50" s="117"/>
      <c r="AN50" s="117"/>
      <c r="AO50" s="117"/>
      <c r="AP50" s="117"/>
      <c r="AQ50" s="117"/>
      <c r="AR50" s="117"/>
      <c r="AS50" s="117"/>
    </row>
    <row r="51" spans="1:45" x14ac:dyDescent="0.2">
      <c r="G51" s="327"/>
      <c r="H51" s="327"/>
      <c r="I51" s="332"/>
      <c r="J51" s="117"/>
      <c r="K51" s="117"/>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7"/>
      <c r="AI51" s="117"/>
      <c r="AJ51" s="117"/>
      <c r="AK51" s="117"/>
      <c r="AL51" s="117"/>
      <c r="AM51" s="117"/>
      <c r="AN51" s="117"/>
      <c r="AO51" s="117"/>
      <c r="AP51" s="117"/>
      <c r="AQ51" s="117"/>
      <c r="AR51" s="117"/>
      <c r="AS51" s="117"/>
    </row>
    <row r="52" spans="1:45" x14ac:dyDescent="0.2">
      <c r="G52" s="327"/>
      <c r="H52" s="327"/>
      <c r="I52" s="332"/>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c r="AI52" s="117"/>
      <c r="AJ52" s="117"/>
      <c r="AK52" s="117"/>
      <c r="AL52" s="117"/>
      <c r="AM52" s="117"/>
      <c r="AN52" s="117"/>
      <c r="AO52" s="117"/>
      <c r="AP52" s="117"/>
      <c r="AQ52" s="117"/>
      <c r="AR52" s="117"/>
      <c r="AS52" s="117"/>
    </row>
    <row r="53" spans="1:45" x14ac:dyDescent="0.2">
      <c r="G53" s="327"/>
      <c r="H53" s="327"/>
      <c r="I53" s="327"/>
    </row>
    <row r="54" spans="1:45" x14ac:dyDescent="0.2">
      <c r="G54" s="327"/>
      <c r="H54" s="327"/>
      <c r="I54" s="327"/>
    </row>
    <row r="55" spans="1:45" x14ac:dyDescent="0.2">
      <c r="G55" s="327"/>
      <c r="H55" s="327"/>
      <c r="I55" s="327"/>
    </row>
    <row r="56" spans="1:45" x14ac:dyDescent="0.2">
      <c r="G56" s="327"/>
      <c r="H56" s="327"/>
      <c r="I56" s="327"/>
    </row>
    <row r="57" spans="1:45" x14ac:dyDescent="0.2">
      <c r="G57" s="327"/>
      <c r="H57" s="327"/>
      <c r="I57" s="327"/>
    </row>
  </sheetData>
  <mergeCells count="1">
    <mergeCell ref="A49:E49"/>
  </mergeCells>
  <conditionalFormatting sqref="K2:AW6">
    <cfRule type="cellIs" dxfId="26" priority="3" operator="equal">
      <formula>0</formula>
    </cfRule>
  </conditionalFormatting>
  <conditionalFormatting sqref="L11:AW19">
    <cfRule type="cellIs" dxfId="25" priority="2" operator="equal">
      <formula>0</formula>
    </cfRule>
  </conditionalFormatting>
  <conditionalFormatting sqref="L20:AJ23">
    <cfRule type="cellIs" dxfId="24" priority="1" operator="equal">
      <formula>0</formula>
    </cfRule>
  </conditionalFormatting>
  <pageMargins left="0.7" right="0.7" top="0.75" bottom="0.75" header="0.3" footer="0.3"/>
  <pageSetup paperSize="9" scale="78" orientation="portrait" r:id="rId1"/>
  <headerFooter>
    <oddFooter>&amp;A&amp;RPage &amp;P</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7:F37"/>
  <sheetViews>
    <sheetView view="pageBreakPreview" topLeftCell="A4" zoomScale="80" zoomScaleNormal="100" zoomScaleSheetLayoutView="80" zoomScalePageLayoutView="60" workbookViewId="0">
      <selection activeCell="D10" sqref="D10"/>
    </sheetView>
  </sheetViews>
  <sheetFormatPr defaultRowHeight="12.75" x14ac:dyDescent="0.2"/>
  <cols>
    <col min="2" max="2" width="35.7109375" customWidth="1"/>
    <col min="3" max="3" width="9.7109375" style="1" customWidth="1"/>
    <col min="4" max="5" width="11.42578125" style="1" customWidth="1"/>
    <col min="6" max="6" width="11.42578125" style="295" customWidth="1"/>
  </cols>
  <sheetData>
    <row r="7" spans="1:6" x14ac:dyDescent="0.2">
      <c r="A7" s="5" t="s">
        <v>0</v>
      </c>
      <c r="B7" s="5" t="s">
        <v>1</v>
      </c>
      <c r="C7" s="5" t="s">
        <v>2</v>
      </c>
      <c r="D7" s="5" t="s">
        <v>3</v>
      </c>
      <c r="E7" s="5" t="s">
        <v>4</v>
      </c>
      <c r="F7" s="289" t="s">
        <v>5</v>
      </c>
    </row>
    <row r="8" spans="1:6" x14ac:dyDescent="0.2">
      <c r="A8" s="8"/>
      <c r="B8" s="8"/>
      <c r="C8" s="9"/>
      <c r="D8" s="9"/>
      <c r="E8" s="9" t="s">
        <v>6</v>
      </c>
      <c r="F8" s="290" t="s">
        <v>6</v>
      </c>
    </row>
    <row r="9" spans="1:6" ht="25.5" x14ac:dyDescent="0.2">
      <c r="A9" s="10" t="s">
        <v>755</v>
      </c>
      <c r="B9" s="10" t="s">
        <v>756</v>
      </c>
      <c r="C9" s="15"/>
      <c r="D9" s="15"/>
      <c r="E9" s="15"/>
      <c r="F9" s="291"/>
    </row>
    <row r="10" spans="1:6" ht="38.25" x14ac:dyDescent="0.2">
      <c r="A10" s="50" t="s">
        <v>757</v>
      </c>
      <c r="B10" s="50" t="s">
        <v>758</v>
      </c>
      <c r="C10" s="98" t="s">
        <v>68</v>
      </c>
      <c r="D10" s="98">
        <v>40</v>
      </c>
      <c r="E10" s="13"/>
      <c r="F10" s="293">
        <f t="shared" ref="F10:F17" si="0">IF(ISNUMBER(SEARCH("incl",$D10)),"-",IF(ISNUMBER(SEARCH("not r",$D10)),"-",IF(ISNUMBER(SEARCH("refer",$D10)),"-",IF(C10="sum","",$D10*$E10))))</f>
        <v>0</v>
      </c>
    </row>
    <row r="11" spans="1:6" ht="38.25" x14ac:dyDescent="0.2">
      <c r="A11" s="47" t="s">
        <v>759</v>
      </c>
      <c r="B11" s="47" t="s">
        <v>760</v>
      </c>
      <c r="C11" s="48" t="s">
        <v>68</v>
      </c>
      <c r="D11" s="96" t="s">
        <v>724</v>
      </c>
      <c r="E11" s="14"/>
      <c r="F11" s="293" t="str">
        <f t="shared" si="0"/>
        <v>-</v>
      </c>
    </row>
    <row r="12" spans="1:6" ht="38.25" x14ac:dyDescent="0.2">
      <c r="A12" s="47" t="s">
        <v>761</v>
      </c>
      <c r="B12" s="47" t="s">
        <v>762</v>
      </c>
      <c r="C12" s="48" t="s">
        <v>68</v>
      </c>
      <c r="D12" s="96" t="s">
        <v>724</v>
      </c>
      <c r="E12" s="14"/>
      <c r="F12" s="293" t="str">
        <f t="shared" si="0"/>
        <v>-</v>
      </c>
    </row>
    <row r="13" spans="1:6" ht="38.25" x14ac:dyDescent="0.2">
      <c r="A13" s="47" t="s">
        <v>763</v>
      </c>
      <c r="B13" s="47" t="s">
        <v>764</v>
      </c>
      <c r="C13" s="48" t="s">
        <v>68</v>
      </c>
      <c r="D13" s="96" t="s">
        <v>724</v>
      </c>
      <c r="E13" s="14"/>
      <c r="F13" s="293" t="str">
        <f t="shared" si="0"/>
        <v>-</v>
      </c>
    </row>
    <row r="14" spans="1:6" ht="51" x14ac:dyDescent="0.2">
      <c r="A14" s="47" t="s">
        <v>765</v>
      </c>
      <c r="B14" s="47" t="s">
        <v>766</v>
      </c>
      <c r="C14" s="48" t="s">
        <v>68</v>
      </c>
      <c r="D14" s="96" t="s">
        <v>724</v>
      </c>
      <c r="E14" s="14"/>
      <c r="F14" s="293" t="str">
        <f t="shared" si="0"/>
        <v>-</v>
      </c>
    </row>
    <row r="15" spans="1:6" ht="25.5" x14ac:dyDescent="0.2">
      <c r="A15" s="47" t="s">
        <v>767</v>
      </c>
      <c r="B15" s="47" t="s">
        <v>768</v>
      </c>
      <c r="C15" s="48" t="s">
        <v>158</v>
      </c>
      <c r="D15" s="96" t="s">
        <v>724</v>
      </c>
      <c r="E15" s="14"/>
      <c r="F15" s="293" t="str">
        <f t="shared" si="0"/>
        <v>-</v>
      </c>
    </row>
    <row r="16" spans="1:6" ht="38.25" x14ac:dyDescent="0.2">
      <c r="A16" s="47" t="s">
        <v>769</v>
      </c>
      <c r="B16" s="47" t="s">
        <v>770</v>
      </c>
      <c r="C16" s="48" t="s">
        <v>68</v>
      </c>
      <c r="D16" s="96" t="s">
        <v>724</v>
      </c>
      <c r="E16" s="14"/>
      <c r="F16" s="293" t="str">
        <f t="shared" si="0"/>
        <v>-</v>
      </c>
    </row>
    <row r="17" spans="1:6" ht="38.25" x14ac:dyDescent="0.2">
      <c r="A17" s="47" t="s">
        <v>771</v>
      </c>
      <c r="B17" s="47" t="s">
        <v>772</v>
      </c>
      <c r="C17" s="48" t="s">
        <v>68</v>
      </c>
      <c r="D17" s="96" t="s">
        <v>724</v>
      </c>
      <c r="E17" s="14"/>
      <c r="F17" s="293" t="str">
        <f t="shared" si="0"/>
        <v>-</v>
      </c>
    </row>
    <row r="18" spans="1:6" ht="25.5" x14ac:dyDescent="0.2">
      <c r="A18" s="47"/>
      <c r="B18" s="172" t="s">
        <v>773</v>
      </c>
      <c r="C18" s="48"/>
      <c r="D18" s="96"/>
      <c r="E18" s="13"/>
      <c r="F18" s="292"/>
    </row>
    <row r="19" spans="1:6" ht="25.5" x14ac:dyDescent="0.2">
      <c r="A19" s="47" t="s">
        <v>774</v>
      </c>
      <c r="B19" s="47" t="s">
        <v>775</v>
      </c>
      <c r="C19" s="48" t="s">
        <v>68</v>
      </c>
      <c r="D19" s="96" t="s">
        <v>724</v>
      </c>
      <c r="E19" s="14"/>
      <c r="F19" s="293" t="str">
        <f t="shared" ref="F19:F31" si="1">IF(ISNUMBER(SEARCH("incl",$D19)),"-",IF(ISNUMBER(SEARCH("not r",$D19)),"-",IF(ISNUMBER(SEARCH("refer",$D19)),"-",IF(C19="sum","",$D19*$E19))))</f>
        <v>-</v>
      </c>
    </row>
    <row r="20" spans="1:6" ht="38.25" x14ac:dyDescent="0.2">
      <c r="A20" s="47" t="s">
        <v>776</v>
      </c>
      <c r="B20" s="47" t="s">
        <v>777</v>
      </c>
      <c r="C20" s="48" t="s">
        <v>68</v>
      </c>
      <c r="D20" s="96" t="s">
        <v>724</v>
      </c>
      <c r="E20" s="14"/>
      <c r="F20" s="293" t="str">
        <f t="shared" si="1"/>
        <v>-</v>
      </c>
    </row>
    <row r="21" spans="1:6" ht="38.25" x14ac:dyDescent="0.2">
      <c r="A21" s="47" t="s">
        <v>778</v>
      </c>
      <c r="B21" s="47" t="s">
        <v>779</v>
      </c>
      <c r="C21" s="48" t="s">
        <v>68</v>
      </c>
      <c r="D21" s="96" t="s">
        <v>724</v>
      </c>
      <c r="E21" s="14"/>
      <c r="F21" s="293" t="str">
        <f t="shared" si="1"/>
        <v>-</v>
      </c>
    </row>
    <row r="22" spans="1:6" ht="38.25" x14ac:dyDescent="0.2">
      <c r="A22" s="47" t="s">
        <v>780</v>
      </c>
      <c r="B22" s="47" t="s">
        <v>781</v>
      </c>
      <c r="C22" s="48" t="s">
        <v>68</v>
      </c>
      <c r="D22" s="96" t="s">
        <v>724</v>
      </c>
      <c r="E22" s="14"/>
      <c r="F22" s="293" t="str">
        <f t="shared" si="1"/>
        <v>-</v>
      </c>
    </row>
    <row r="23" spans="1:6" ht="24.75" customHeight="1" x14ac:dyDescent="0.2">
      <c r="A23" s="96" t="s">
        <v>782</v>
      </c>
      <c r="B23" s="96" t="s">
        <v>783</v>
      </c>
      <c r="C23" s="97" t="s">
        <v>68</v>
      </c>
      <c r="D23" s="96" t="s">
        <v>724</v>
      </c>
      <c r="E23" s="95"/>
      <c r="F23" s="293" t="str">
        <f t="shared" si="1"/>
        <v>-</v>
      </c>
    </row>
    <row r="24" spans="1:6" ht="63.75" x14ac:dyDescent="0.2">
      <c r="A24" s="47" t="s">
        <v>784</v>
      </c>
      <c r="B24" s="47" t="s">
        <v>785</v>
      </c>
      <c r="C24" s="48" t="s">
        <v>68</v>
      </c>
      <c r="D24" s="96" t="s">
        <v>724</v>
      </c>
      <c r="E24" s="14"/>
      <c r="F24" s="293" t="str">
        <f t="shared" si="1"/>
        <v>-</v>
      </c>
    </row>
    <row r="25" spans="1:6" ht="25.5" x14ac:dyDescent="0.2">
      <c r="A25" s="47" t="s">
        <v>786</v>
      </c>
      <c r="B25" s="47" t="s">
        <v>787</v>
      </c>
      <c r="C25" s="48" t="s">
        <v>158</v>
      </c>
      <c r="D25" s="96" t="s">
        <v>724</v>
      </c>
      <c r="E25" s="14"/>
      <c r="F25" s="293" t="str">
        <f t="shared" si="1"/>
        <v>-</v>
      </c>
    </row>
    <row r="26" spans="1:6" ht="38.25" x14ac:dyDescent="0.2">
      <c r="A26" s="47" t="s">
        <v>788</v>
      </c>
      <c r="B26" s="47" t="s">
        <v>789</v>
      </c>
      <c r="C26" s="48" t="s">
        <v>68</v>
      </c>
      <c r="D26" s="96" t="s">
        <v>724</v>
      </c>
      <c r="E26" s="14"/>
      <c r="F26" s="293" t="str">
        <f t="shared" si="1"/>
        <v>-</v>
      </c>
    </row>
    <row r="27" spans="1:6" ht="38.25" x14ac:dyDescent="0.2">
      <c r="A27" s="47" t="s">
        <v>790</v>
      </c>
      <c r="B27" s="47" t="s">
        <v>791</v>
      </c>
      <c r="C27" s="48" t="s">
        <v>68</v>
      </c>
      <c r="D27" s="96" t="s">
        <v>724</v>
      </c>
      <c r="E27" s="14"/>
      <c r="F27" s="293" t="str">
        <f t="shared" si="1"/>
        <v>-</v>
      </c>
    </row>
    <row r="28" spans="1:6" ht="25.5" x14ac:dyDescent="0.2">
      <c r="A28" s="47" t="s">
        <v>792</v>
      </c>
      <c r="B28" s="47" t="s">
        <v>793</v>
      </c>
      <c r="C28" s="48" t="s">
        <v>11</v>
      </c>
      <c r="D28" s="96" t="s">
        <v>724</v>
      </c>
      <c r="E28" s="14"/>
      <c r="F28" s="293" t="str">
        <f t="shared" si="1"/>
        <v>-</v>
      </c>
    </row>
    <row r="29" spans="1:6" ht="38.25" x14ac:dyDescent="0.2">
      <c r="A29" s="47" t="s">
        <v>794</v>
      </c>
      <c r="B29" s="47" t="s">
        <v>795</v>
      </c>
      <c r="C29" s="48" t="s">
        <v>68</v>
      </c>
      <c r="D29" s="96" t="s">
        <v>724</v>
      </c>
      <c r="E29" s="14"/>
      <c r="F29" s="293" t="str">
        <f t="shared" si="1"/>
        <v>-</v>
      </c>
    </row>
    <row r="30" spans="1:6" ht="25.5" x14ac:dyDescent="0.2">
      <c r="A30" s="47" t="s">
        <v>796</v>
      </c>
      <c r="B30" s="47" t="s">
        <v>797</v>
      </c>
      <c r="C30" s="48" t="s">
        <v>68</v>
      </c>
      <c r="D30" s="96" t="s">
        <v>724</v>
      </c>
      <c r="E30" s="14"/>
      <c r="F30" s="293" t="str">
        <f t="shared" si="1"/>
        <v>-</v>
      </c>
    </row>
    <row r="31" spans="1:6" ht="38.25" x14ac:dyDescent="0.2">
      <c r="A31" s="47" t="s">
        <v>798</v>
      </c>
      <c r="B31" s="47" t="s">
        <v>799</v>
      </c>
      <c r="C31" s="48" t="s">
        <v>210</v>
      </c>
      <c r="D31" s="96" t="s">
        <v>724</v>
      </c>
      <c r="E31" s="14"/>
      <c r="F31" s="293" t="str">
        <f t="shared" si="1"/>
        <v>-</v>
      </c>
    </row>
    <row r="32" spans="1:6" ht="25.5" x14ac:dyDescent="0.2">
      <c r="A32" s="47"/>
      <c r="B32" s="172" t="s">
        <v>800</v>
      </c>
      <c r="C32" s="48"/>
      <c r="D32" s="52"/>
      <c r="E32" s="13"/>
      <c r="F32" s="292"/>
    </row>
    <row r="33" spans="1:6" ht="25.5" x14ac:dyDescent="0.2">
      <c r="A33" s="47" t="s">
        <v>801</v>
      </c>
      <c r="B33" s="47" t="s">
        <v>802</v>
      </c>
      <c r="C33" s="48" t="s">
        <v>68</v>
      </c>
      <c r="D33" s="96" t="s">
        <v>724</v>
      </c>
      <c r="E33" s="14"/>
      <c r="F33" s="293" t="str">
        <f t="shared" ref="F33:F36" si="2">IF(ISNUMBER(SEARCH("incl",$D33)),"-",IF(ISNUMBER(SEARCH("not r",$D33)),"-",IF(ISNUMBER(SEARCH("refer",$D33)),"-",IF(C33="sum","",$D33*$E33))))</f>
        <v>-</v>
      </c>
    </row>
    <row r="34" spans="1:6" ht="25.5" x14ac:dyDescent="0.2">
      <c r="A34" s="47" t="s">
        <v>803</v>
      </c>
      <c r="B34" s="47" t="s">
        <v>804</v>
      </c>
      <c r="C34" s="48" t="s">
        <v>68</v>
      </c>
      <c r="D34" s="96" t="s">
        <v>724</v>
      </c>
      <c r="E34" s="14"/>
      <c r="F34" s="293" t="str">
        <f t="shared" si="2"/>
        <v>-</v>
      </c>
    </row>
    <row r="35" spans="1:6" ht="51" x14ac:dyDescent="0.2">
      <c r="A35" s="47" t="s">
        <v>805</v>
      </c>
      <c r="B35" s="47" t="s">
        <v>806</v>
      </c>
      <c r="C35" s="48" t="s">
        <v>68</v>
      </c>
      <c r="D35" s="96" t="s">
        <v>724</v>
      </c>
      <c r="E35" s="14"/>
      <c r="F35" s="293" t="str">
        <f t="shared" si="2"/>
        <v>-</v>
      </c>
    </row>
    <row r="36" spans="1:6" ht="51" x14ac:dyDescent="0.2">
      <c r="A36" s="47" t="s">
        <v>807</v>
      </c>
      <c r="B36" s="47" t="s">
        <v>808</v>
      </c>
      <c r="C36" s="48" t="s">
        <v>68</v>
      </c>
      <c r="D36" s="96" t="s">
        <v>724</v>
      </c>
      <c r="E36" s="14"/>
      <c r="F36" s="293" t="str">
        <f t="shared" si="2"/>
        <v>-</v>
      </c>
    </row>
    <row r="37" spans="1:6" x14ac:dyDescent="0.2">
      <c r="A37" s="412" t="s">
        <v>809</v>
      </c>
      <c r="B37" s="413"/>
      <c r="C37" s="413"/>
      <c r="D37" s="413"/>
      <c r="E37" s="414"/>
      <c r="F37" s="294">
        <f>SUM(F10:F36)</f>
        <v>0</v>
      </c>
    </row>
  </sheetData>
  <mergeCells count="1">
    <mergeCell ref="A37:E37"/>
  </mergeCells>
  <pageMargins left="0.7" right="0.7" top="0.75" bottom="0.75" header="0.3" footer="0.3"/>
  <pageSetup paperSize="9" orientation="portrait" r:id="rId1"/>
  <headerFooter>
    <oddFooter>&amp;A&amp;RPage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5:O127"/>
  <sheetViews>
    <sheetView view="pageBreakPreview" topLeftCell="A113" zoomScale="110" zoomScaleNormal="100" zoomScaleSheetLayoutView="110" zoomScalePageLayoutView="60" workbookViewId="0">
      <selection activeCell="H124" sqref="H124"/>
    </sheetView>
  </sheetViews>
  <sheetFormatPr defaultRowHeight="12.75" x14ac:dyDescent="0.2"/>
  <cols>
    <col min="2" max="2" width="35.7109375" customWidth="1"/>
    <col min="3" max="3" width="9.5703125" style="1" customWidth="1"/>
    <col min="4" max="4" width="11.42578125" style="1" customWidth="1"/>
    <col min="5" max="5" width="11.42578125" style="340" customWidth="1"/>
    <col min="6" max="6" width="11.42578125" style="295" customWidth="1"/>
    <col min="7" max="10" width="11.42578125" style="1" customWidth="1"/>
  </cols>
  <sheetData>
    <row r="5" spans="1:13" x14ac:dyDescent="0.2">
      <c r="J5" s="114"/>
    </row>
    <row r="7" spans="1:13" x14ac:dyDescent="0.2">
      <c r="A7" s="5" t="s">
        <v>0</v>
      </c>
      <c r="B7" s="5" t="s">
        <v>1</v>
      </c>
      <c r="C7" s="5" t="s">
        <v>2</v>
      </c>
      <c r="D7" s="5" t="s">
        <v>3</v>
      </c>
      <c r="E7" s="341" t="s">
        <v>4</v>
      </c>
      <c r="F7" s="289" t="s">
        <v>5</v>
      </c>
      <c r="G7" s="114"/>
      <c r="H7" s="114"/>
      <c r="I7" s="114"/>
    </row>
    <row r="8" spans="1:13" x14ac:dyDescent="0.2">
      <c r="A8" s="8"/>
      <c r="B8" s="8"/>
      <c r="C8" s="9"/>
      <c r="D8" s="9"/>
      <c r="E8" s="342" t="s">
        <v>6</v>
      </c>
      <c r="F8" s="290" t="s">
        <v>6</v>
      </c>
      <c r="G8" s="115"/>
      <c r="H8" s="115"/>
      <c r="I8" s="115"/>
      <c r="J8" s="115"/>
    </row>
    <row r="9" spans="1:13" x14ac:dyDescent="0.2">
      <c r="A9" s="42" t="s">
        <v>810</v>
      </c>
      <c r="B9" s="42" t="s">
        <v>811</v>
      </c>
      <c r="C9" s="15"/>
      <c r="D9" s="15"/>
      <c r="E9" s="343"/>
      <c r="F9" s="291"/>
      <c r="G9" s="208"/>
      <c r="H9" s="208"/>
      <c r="I9" s="208"/>
      <c r="J9" s="208"/>
    </row>
    <row r="10" spans="1:13" x14ac:dyDescent="0.2">
      <c r="A10" s="39" t="s">
        <v>812</v>
      </c>
      <c r="B10" s="12" t="s">
        <v>813</v>
      </c>
      <c r="C10" s="44"/>
      <c r="D10" s="44"/>
      <c r="E10" s="344"/>
      <c r="F10" s="296"/>
      <c r="G10" s="88"/>
      <c r="H10" s="88"/>
      <c r="I10" s="88"/>
      <c r="K10" s="94" t="s">
        <v>1339</v>
      </c>
      <c r="L10" s="201" t="s">
        <v>1233</v>
      </c>
      <c r="M10" s="9" t="s">
        <v>1154</v>
      </c>
    </row>
    <row r="11" spans="1:13" ht="25.5" x14ac:dyDescent="0.2">
      <c r="A11" s="39" t="s">
        <v>814</v>
      </c>
      <c r="B11" s="39" t="s">
        <v>815</v>
      </c>
      <c r="C11" s="44" t="s">
        <v>68</v>
      </c>
      <c r="D11" s="44">
        <f>ROUNDDOWN(G11,-1)</f>
        <v>0</v>
      </c>
      <c r="E11" s="344">
        <v>5</v>
      </c>
      <c r="F11" s="293">
        <f t="shared" ref="F11:F74" si="0">IF(ISNUMBER(SEARCH("incl",$D11)),"-",IF(ISNUMBER(SEARCH("not r",$D11)),"-",IF(ISNUMBER(SEARCH("refer",$D11)),"-",IF(C11="sum","",$D11*$E11))))</f>
        <v>0</v>
      </c>
      <c r="G11" s="198">
        <f>H11*K11+(J11*K11)</f>
        <v>3.75</v>
      </c>
      <c r="H11" s="369">
        <v>1</v>
      </c>
      <c r="I11" s="94" t="s">
        <v>1340</v>
      </c>
      <c r="J11" s="370">
        <v>0.25</v>
      </c>
      <c r="K11" s="197">
        <f>L11+M11</f>
        <v>3</v>
      </c>
      <c r="L11" s="197">
        <f>'Section B'!$H$11+'Section B'!$H$13</f>
        <v>1</v>
      </c>
      <c r="M11" s="197">
        <f>'Section D'!$H$15+'Section D'!$H$26+'Section D'!$H$36</f>
        <v>2</v>
      </c>
    </row>
    <row r="12" spans="1:13" ht="25.5" x14ac:dyDescent="0.2">
      <c r="A12" s="39" t="s">
        <v>816</v>
      </c>
      <c r="B12" s="39" t="s">
        <v>817</v>
      </c>
      <c r="C12" s="44" t="s">
        <v>68</v>
      </c>
      <c r="D12" s="44">
        <f>ROUNDDOWN(G12,-1)</f>
        <v>0</v>
      </c>
      <c r="E12" s="344">
        <v>40</v>
      </c>
      <c r="F12" s="293">
        <f t="shared" si="0"/>
        <v>0</v>
      </c>
      <c r="G12" s="198">
        <f>H12*K12+(J12*K12)</f>
        <v>3.75</v>
      </c>
      <c r="H12" s="369">
        <v>1</v>
      </c>
      <c r="I12" s="94" t="s">
        <v>1340</v>
      </c>
      <c r="J12" s="370">
        <v>0.25</v>
      </c>
      <c r="K12" s="197">
        <f>L12+M12</f>
        <v>3</v>
      </c>
      <c r="L12" s="197">
        <f>'Section B'!$H$11+'Section B'!$H$13</f>
        <v>1</v>
      </c>
      <c r="M12" s="197">
        <f>'Section D'!$H$15+'Section D'!$H$26+'Section D'!$H$36</f>
        <v>2</v>
      </c>
    </row>
    <row r="13" spans="1:13" ht="25.5" x14ac:dyDescent="0.2">
      <c r="A13" s="47" t="s">
        <v>818</v>
      </c>
      <c r="B13" s="47" t="s">
        <v>819</v>
      </c>
      <c r="C13" s="48" t="s">
        <v>68</v>
      </c>
      <c r="D13" s="97" t="s">
        <v>724</v>
      </c>
      <c r="E13" s="345"/>
      <c r="F13" s="293" t="str">
        <f t="shared" si="0"/>
        <v>-</v>
      </c>
      <c r="G13" s="88"/>
      <c r="H13" s="88"/>
      <c r="I13" s="88"/>
      <c r="J13" s="88"/>
    </row>
    <row r="14" spans="1:13" ht="25.5" x14ac:dyDescent="0.2">
      <c r="A14" s="47" t="s">
        <v>820</v>
      </c>
      <c r="B14" s="47" t="s">
        <v>821</v>
      </c>
      <c r="C14" s="48" t="s">
        <v>68</v>
      </c>
      <c r="D14" s="97" t="s">
        <v>724</v>
      </c>
      <c r="E14" s="345"/>
      <c r="F14" s="293" t="str">
        <f t="shared" si="0"/>
        <v>-</v>
      </c>
      <c r="G14" s="88"/>
      <c r="H14" s="88"/>
      <c r="I14" s="88"/>
      <c r="J14" s="88"/>
    </row>
    <row r="15" spans="1:13" ht="25.5" x14ac:dyDescent="0.2">
      <c r="A15" s="47" t="s">
        <v>822</v>
      </c>
      <c r="B15" s="47" t="s">
        <v>823</v>
      </c>
      <c r="C15" s="48" t="s">
        <v>68</v>
      </c>
      <c r="D15" s="97" t="s">
        <v>724</v>
      </c>
      <c r="E15" s="345"/>
      <c r="F15" s="293" t="str">
        <f t="shared" si="0"/>
        <v>-</v>
      </c>
      <c r="G15" s="88"/>
      <c r="H15" s="88"/>
      <c r="I15" s="88"/>
      <c r="J15" s="88"/>
    </row>
    <row r="16" spans="1:13" ht="25.5" x14ac:dyDescent="0.2">
      <c r="A16" s="47" t="s">
        <v>824</v>
      </c>
      <c r="B16" s="47" t="s">
        <v>825</v>
      </c>
      <c r="C16" s="48" t="s">
        <v>68</v>
      </c>
      <c r="D16" s="97" t="s">
        <v>724</v>
      </c>
      <c r="E16" s="345"/>
      <c r="F16" s="293" t="str">
        <f t="shared" si="0"/>
        <v>-</v>
      </c>
      <c r="G16" s="88"/>
      <c r="H16" s="88"/>
      <c r="I16" s="88"/>
      <c r="J16" s="88"/>
    </row>
    <row r="17" spans="1:13" ht="25.5" x14ac:dyDescent="0.2">
      <c r="A17" s="47" t="s">
        <v>826</v>
      </c>
      <c r="B17" s="47" t="s">
        <v>827</v>
      </c>
      <c r="C17" s="48" t="s">
        <v>68</v>
      </c>
      <c r="D17" s="97" t="s">
        <v>724</v>
      </c>
      <c r="E17" s="345"/>
      <c r="F17" s="293" t="str">
        <f t="shared" si="0"/>
        <v>-</v>
      </c>
      <c r="G17" s="88"/>
      <c r="H17" s="88"/>
      <c r="I17" s="88"/>
      <c r="J17" s="88"/>
    </row>
    <row r="18" spans="1:13" ht="25.5" x14ac:dyDescent="0.2">
      <c r="A18" s="47" t="s">
        <v>828</v>
      </c>
      <c r="B18" s="47" t="s">
        <v>829</v>
      </c>
      <c r="C18" s="48" t="s">
        <v>68</v>
      </c>
      <c r="D18" s="97" t="s">
        <v>724</v>
      </c>
      <c r="E18" s="345"/>
      <c r="F18" s="293" t="str">
        <f t="shared" si="0"/>
        <v>-</v>
      </c>
      <c r="G18" s="88"/>
      <c r="H18" s="88"/>
      <c r="I18" s="88"/>
      <c r="K18" s="94" t="s">
        <v>1339</v>
      </c>
      <c r="L18" s="201" t="s">
        <v>1233</v>
      </c>
      <c r="M18" s="9" t="s">
        <v>1154</v>
      </c>
    </row>
    <row r="19" spans="1:13" ht="25.5" x14ac:dyDescent="0.2">
      <c r="A19" s="39" t="s">
        <v>830</v>
      </c>
      <c r="B19" s="39" t="s">
        <v>831</v>
      </c>
      <c r="C19" s="44" t="s">
        <v>68</v>
      </c>
      <c r="D19" s="44">
        <f>ROUNDUP(G19,0)</f>
        <v>4</v>
      </c>
      <c r="E19" s="344">
        <v>40</v>
      </c>
      <c r="F19" s="293">
        <f t="shared" si="0"/>
        <v>160</v>
      </c>
      <c r="G19" s="198">
        <f>H19*K19+(J19*K19)</f>
        <v>3.75</v>
      </c>
      <c r="H19" s="94">
        <v>1</v>
      </c>
      <c r="I19" s="94" t="s">
        <v>1340</v>
      </c>
      <c r="J19" s="287">
        <v>0.25</v>
      </c>
      <c r="K19" s="197">
        <f>L19+M19</f>
        <v>3</v>
      </c>
      <c r="L19" s="197">
        <f>'Section B'!$H$11+'Section B'!$H$13</f>
        <v>1</v>
      </c>
      <c r="M19" s="197">
        <f>'Section D'!$H$15+'Section D'!$H$26+'Section D'!$H$36</f>
        <v>2</v>
      </c>
    </row>
    <row r="20" spans="1:13" ht="25.5" x14ac:dyDescent="0.2">
      <c r="A20" s="96" t="s">
        <v>832</v>
      </c>
      <c r="B20" s="96" t="s">
        <v>833</v>
      </c>
      <c r="C20" s="97" t="s">
        <v>68</v>
      </c>
      <c r="D20" s="97" t="s">
        <v>724</v>
      </c>
      <c r="E20" s="345"/>
      <c r="F20" s="293" t="str">
        <f t="shared" si="0"/>
        <v>-</v>
      </c>
      <c r="K20" s="1"/>
      <c r="L20" s="1"/>
      <c r="M20" s="1"/>
    </row>
    <row r="21" spans="1:13" ht="25.5" x14ac:dyDescent="0.2">
      <c r="A21" s="47" t="s">
        <v>834</v>
      </c>
      <c r="B21" s="47" t="s">
        <v>835</v>
      </c>
      <c r="C21" s="48" t="s">
        <v>68</v>
      </c>
      <c r="D21" s="97" t="s">
        <v>724</v>
      </c>
      <c r="E21" s="345"/>
      <c r="F21" s="293" t="str">
        <f t="shared" si="0"/>
        <v>-</v>
      </c>
      <c r="G21" s="88"/>
      <c r="H21" s="88"/>
      <c r="I21" s="88"/>
      <c r="J21" s="88"/>
    </row>
    <row r="22" spans="1:13" ht="15" x14ac:dyDescent="0.2">
      <c r="A22" s="50" t="s">
        <v>836</v>
      </c>
      <c r="B22" s="50" t="s">
        <v>837</v>
      </c>
      <c r="C22" s="98" t="s">
        <v>68</v>
      </c>
      <c r="D22" s="44">
        <f>ROUNDDOWN(G22,0)</f>
        <v>2</v>
      </c>
      <c r="E22" s="344">
        <v>40</v>
      </c>
      <c r="F22" s="293">
        <f t="shared" si="0"/>
        <v>80</v>
      </c>
      <c r="G22" s="198">
        <f>G19*H22</f>
        <v>2.8125</v>
      </c>
      <c r="H22" s="199">
        <v>0.75</v>
      </c>
      <c r="I22" s="94" t="s">
        <v>1341</v>
      </c>
      <c r="J22" s="94"/>
    </row>
    <row r="23" spans="1:13" x14ac:dyDescent="0.2">
      <c r="A23" s="39" t="s">
        <v>838</v>
      </c>
      <c r="B23" s="12" t="s">
        <v>839</v>
      </c>
      <c r="C23" s="44"/>
      <c r="D23" s="44"/>
      <c r="E23" s="344"/>
      <c r="F23" s="293">
        <f t="shared" si="0"/>
        <v>0</v>
      </c>
      <c r="G23" s="88"/>
      <c r="H23" s="88"/>
      <c r="I23" s="88"/>
      <c r="J23" s="94" t="s">
        <v>1339</v>
      </c>
      <c r="K23" s="201" t="s">
        <v>1233</v>
      </c>
      <c r="L23" s="9" t="s">
        <v>1154</v>
      </c>
    </row>
    <row r="24" spans="1:13" ht="15" x14ac:dyDescent="0.2">
      <c r="A24" s="50" t="s">
        <v>840</v>
      </c>
      <c r="B24" s="50" t="s">
        <v>841</v>
      </c>
      <c r="C24" s="98" t="s">
        <v>68</v>
      </c>
      <c r="D24" s="98">
        <f>ROUNDUP(G24,0)</f>
        <v>1</v>
      </c>
      <c r="E24" s="344">
        <v>40</v>
      </c>
      <c r="F24" s="293">
        <f t="shared" si="0"/>
        <v>40</v>
      </c>
      <c r="G24" s="198">
        <f>H24*J24</f>
        <v>0.30000000000000004</v>
      </c>
      <c r="H24" s="199">
        <v>0.1</v>
      </c>
      <c r="I24" s="94" t="s">
        <v>1234</v>
      </c>
      <c r="J24" s="94">
        <f>K24+L24</f>
        <v>3</v>
      </c>
      <c r="K24" s="197">
        <f>'Section B'!$H$11+'Section B'!$H$13</f>
        <v>1</v>
      </c>
      <c r="L24" s="197">
        <f>'Section D'!$H$15+'Section D'!$H$26+'Section D'!$H$36</f>
        <v>2</v>
      </c>
    </row>
    <row r="25" spans="1:13" ht="25.5" x14ac:dyDescent="0.2">
      <c r="A25" s="47" t="s">
        <v>842</v>
      </c>
      <c r="B25" s="47" t="s">
        <v>843</v>
      </c>
      <c r="C25" s="48" t="s">
        <v>68</v>
      </c>
      <c r="D25" s="97" t="s">
        <v>724</v>
      </c>
      <c r="E25" s="345"/>
      <c r="F25" s="293" t="str">
        <f t="shared" si="0"/>
        <v>-</v>
      </c>
      <c r="G25" s="88"/>
      <c r="H25" s="88"/>
      <c r="I25" s="88"/>
      <c r="J25" s="94"/>
      <c r="K25" s="3"/>
      <c r="L25" s="3"/>
      <c r="M25" s="3"/>
    </row>
    <row r="26" spans="1:13" ht="25.5" x14ac:dyDescent="0.2">
      <c r="A26" s="50" t="s">
        <v>844</v>
      </c>
      <c r="B26" s="50" t="s">
        <v>845</v>
      </c>
      <c r="C26" s="97" t="s">
        <v>68</v>
      </c>
      <c r="D26" s="97" t="s">
        <v>724</v>
      </c>
      <c r="E26" s="344"/>
      <c r="F26" s="293" t="str">
        <f t="shared" si="0"/>
        <v>-</v>
      </c>
      <c r="G26" s="198">
        <f>H26*L26</f>
        <v>1</v>
      </c>
      <c r="H26" s="94">
        <v>1</v>
      </c>
      <c r="I26" s="94" t="s">
        <v>1244</v>
      </c>
      <c r="J26" s="228"/>
      <c r="K26" s="3">
        <f>'Section B'!$H$10+'Section B'!$H$11+'Section B'!$H$13</f>
        <v>1</v>
      </c>
      <c r="L26" s="3">
        <f>'Section C'!$H$28+'Section C'!$H$29+'Section C'!$H$81</f>
        <v>1</v>
      </c>
      <c r="M26" s="3"/>
    </row>
    <row r="27" spans="1:13" ht="25.5" x14ac:dyDescent="0.2">
      <c r="A27" s="39" t="s">
        <v>846</v>
      </c>
      <c r="B27" s="39" t="s">
        <v>847</v>
      </c>
      <c r="C27" s="44" t="s">
        <v>68</v>
      </c>
      <c r="D27" s="44">
        <f>G27</f>
        <v>6</v>
      </c>
      <c r="E27" s="344">
        <v>20</v>
      </c>
      <c r="F27" s="293">
        <f t="shared" si="0"/>
        <v>120</v>
      </c>
      <c r="G27" s="1">
        <v>6</v>
      </c>
      <c r="H27" t="s">
        <v>1374</v>
      </c>
      <c r="I27"/>
      <c r="J27"/>
    </row>
    <row r="28" spans="1:13" x14ac:dyDescent="0.2">
      <c r="A28" s="39" t="s">
        <v>848</v>
      </c>
      <c r="B28" s="39" t="s">
        <v>849</v>
      </c>
      <c r="C28" s="44" t="s">
        <v>68</v>
      </c>
      <c r="D28" s="98">
        <f>ROUNDUP(G28,0)</f>
        <v>6</v>
      </c>
      <c r="E28" s="344">
        <v>20</v>
      </c>
      <c r="F28" s="293">
        <f t="shared" si="0"/>
        <v>120</v>
      </c>
      <c r="G28" s="1">
        <v>6</v>
      </c>
      <c r="H28" t="s">
        <v>1374</v>
      </c>
      <c r="I28"/>
      <c r="J28"/>
    </row>
    <row r="29" spans="1:13" ht="25.5" x14ac:dyDescent="0.2">
      <c r="A29" s="47" t="s">
        <v>850</v>
      </c>
      <c r="B29" s="47" t="s">
        <v>851</v>
      </c>
      <c r="C29" s="48" t="s">
        <v>68</v>
      </c>
      <c r="D29" s="97" t="s">
        <v>724</v>
      </c>
      <c r="E29" s="345"/>
      <c r="F29" s="293" t="str">
        <f t="shared" si="0"/>
        <v>-</v>
      </c>
      <c r="G29" s="88"/>
      <c r="H29" t="s">
        <v>1342</v>
      </c>
      <c r="I29" s="88"/>
      <c r="J29" s="88"/>
    </row>
    <row r="30" spans="1:13" ht="25.5" x14ac:dyDescent="0.2">
      <c r="A30" s="47" t="s">
        <v>852</v>
      </c>
      <c r="B30" s="47" t="s">
        <v>853</v>
      </c>
      <c r="C30" s="48" t="s">
        <v>68</v>
      </c>
      <c r="D30" s="97" t="s">
        <v>724</v>
      </c>
      <c r="E30" s="345"/>
      <c r="F30" s="293" t="str">
        <f t="shared" si="0"/>
        <v>-</v>
      </c>
      <c r="G30" s="88"/>
      <c r="H30" s="88"/>
      <c r="I30" s="88"/>
      <c r="J30" s="88"/>
      <c r="K30" s="88"/>
      <c r="L30" s="88"/>
      <c r="M30" s="88"/>
    </row>
    <row r="31" spans="1:13" ht="15" x14ac:dyDescent="0.2">
      <c r="A31" s="39" t="s">
        <v>854</v>
      </c>
      <c r="B31" s="39" t="s">
        <v>855</v>
      </c>
      <c r="C31" s="44" t="s">
        <v>68</v>
      </c>
      <c r="D31" s="44">
        <f>G31</f>
        <v>6</v>
      </c>
      <c r="E31" s="344">
        <v>20</v>
      </c>
      <c r="F31" s="293">
        <f t="shared" si="0"/>
        <v>120</v>
      </c>
      <c r="G31" s="320">
        <f>G27</f>
        <v>6</v>
      </c>
      <c r="I31" s="88" t="s">
        <v>1343</v>
      </c>
      <c r="J31" s="88"/>
      <c r="K31" s="88" t="s">
        <v>1174</v>
      </c>
      <c r="L31" s="88"/>
      <c r="M31" s="88"/>
    </row>
    <row r="32" spans="1:13" ht="12.95" customHeight="1" x14ac:dyDescent="0.2">
      <c r="A32" s="96" t="s">
        <v>856</v>
      </c>
      <c r="B32" s="96" t="s">
        <v>857</v>
      </c>
      <c r="C32" s="97" t="s">
        <v>68</v>
      </c>
      <c r="D32" s="97" t="s">
        <v>724</v>
      </c>
      <c r="E32" s="344">
        <v>20</v>
      </c>
      <c r="F32" s="293" t="str">
        <f t="shared" si="0"/>
        <v>-</v>
      </c>
      <c r="G32" s="348">
        <v>0</v>
      </c>
      <c r="H32" s="347">
        <f>I32*K32</f>
        <v>0.65</v>
      </c>
      <c r="I32" s="199">
        <v>0.65</v>
      </c>
      <c r="J32" s="94" t="s">
        <v>1174</v>
      </c>
      <c r="K32" s="111">
        <f>'Section C'!$H$29+'Section C'!$H$30+'Section C'!$H$31+'Section C'!$H$32</f>
        <v>1</v>
      </c>
    </row>
    <row r="33" spans="1:11" ht="25.5" x14ac:dyDescent="0.2">
      <c r="A33" s="96" t="s">
        <v>858</v>
      </c>
      <c r="B33" s="96" t="s">
        <v>859</v>
      </c>
      <c r="C33" s="97" t="s">
        <v>68</v>
      </c>
      <c r="D33" s="97" t="s">
        <v>724</v>
      </c>
      <c r="E33" s="344">
        <v>20</v>
      </c>
      <c r="F33" s="293" t="str">
        <f t="shared" si="0"/>
        <v>-</v>
      </c>
      <c r="G33" s="348">
        <v>0</v>
      </c>
      <c r="H33" s="347">
        <f>I33*K33</f>
        <v>0.25</v>
      </c>
      <c r="I33" s="199">
        <v>0.25</v>
      </c>
      <c r="J33" s="94" t="s">
        <v>1174</v>
      </c>
      <c r="K33" s="111">
        <f>'Section C'!$H$29+'Section C'!$H$30+'Section C'!$H$31+'Section C'!$H$32</f>
        <v>1</v>
      </c>
    </row>
    <row r="34" spans="1:11" ht="25.5" x14ac:dyDescent="0.2">
      <c r="A34" s="47" t="s">
        <v>860</v>
      </c>
      <c r="B34" s="47" t="s">
        <v>861</v>
      </c>
      <c r="C34" s="48" t="s">
        <v>68</v>
      </c>
      <c r="D34" s="97" t="s">
        <v>724</v>
      </c>
      <c r="E34" s="345"/>
      <c r="F34" s="293" t="str">
        <f t="shared" si="0"/>
        <v>-</v>
      </c>
      <c r="H34" s="88"/>
      <c r="I34" s="88"/>
      <c r="J34" s="88"/>
      <c r="K34" s="88"/>
    </row>
    <row r="35" spans="1:11" ht="15" x14ac:dyDescent="0.2">
      <c r="A35" s="39" t="s">
        <v>862</v>
      </c>
      <c r="B35" s="39" t="s">
        <v>863</v>
      </c>
      <c r="C35" s="44" t="s">
        <v>68</v>
      </c>
      <c r="D35" s="98">
        <f>ROUNDUP(G35,0)</f>
        <v>12</v>
      </c>
      <c r="E35" s="344">
        <v>20</v>
      </c>
      <c r="F35" s="293">
        <f t="shared" si="0"/>
        <v>240</v>
      </c>
      <c r="G35" s="198">
        <f>G27+G28+G32</f>
        <v>12</v>
      </c>
      <c r="H35" s="94" t="s">
        <v>1245</v>
      </c>
      <c r="I35" s="3" t="s">
        <v>1275</v>
      </c>
      <c r="K35" s="88"/>
    </row>
    <row r="36" spans="1:11" ht="25.5" x14ac:dyDescent="0.2">
      <c r="A36" s="47" t="s">
        <v>864</v>
      </c>
      <c r="B36" s="47" t="s">
        <v>865</v>
      </c>
      <c r="C36" s="48" t="s">
        <v>68</v>
      </c>
      <c r="D36" s="97" t="s">
        <v>724</v>
      </c>
      <c r="E36" s="345"/>
      <c r="F36" s="293" t="str">
        <f t="shared" si="0"/>
        <v>-</v>
      </c>
      <c r="G36" s="88"/>
      <c r="H36" s="88"/>
      <c r="I36" s="88"/>
      <c r="J36" s="88"/>
    </row>
    <row r="37" spans="1:11" ht="25.5" x14ac:dyDescent="0.2">
      <c r="A37" s="47" t="s">
        <v>866</v>
      </c>
      <c r="B37" s="47" t="s">
        <v>867</v>
      </c>
      <c r="C37" s="48" t="s">
        <v>68</v>
      </c>
      <c r="D37" s="97" t="s">
        <v>724</v>
      </c>
      <c r="E37" s="345"/>
      <c r="F37" s="293" t="str">
        <f t="shared" si="0"/>
        <v>-</v>
      </c>
      <c r="G37" s="88"/>
      <c r="H37" s="88"/>
      <c r="I37" s="88"/>
      <c r="J37" s="88"/>
    </row>
    <row r="38" spans="1:11" x14ac:dyDescent="0.2">
      <c r="A38" s="39" t="s">
        <v>868</v>
      </c>
      <c r="B38" s="12" t="s">
        <v>869</v>
      </c>
      <c r="C38" s="44"/>
      <c r="D38" s="44"/>
      <c r="E38" s="344"/>
      <c r="F38" s="293">
        <f t="shared" si="0"/>
        <v>0</v>
      </c>
      <c r="G38" s="88"/>
      <c r="H38" s="88"/>
      <c r="I38" s="88"/>
      <c r="J38" s="88"/>
    </row>
    <row r="39" spans="1:11" ht="25.5" x14ac:dyDescent="0.2">
      <c r="A39" s="50" t="s">
        <v>870</v>
      </c>
      <c r="B39" s="50" t="s">
        <v>871</v>
      </c>
      <c r="C39" s="98" t="s">
        <v>68</v>
      </c>
      <c r="D39" s="98">
        <v>5</v>
      </c>
      <c r="E39" s="344">
        <v>40</v>
      </c>
      <c r="F39" s="293">
        <f t="shared" si="0"/>
        <v>200</v>
      </c>
      <c r="G39" s="88"/>
      <c r="H39" s="88"/>
      <c r="I39" s="88"/>
      <c r="J39" s="88"/>
    </row>
    <row r="40" spans="1:11" ht="25.5" x14ac:dyDescent="0.2">
      <c r="A40" s="47" t="s">
        <v>872</v>
      </c>
      <c r="B40" s="47" t="s">
        <v>873</v>
      </c>
      <c r="C40" s="48" t="s">
        <v>68</v>
      </c>
      <c r="D40" s="97" t="s">
        <v>724</v>
      </c>
      <c r="E40" s="344"/>
      <c r="F40" s="293" t="str">
        <f t="shared" si="0"/>
        <v>-</v>
      </c>
      <c r="G40" s="88"/>
      <c r="H40" s="88"/>
      <c r="I40" s="88"/>
      <c r="J40" s="88"/>
    </row>
    <row r="41" spans="1:11" ht="25.5" x14ac:dyDescent="0.2">
      <c r="A41" s="50" t="s">
        <v>874</v>
      </c>
      <c r="B41" s="50" t="s">
        <v>875</v>
      </c>
      <c r="C41" s="98" t="s">
        <v>68</v>
      </c>
      <c r="D41" s="98">
        <v>5</v>
      </c>
      <c r="E41" s="344">
        <v>40</v>
      </c>
      <c r="F41" s="293">
        <f t="shared" si="0"/>
        <v>200</v>
      </c>
      <c r="G41" s="88"/>
      <c r="H41" s="88"/>
      <c r="I41" s="88"/>
      <c r="J41" s="88"/>
    </row>
    <row r="42" spans="1:11" ht="25.5" x14ac:dyDescent="0.2">
      <c r="A42" s="47" t="s">
        <v>876</v>
      </c>
      <c r="B42" s="47" t="s">
        <v>877</v>
      </c>
      <c r="C42" s="48" t="s">
        <v>68</v>
      </c>
      <c r="D42" s="97" t="s">
        <v>724</v>
      </c>
      <c r="E42" s="344"/>
      <c r="F42" s="293" t="str">
        <f t="shared" si="0"/>
        <v>-</v>
      </c>
      <c r="G42" s="88"/>
      <c r="H42" s="88"/>
      <c r="I42" s="88"/>
      <c r="J42" s="88"/>
    </row>
    <row r="43" spans="1:11" ht="25.5" x14ac:dyDescent="0.2">
      <c r="A43" s="50" t="s">
        <v>878</v>
      </c>
      <c r="B43" s="50" t="s">
        <v>879</v>
      </c>
      <c r="C43" s="98" t="s">
        <v>68</v>
      </c>
      <c r="D43" s="98">
        <v>10</v>
      </c>
      <c r="E43" s="344">
        <v>40</v>
      </c>
      <c r="F43" s="293">
        <f t="shared" si="0"/>
        <v>400</v>
      </c>
      <c r="G43" s="88"/>
      <c r="H43" s="88"/>
      <c r="I43" s="88"/>
      <c r="J43" s="88"/>
    </row>
    <row r="44" spans="1:11" ht="25.5" x14ac:dyDescent="0.2">
      <c r="A44" s="50" t="s">
        <v>880</v>
      </c>
      <c r="B44" s="50" t="s">
        <v>881</v>
      </c>
      <c r="C44" s="98" t="s">
        <v>68</v>
      </c>
      <c r="D44" s="98">
        <v>10</v>
      </c>
      <c r="E44" s="344">
        <v>100</v>
      </c>
      <c r="F44" s="293">
        <f t="shared" si="0"/>
        <v>1000</v>
      </c>
      <c r="G44" s="88"/>
      <c r="H44" s="88"/>
      <c r="I44" s="88"/>
      <c r="J44" s="88"/>
    </row>
    <row r="45" spans="1:11" ht="25.5" x14ac:dyDescent="0.2">
      <c r="A45" s="47" t="s">
        <v>882</v>
      </c>
      <c r="B45" s="47" t="s">
        <v>883</v>
      </c>
      <c r="C45" s="48" t="s">
        <v>68</v>
      </c>
      <c r="D45" s="97" t="s">
        <v>724</v>
      </c>
      <c r="E45" s="344"/>
      <c r="F45" s="293" t="str">
        <f t="shared" si="0"/>
        <v>-</v>
      </c>
      <c r="G45" s="88"/>
      <c r="H45" s="88"/>
      <c r="I45" s="88"/>
      <c r="J45" s="88"/>
    </row>
    <row r="46" spans="1:11" ht="25.5" x14ac:dyDescent="0.2">
      <c r="A46" s="96" t="s">
        <v>884</v>
      </c>
      <c r="B46" s="96" t="s">
        <v>885</v>
      </c>
      <c r="C46" s="97" t="s">
        <v>68</v>
      </c>
      <c r="D46" s="97" t="s">
        <v>724</v>
      </c>
      <c r="E46" s="344"/>
      <c r="F46" s="293" t="str">
        <f t="shared" si="0"/>
        <v>-</v>
      </c>
      <c r="G46" s="88"/>
      <c r="H46" s="88"/>
      <c r="I46" s="88"/>
      <c r="J46" s="88"/>
    </row>
    <row r="47" spans="1:11" ht="25.5" x14ac:dyDescent="0.2">
      <c r="A47" s="50" t="s">
        <v>886</v>
      </c>
      <c r="B47" s="50" t="s">
        <v>887</v>
      </c>
      <c r="C47" s="98" t="s">
        <v>68</v>
      </c>
      <c r="D47" s="98">
        <v>3</v>
      </c>
      <c r="E47" s="344">
        <v>10</v>
      </c>
      <c r="F47" s="293">
        <f t="shared" si="0"/>
        <v>30</v>
      </c>
      <c r="G47" s="88"/>
      <c r="H47" s="88"/>
      <c r="I47" s="88"/>
      <c r="J47" s="88"/>
    </row>
    <row r="48" spans="1:11" ht="25.5" x14ac:dyDescent="0.2">
      <c r="A48" s="47" t="s">
        <v>888</v>
      </c>
      <c r="B48" s="47" t="s">
        <v>889</v>
      </c>
      <c r="C48" s="48" t="s">
        <v>210</v>
      </c>
      <c r="D48" s="97" t="s">
        <v>724</v>
      </c>
      <c r="E48" s="344"/>
      <c r="F48" s="293" t="str">
        <f t="shared" si="0"/>
        <v>-</v>
      </c>
      <c r="G48" s="88"/>
      <c r="H48" s="88"/>
      <c r="I48" s="88"/>
      <c r="J48" s="88"/>
    </row>
    <row r="49" spans="1:10" ht="25.5" x14ac:dyDescent="0.2">
      <c r="A49" s="39" t="s">
        <v>890</v>
      </c>
      <c r="B49" s="12" t="s">
        <v>891</v>
      </c>
      <c r="C49" s="44"/>
      <c r="D49" s="44"/>
      <c r="E49" s="344"/>
      <c r="F49" s="297"/>
      <c r="G49" s="88"/>
      <c r="H49" s="88"/>
      <c r="I49" s="88"/>
      <c r="J49" s="88"/>
    </row>
    <row r="50" spans="1:10" ht="25.5" x14ac:dyDescent="0.2">
      <c r="A50" s="45" t="s">
        <v>892</v>
      </c>
      <c r="B50" s="45" t="s">
        <v>893</v>
      </c>
      <c r="C50" s="46" t="s">
        <v>68</v>
      </c>
      <c r="D50" s="46">
        <f>G50</f>
        <v>2</v>
      </c>
      <c r="E50" s="344"/>
      <c r="F50" s="293">
        <f t="shared" si="0"/>
        <v>0</v>
      </c>
      <c r="G50" s="94">
        <v>2</v>
      </c>
      <c r="H50" s="94" t="s">
        <v>1246</v>
      </c>
      <c r="I50" s="88"/>
      <c r="J50" s="88"/>
    </row>
    <row r="51" spans="1:10" ht="25.5" x14ac:dyDescent="0.2">
      <c r="A51" s="45" t="s">
        <v>894</v>
      </c>
      <c r="B51" s="45" t="s">
        <v>895</v>
      </c>
      <c r="C51" s="46" t="s">
        <v>210</v>
      </c>
      <c r="D51" s="46">
        <f>G51</f>
        <v>2</v>
      </c>
      <c r="E51" s="345"/>
      <c r="F51" s="293">
        <f t="shared" si="0"/>
        <v>0</v>
      </c>
      <c r="G51" s="94">
        <v>2</v>
      </c>
      <c r="H51" s="94" t="s">
        <v>1246</v>
      </c>
      <c r="I51" s="88"/>
      <c r="J51" s="88"/>
    </row>
    <row r="52" spans="1:10" ht="25.5" x14ac:dyDescent="0.2">
      <c r="A52" s="47" t="s">
        <v>896</v>
      </c>
      <c r="B52" s="47" t="s">
        <v>897</v>
      </c>
      <c r="C52" s="48" t="s">
        <v>68</v>
      </c>
      <c r="D52" s="97" t="s">
        <v>724</v>
      </c>
      <c r="E52" s="345"/>
      <c r="F52" s="293" t="str">
        <f t="shared" si="0"/>
        <v>-</v>
      </c>
      <c r="G52" s="88"/>
      <c r="H52" s="88"/>
      <c r="I52" s="88"/>
      <c r="J52" s="88"/>
    </row>
    <row r="53" spans="1:10" ht="25.5" x14ac:dyDescent="0.2">
      <c r="A53" s="47" t="s">
        <v>898</v>
      </c>
      <c r="B53" s="47" t="s">
        <v>899</v>
      </c>
      <c r="C53" s="48" t="s">
        <v>68</v>
      </c>
      <c r="D53" s="97" t="s">
        <v>724</v>
      </c>
      <c r="E53" s="345"/>
      <c r="F53" s="293" t="str">
        <f t="shared" si="0"/>
        <v>-</v>
      </c>
      <c r="G53" s="88"/>
      <c r="H53" s="88"/>
      <c r="I53" s="88"/>
      <c r="J53" s="88"/>
    </row>
    <row r="54" spans="1:10" ht="25.5" x14ac:dyDescent="0.2">
      <c r="A54" s="47" t="s">
        <v>900</v>
      </c>
      <c r="B54" s="47" t="s">
        <v>901</v>
      </c>
      <c r="C54" s="48" t="s">
        <v>68</v>
      </c>
      <c r="D54" s="97" t="s">
        <v>724</v>
      </c>
      <c r="E54" s="345"/>
      <c r="F54" s="293" t="str">
        <f t="shared" si="0"/>
        <v>-</v>
      </c>
      <c r="G54" s="88"/>
      <c r="H54" s="88"/>
      <c r="I54" s="88"/>
      <c r="J54" s="88"/>
    </row>
    <row r="55" spans="1:10" ht="25.5" x14ac:dyDescent="0.2">
      <c r="A55" s="47" t="s">
        <v>902</v>
      </c>
      <c r="B55" s="47" t="s">
        <v>903</v>
      </c>
      <c r="C55" s="48" t="s">
        <v>210</v>
      </c>
      <c r="D55" s="97" t="s">
        <v>724</v>
      </c>
      <c r="E55" s="345"/>
      <c r="F55" s="293" t="str">
        <f t="shared" si="0"/>
        <v>-</v>
      </c>
      <c r="G55" s="88"/>
      <c r="H55" s="88"/>
      <c r="I55" s="88"/>
      <c r="J55" s="88"/>
    </row>
    <row r="56" spans="1:10" ht="25.5" x14ac:dyDescent="0.2">
      <c r="A56" s="47" t="s">
        <v>904</v>
      </c>
      <c r="B56" s="47" t="s">
        <v>905</v>
      </c>
      <c r="C56" s="48" t="s">
        <v>68</v>
      </c>
      <c r="D56" s="97" t="s">
        <v>724</v>
      </c>
      <c r="E56" s="345"/>
      <c r="F56" s="293" t="str">
        <f t="shared" si="0"/>
        <v>-</v>
      </c>
      <c r="G56" s="88"/>
      <c r="H56" s="88"/>
      <c r="I56" s="88"/>
      <c r="J56" s="88"/>
    </row>
    <row r="57" spans="1:10" ht="25.5" x14ac:dyDescent="0.2">
      <c r="A57" s="47" t="s">
        <v>906</v>
      </c>
      <c r="B57" s="47" t="s">
        <v>907</v>
      </c>
      <c r="C57" s="48" t="s">
        <v>68</v>
      </c>
      <c r="D57" s="97" t="s">
        <v>724</v>
      </c>
      <c r="E57" s="345"/>
      <c r="F57" s="293" t="str">
        <f t="shared" si="0"/>
        <v>-</v>
      </c>
      <c r="G57" s="88"/>
      <c r="H57" s="88"/>
      <c r="I57" s="88"/>
      <c r="J57" s="88"/>
    </row>
    <row r="58" spans="1:10" ht="25.5" x14ac:dyDescent="0.2">
      <c r="A58" s="47" t="s">
        <v>908</v>
      </c>
      <c r="B58" s="47" t="s">
        <v>909</v>
      </c>
      <c r="C58" s="48" t="s">
        <v>68</v>
      </c>
      <c r="D58" s="97" t="s">
        <v>724</v>
      </c>
      <c r="E58" s="345"/>
      <c r="F58" s="293" t="str">
        <f t="shared" si="0"/>
        <v>-</v>
      </c>
      <c r="G58" s="88"/>
      <c r="H58" s="88"/>
      <c r="I58" s="88"/>
      <c r="J58" s="88"/>
    </row>
    <row r="59" spans="1:10" ht="25.5" x14ac:dyDescent="0.2">
      <c r="A59" s="47" t="s">
        <v>910</v>
      </c>
      <c r="B59" s="47" t="s">
        <v>911</v>
      </c>
      <c r="C59" s="48" t="s">
        <v>68</v>
      </c>
      <c r="D59" s="97" t="s">
        <v>724</v>
      </c>
      <c r="E59" s="345"/>
      <c r="F59" s="293" t="str">
        <f t="shared" si="0"/>
        <v>-</v>
      </c>
      <c r="G59" s="88"/>
      <c r="H59" s="88"/>
      <c r="I59" s="88"/>
      <c r="J59" s="88"/>
    </row>
    <row r="60" spans="1:10" ht="25.5" x14ac:dyDescent="0.2">
      <c r="A60" s="47" t="s">
        <v>912</v>
      </c>
      <c r="B60" s="47" t="s">
        <v>913</v>
      </c>
      <c r="C60" s="48" t="s">
        <v>68</v>
      </c>
      <c r="D60" s="97" t="s">
        <v>724</v>
      </c>
      <c r="E60" s="345"/>
      <c r="F60" s="293" t="str">
        <f t="shared" si="0"/>
        <v>-</v>
      </c>
      <c r="G60" s="88"/>
      <c r="H60" s="88"/>
      <c r="I60" s="88"/>
      <c r="J60" s="88"/>
    </row>
    <row r="61" spans="1:10" s="78" customFormat="1" ht="25.5" x14ac:dyDescent="0.2">
      <c r="A61" s="96" t="s">
        <v>914</v>
      </c>
      <c r="B61" s="96" t="s">
        <v>1386</v>
      </c>
      <c r="C61" s="97" t="s">
        <v>68</v>
      </c>
      <c r="D61" s="97" t="s">
        <v>724</v>
      </c>
      <c r="E61" s="393"/>
      <c r="F61" s="394" t="str">
        <f t="shared" si="0"/>
        <v>-</v>
      </c>
      <c r="G61" s="395"/>
      <c r="H61" s="395"/>
      <c r="I61" s="395"/>
      <c r="J61" s="395"/>
    </row>
    <row r="62" spans="1:10" ht="38.25" x14ac:dyDescent="0.2">
      <c r="A62" s="47" t="s">
        <v>915</v>
      </c>
      <c r="B62" s="47" t="s">
        <v>916</v>
      </c>
      <c r="C62" s="48" t="s">
        <v>68</v>
      </c>
      <c r="D62" s="97" t="s">
        <v>724</v>
      </c>
      <c r="E62" s="345"/>
      <c r="F62" s="293" t="str">
        <f t="shared" si="0"/>
        <v>-</v>
      </c>
      <c r="G62" s="88"/>
      <c r="H62" s="88"/>
      <c r="I62" s="88"/>
      <c r="J62" s="88"/>
    </row>
    <row r="63" spans="1:10" ht="25.5" x14ac:dyDescent="0.2">
      <c r="A63" s="47" t="s">
        <v>917</v>
      </c>
      <c r="B63" s="47" t="s">
        <v>918</v>
      </c>
      <c r="C63" s="48" t="s">
        <v>68</v>
      </c>
      <c r="D63" s="97" t="s">
        <v>724</v>
      </c>
      <c r="E63" s="345"/>
      <c r="F63" s="293" t="str">
        <f t="shared" si="0"/>
        <v>-</v>
      </c>
      <c r="G63" s="88"/>
      <c r="H63" s="88"/>
      <c r="I63" s="88"/>
      <c r="J63" s="88"/>
    </row>
    <row r="64" spans="1:10" ht="25.5" x14ac:dyDescent="0.2">
      <c r="A64" s="47" t="s">
        <v>919</v>
      </c>
      <c r="B64" s="47" t="s">
        <v>920</v>
      </c>
      <c r="C64" s="48" t="s">
        <v>68</v>
      </c>
      <c r="D64" s="97" t="s">
        <v>724</v>
      </c>
      <c r="E64" s="345"/>
      <c r="F64" s="293" t="str">
        <f t="shared" si="0"/>
        <v>-</v>
      </c>
      <c r="G64" s="88"/>
      <c r="H64" s="88"/>
      <c r="I64" s="88"/>
      <c r="J64" s="88"/>
    </row>
    <row r="65" spans="1:10" ht="25.5" x14ac:dyDescent="0.2">
      <c r="A65" s="47" t="s">
        <v>921</v>
      </c>
      <c r="B65" s="47" t="s">
        <v>922</v>
      </c>
      <c r="C65" s="48" t="s">
        <v>68</v>
      </c>
      <c r="D65" s="97" t="s">
        <v>724</v>
      </c>
      <c r="E65" s="345"/>
      <c r="F65" s="293" t="str">
        <f t="shared" si="0"/>
        <v>-</v>
      </c>
      <c r="G65" s="88"/>
      <c r="H65" s="88"/>
      <c r="I65" s="88"/>
      <c r="J65" s="88"/>
    </row>
    <row r="66" spans="1:10" ht="25.5" x14ac:dyDescent="0.2">
      <c r="A66" s="47" t="s">
        <v>923</v>
      </c>
      <c r="B66" s="47" t="s">
        <v>924</v>
      </c>
      <c r="C66" s="48" t="s">
        <v>210</v>
      </c>
      <c r="D66" s="97" t="s">
        <v>724</v>
      </c>
      <c r="E66" s="345"/>
      <c r="F66" s="293" t="str">
        <f t="shared" si="0"/>
        <v>-</v>
      </c>
      <c r="G66" s="88"/>
      <c r="H66" s="88"/>
      <c r="I66" s="88"/>
      <c r="J66" s="88"/>
    </row>
    <row r="67" spans="1:10" ht="38.25" x14ac:dyDescent="0.2">
      <c r="A67" s="47" t="s">
        <v>925</v>
      </c>
      <c r="B67" s="47" t="s">
        <v>926</v>
      </c>
      <c r="C67" s="48" t="s">
        <v>68</v>
      </c>
      <c r="D67" s="97" t="s">
        <v>724</v>
      </c>
      <c r="E67" s="345"/>
      <c r="F67" s="293" t="str">
        <f t="shared" si="0"/>
        <v>-</v>
      </c>
      <c r="G67" s="88"/>
      <c r="H67" s="88"/>
      <c r="I67" s="88"/>
      <c r="J67" s="88"/>
    </row>
    <row r="68" spans="1:10" ht="25.5" x14ac:dyDescent="0.2">
      <c r="A68" s="47" t="s">
        <v>927</v>
      </c>
      <c r="B68" s="47" t="s">
        <v>928</v>
      </c>
      <c r="C68" s="48" t="s">
        <v>68</v>
      </c>
      <c r="D68" s="97" t="s">
        <v>724</v>
      </c>
      <c r="E68" s="345"/>
      <c r="F68" s="293" t="str">
        <f t="shared" si="0"/>
        <v>-</v>
      </c>
      <c r="G68" s="88"/>
      <c r="H68" s="88"/>
      <c r="I68" s="88"/>
      <c r="J68" s="88"/>
    </row>
    <row r="69" spans="1:10" ht="25.5" x14ac:dyDescent="0.2">
      <c r="A69" s="47" t="s">
        <v>929</v>
      </c>
      <c r="B69" s="47" t="s">
        <v>930</v>
      </c>
      <c r="C69" s="48" t="s">
        <v>68</v>
      </c>
      <c r="D69" s="97" t="s">
        <v>724</v>
      </c>
      <c r="E69" s="345"/>
      <c r="F69" s="293" t="str">
        <f t="shared" si="0"/>
        <v>-</v>
      </c>
      <c r="G69" s="88"/>
      <c r="H69" s="88"/>
      <c r="I69" s="88"/>
      <c r="J69" s="88"/>
    </row>
    <row r="70" spans="1:10" ht="25.5" x14ac:dyDescent="0.2">
      <c r="A70" s="47" t="s">
        <v>931</v>
      </c>
      <c r="B70" s="47" t="s">
        <v>932</v>
      </c>
      <c r="C70" s="48" t="s">
        <v>68</v>
      </c>
      <c r="D70" s="97" t="s">
        <v>724</v>
      </c>
      <c r="E70" s="345"/>
      <c r="F70" s="293" t="str">
        <f t="shared" si="0"/>
        <v>-</v>
      </c>
      <c r="G70" s="88"/>
      <c r="H70" s="88"/>
      <c r="I70" s="88"/>
      <c r="J70" s="88"/>
    </row>
    <row r="71" spans="1:10" ht="25.5" x14ac:dyDescent="0.2">
      <c r="A71" s="47" t="s">
        <v>933</v>
      </c>
      <c r="B71" s="47" t="s">
        <v>934</v>
      </c>
      <c r="C71" s="48" t="s">
        <v>210</v>
      </c>
      <c r="D71" s="97" t="s">
        <v>724</v>
      </c>
      <c r="E71" s="345"/>
      <c r="F71" s="293" t="str">
        <f t="shared" si="0"/>
        <v>-</v>
      </c>
      <c r="G71" s="88"/>
      <c r="H71" s="88"/>
      <c r="I71" s="88"/>
      <c r="J71" s="88"/>
    </row>
    <row r="72" spans="1:10" ht="25.5" x14ac:dyDescent="0.2">
      <c r="A72" s="47" t="s">
        <v>935</v>
      </c>
      <c r="B72" s="47" t="s">
        <v>936</v>
      </c>
      <c r="C72" s="48" t="s">
        <v>68</v>
      </c>
      <c r="D72" s="97" t="s">
        <v>724</v>
      </c>
      <c r="E72" s="345"/>
      <c r="F72" s="293" t="str">
        <f t="shared" si="0"/>
        <v>-</v>
      </c>
      <c r="G72" s="88"/>
      <c r="H72" s="88"/>
      <c r="I72" s="88"/>
      <c r="J72" s="88"/>
    </row>
    <row r="73" spans="1:10" ht="25.5" x14ac:dyDescent="0.2">
      <c r="A73" s="47" t="s">
        <v>937</v>
      </c>
      <c r="B73" s="47" t="s">
        <v>938</v>
      </c>
      <c r="C73" s="48" t="s">
        <v>210</v>
      </c>
      <c r="D73" s="97" t="s">
        <v>724</v>
      </c>
      <c r="E73" s="345"/>
      <c r="F73" s="293" t="str">
        <f t="shared" si="0"/>
        <v>-</v>
      </c>
      <c r="G73" s="88"/>
      <c r="H73" s="88"/>
      <c r="I73" s="88"/>
      <c r="J73" s="88"/>
    </row>
    <row r="74" spans="1:10" ht="25.5" x14ac:dyDescent="0.2">
      <c r="A74" s="47" t="s">
        <v>939</v>
      </c>
      <c r="B74" s="47" t="s">
        <v>940</v>
      </c>
      <c r="C74" s="48" t="s">
        <v>68</v>
      </c>
      <c r="D74" s="97" t="s">
        <v>724</v>
      </c>
      <c r="E74" s="345"/>
      <c r="F74" s="293" t="str">
        <f t="shared" si="0"/>
        <v>-</v>
      </c>
      <c r="G74" s="88"/>
      <c r="H74" s="88"/>
      <c r="I74" s="88"/>
      <c r="J74" s="88"/>
    </row>
    <row r="75" spans="1:10" ht="25.5" x14ac:dyDescent="0.2">
      <c r="A75" s="47" t="s">
        <v>941</v>
      </c>
      <c r="B75" s="47" t="s">
        <v>942</v>
      </c>
      <c r="C75" s="48" t="s">
        <v>210</v>
      </c>
      <c r="D75" s="97" t="s">
        <v>724</v>
      </c>
      <c r="E75" s="345"/>
      <c r="F75" s="293" t="str">
        <f t="shared" ref="F75" si="1">IF(ISNUMBER(SEARCH("incl",$D75)),"-",IF(ISNUMBER(SEARCH("not r",$D75)),"-",IF(ISNUMBER(SEARCH("refer",$D75)),"-",IF(C75="sum","",$D75*$E75))))</f>
        <v>-</v>
      </c>
      <c r="G75" s="88"/>
      <c r="H75" s="88"/>
      <c r="I75" s="88"/>
      <c r="J75" s="88"/>
    </row>
    <row r="76" spans="1:10" x14ac:dyDescent="0.2">
      <c r="A76" s="39" t="s">
        <v>943</v>
      </c>
      <c r="B76" s="12" t="s">
        <v>944</v>
      </c>
      <c r="C76" s="44"/>
      <c r="D76" s="44"/>
      <c r="E76" s="344"/>
      <c r="F76" s="296" t="str">
        <f t="shared" ref="F76" si="2">IF(ISNUMBER($D76)=FALSE,"-",IF(E76=0,"",D76*E76))</f>
        <v>-</v>
      </c>
      <c r="G76" s="88"/>
      <c r="H76" s="88"/>
      <c r="I76" s="88"/>
      <c r="J76" s="88"/>
    </row>
    <row r="77" spans="1:10" ht="25.5" x14ac:dyDescent="0.2">
      <c r="A77" s="96" t="s">
        <v>945</v>
      </c>
      <c r="B77" s="96" t="s">
        <v>946</v>
      </c>
      <c r="C77" s="97" t="s">
        <v>68</v>
      </c>
      <c r="D77" s="97" t="s">
        <v>724</v>
      </c>
      <c r="E77" s="344"/>
      <c r="F77" s="293" t="str">
        <f t="shared" ref="F77:F93" si="3">IF(ISNUMBER(SEARCH("incl",$D77)),"-",IF(ISNUMBER(SEARCH("not r",$D77)),"-",IF(ISNUMBER(SEARCH("refer",$D77)),"-",IF(C77="sum","",$D77*$E77))))</f>
        <v>-</v>
      </c>
      <c r="G77" s="88"/>
      <c r="H77" s="88"/>
      <c r="I77" s="88"/>
      <c r="J77" s="88"/>
    </row>
    <row r="78" spans="1:10" ht="23.45" customHeight="1" x14ac:dyDescent="0.2">
      <c r="A78" s="47" t="s">
        <v>947</v>
      </c>
      <c r="B78" s="47" t="s">
        <v>948</v>
      </c>
      <c r="C78" s="48" t="s">
        <v>68</v>
      </c>
      <c r="D78" s="97" t="s">
        <v>724</v>
      </c>
      <c r="E78" s="345"/>
      <c r="F78" s="293" t="str">
        <f t="shared" si="3"/>
        <v>-</v>
      </c>
      <c r="G78" s="88"/>
      <c r="H78" s="88"/>
      <c r="I78" s="88"/>
      <c r="J78" s="88"/>
    </row>
    <row r="79" spans="1:10" ht="25.5" x14ac:dyDescent="0.2">
      <c r="A79" s="47" t="s">
        <v>949</v>
      </c>
      <c r="B79" s="47" t="s">
        <v>950</v>
      </c>
      <c r="C79" s="48" t="s">
        <v>68</v>
      </c>
      <c r="D79" s="97" t="s">
        <v>724</v>
      </c>
      <c r="E79" s="345"/>
      <c r="F79" s="293" t="str">
        <f t="shared" si="3"/>
        <v>-</v>
      </c>
      <c r="G79" s="88"/>
      <c r="H79" s="88"/>
      <c r="I79" s="88"/>
      <c r="J79" s="88"/>
    </row>
    <row r="80" spans="1:10" ht="51.95" customHeight="1" x14ac:dyDescent="0.2">
      <c r="A80" s="47" t="s">
        <v>951</v>
      </c>
      <c r="B80" s="47" t="s">
        <v>1247</v>
      </c>
      <c r="C80" s="48" t="s">
        <v>68</v>
      </c>
      <c r="D80" s="97" t="s">
        <v>724</v>
      </c>
      <c r="E80" s="345"/>
      <c r="F80" s="293" t="str">
        <f t="shared" si="3"/>
        <v>-</v>
      </c>
      <c r="G80" s="88"/>
      <c r="H80" s="88"/>
      <c r="I80" s="88"/>
      <c r="J80" s="88"/>
    </row>
    <row r="81" spans="1:10" ht="25.5" x14ac:dyDescent="0.2">
      <c r="A81" s="47" t="s">
        <v>952</v>
      </c>
      <c r="B81" s="47" t="s">
        <v>953</v>
      </c>
      <c r="C81" s="48" t="s">
        <v>954</v>
      </c>
      <c r="D81" s="97" t="s">
        <v>724</v>
      </c>
      <c r="E81" s="345"/>
      <c r="F81" s="293" t="str">
        <f t="shared" si="3"/>
        <v>-</v>
      </c>
      <c r="G81" s="88"/>
      <c r="H81" s="88"/>
      <c r="I81" s="88"/>
      <c r="J81" s="88"/>
    </row>
    <row r="82" spans="1:10" ht="38.25" x14ac:dyDescent="0.2">
      <c r="A82" s="47" t="s">
        <v>955</v>
      </c>
      <c r="B82" s="47" t="s">
        <v>1248</v>
      </c>
      <c r="C82" s="48" t="s">
        <v>68</v>
      </c>
      <c r="D82" s="97" t="s">
        <v>724</v>
      </c>
      <c r="E82" s="345"/>
      <c r="F82" s="293" t="str">
        <f t="shared" si="3"/>
        <v>-</v>
      </c>
      <c r="G82" s="88"/>
      <c r="H82" s="88"/>
      <c r="I82" s="88"/>
      <c r="J82" s="88"/>
    </row>
    <row r="83" spans="1:10" ht="25.5" x14ac:dyDescent="0.2">
      <c r="A83" s="47" t="s">
        <v>956</v>
      </c>
      <c r="B83" s="47" t="s">
        <v>957</v>
      </c>
      <c r="C83" s="48" t="s">
        <v>210</v>
      </c>
      <c r="D83" s="97" t="s">
        <v>724</v>
      </c>
      <c r="E83" s="345"/>
      <c r="F83" s="293" t="str">
        <f t="shared" si="3"/>
        <v>-</v>
      </c>
      <c r="G83" s="88"/>
      <c r="H83" s="88"/>
      <c r="I83" s="88"/>
      <c r="J83" s="88"/>
    </row>
    <row r="84" spans="1:10" ht="51" x14ac:dyDescent="0.2">
      <c r="A84" s="47" t="s">
        <v>958</v>
      </c>
      <c r="B84" s="47" t="s">
        <v>959</v>
      </c>
      <c r="C84" s="48" t="s">
        <v>68</v>
      </c>
      <c r="D84" s="97" t="s">
        <v>724</v>
      </c>
      <c r="E84" s="345"/>
      <c r="F84" s="293" t="str">
        <f t="shared" si="3"/>
        <v>-</v>
      </c>
      <c r="G84" s="88"/>
      <c r="H84" s="88"/>
      <c r="I84" s="88"/>
      <c r="J84" s="88"/>
    </row>
    <row r="85" spans="1:10" ht="25.5" x14ac:dyDescent="0.2">
      <c r="A85" s="47" t="s">
        <v>960</v>
      </c>
      <c r="B85" s="47" t="s">
        <v>961</v>
      </c>
      <c r="C85" s="48" t="s">
        <v>954</v>
      </c>
      <c r="D85" s="97" t="s">
        <v>724</v>
      </c>
      <c r="E85" s="345"/>
      <c r="F85" s="293" t="str">
        <f t="shared" si="3"/>
        <v>-</v>
      </c>
      <c r="G85" s="88"/>
      <c r="H85" s="88"/>
      <c r="I85" s="88"/>
      <c r="J85" s="88"/>
    </row>
    <row r="86" spans="1:10" ht="38.25" x14ac:dyDescent="0.2">
      <c r="A86" s="47" t="s">
        <v>962</v>
      </c>
      <c r="B86" s="47" t="s">
        <v>963</v>
      </c>
      <c r="C86" s="48" t="s">
        <v>68</v>
      </c>
      <c r="D86" s="97" t="s">
        <v>724</v>
      </c>
      <c r="E86" s="345"/>
      <c r="F86" s="293" t="str">
        <f t="shared" si="3"/>
        <v>-</v>
      </c>
      <c r="G86" s="88"/>
      <c r="H86" s="88"/>
      <c r="I86" s="88"/>
      <c r="J86" s="88"/>
    </row>
    <row r="87" spans="1:10" ht="25.5" x14ac:dyDescent="0.2">
      <c r="A87" s="47" t="s">
        <v>964</v>
      </c>
      <c r="B87" s="47" t="s">
        <v>965</v>
      </c>
      <c r="C87" s="48" t="s">
        <v>210</v>
      </c>
      <c r="D87" s="97" t="s">
        <v>724</v>
      </c>
      <c r="E87" s="345"/>
      <c r="F87" s="293" t="str">
        <f t="shared" si="3"/>
        <v>-</v>
      </c>
      <c r="G87" s="88"/>
      <c r="H87" s="88"/>
      <c r="I87" s="88"/>
      <c r="J87" s="88"/>
    </row>
    <row r="88" spans="1:10" ht="51" x14ac:dyDescent="0.2">
      <c r="A88" s="47" t="s">
        <v>966</v>
      </c>
      <c r="B88" s="47" t="s">
        <v>967</v>
      </c>
      <c r="C88" s="48" t="s">
        <v>68</v>
      </c>
      <c r="D88" s="97" t="s">
        <v>724</v>
      </c>
      <c r="E88" s="345"/>
      <c r="F88" s="293" t="str">
        <f t="shared" si="3"/>
        <v>-</v>
      </c>
      <c r="G88" s="88"/>
      <c r="H88" s="88"/>
      <c r="I88" s="88"/>
      <c r="J88" s="88"/>
    </row>
    <row r="89" spans="1:10" ht="25.5" x14ac:dyDescent="0.2">
      <c r="A89" s="47" t="s">
        <v>968</v>
      </c>
      <c r="B89" s="47" t="s">
        <v>969</v>
      </c>
      <c r="C89" s="48" t="s">
        <v>210</v>
      </c>
      <c r="D89" s="97" t="s">
        <v>724</v>
      </c>
      <c r="E89" s="345"/>
      <c r="F89" s="293" t="str">
        <f t="shared" si="3"/>
        <v>-</v>
      </c>
      <c r="G89" s="88"/>
      <c r="H89" s="88"/>
      <c r="I89" s="88"/>
      <c r="J89" s="88"/>
    </row>
    <row r="90" spans="1:10" ht="25.5" x14ac:dyDescent="0.2">
      <c r="A90" s="47" t="s">
        <v>970</v>
      </c>
      <c r="B90" s="47" t="s">
        <v>971</v>
      </c>
      <c r="C90" s="48" t="s">
        <v>68</v>
      </c>
      <c r="D90" s="97" t="s">
        <v>724</v>
      </c>
      <c r="E90" s="344"/>
      <c r="F90" s="293" t="str">
        <f t="shared" si="3"/>
        <v>-</v>
      </c>
      <c r="G90" s="88"/>
      <c r="H90" s="88"/>
      <c r="I90" s="88"/>
      <c r="J90" s="88"/>
    </row>
    <row r="91" spans="1:10" ht="51" x14ac:dyDescent="0.2">
      <c r="A91" s="45" t="s">
        <v>972</v>
      </c>
      <c r="B91" s="45" t="s">
        <v>1250</v>
      </c>
      <c r="C91" s="46" t="s">
        <v>68</v>
      </c>
      <c r="D91" s="46">
        <f>G91</f>
        <v>2</v>
      </c>
      <c r="E91" s="344">
        <v>60</v>
      </c>
      <c r="F91" s="293">
        <f t="shared" si="3"/>
        <v>120</v>
      </c>
      <c r="G91" s="94">
        <v>2</v>
      </c>
      <c r="H91" s="94" t="s">
        <v>1246</v>
      </c>
      <c r="I91" s="88"/>
      <c r="J91" s="88"/>
    </row>
    <row r="92" spans="1:10" ht="51" x14ac:dyDescent="0.2">
      <c r="A92" s="47" t="s">
        <v>973</v>
      </c>
      <c r="B92" s="47" t="s">
        <v>1249</v>
      </c>
      <c r="C92" s="48" t="s">
        <v>68</v>
      </c>
      <c r="D92" s="97" t="s">
        <v>724</v>
      </c>
      <c r="E92" s="345"/>
      <c r="F92" s="293" t="str">
        <f t="shared" si="3"/>
        <v>-</v>
      </c>
      <c r="G92" s="88"/>
      <c r="H92" s="88"/>
      <c r="I92" s="88"/>
      <c r="J92" s="88"/>
    </row>
    <row r="93" spans="1:10" ht="63.75" x14ac:dyDescent="0.2">
      <c r="A93" s="45" t="s">
        <v>974</v>
      </c>
      <c r="B93" s="45" t="s">
        <v>1251</v>
      </c>
      <c r="C93" s="46" t="s">
        <v>68</v>
      </c>
      <c r="D93" s="46">
        <f>G93</f>
        <v>2</v>
      </c>
      <c r="E93" s="344">
        <v>60</v>
      </c>
      <c r="F93" s="293">
        <f t="shared" si="3"/>
        <v>120</v>
      </c>
      <c r="G93" s="94">
        <v>2</v>
      </c>
      <c r="H93" s="94" t="s">
        <v>1246</v>
      </c>
      <c r="I93" s="88"/>
      <c r="J93" s="88"/>
    </row>
    <row r="94" spans="1:10" x14ac:dyDescent="0.2">
      <c r="A94" s="39" t="s">
        <v>975</v>
      </c>
      <c r="B94" s="12" t="s">
        <v>976</v>
      </c>
      <c r="C94" s="44"/>
      <c r="D94" s="44"/>
      <c r="E94" s="344"/>
      <c r="F94" s="296"/>
      <c r="G94" s="88"/>
      <c r="H94" s="88"/>
      <c r="I94" s="88"/>
      <c r="J94" s="88"/>
    </row>
    <row r="95" spans="1:10" ht="63.75" x14ac:dyDescent="0.2">
      <c r="A95" s="47" t="s">
        <v>977</v>
      </c>
      <c r="B95" s="47" t="s">
        <v>978</v>
      </c>
      <c r="C95" s="48" t="s">
        <v>68</v>
      </c>
      <c r="D95" s="97" t="s">
        <v>724</v>
      </c>
      <c r="E95" s="344"/>
      <c r="F95" s="293" t="str">
        <f t="shared" ref="F95:F126" si="4">IF(ISNUMBER(SEARCH("incl",$D95)),"-",IF(ISNUMBER(SEARCH("not r",$D95)),"-",IF(ISNUMBER(SEARCH("refer",$D95)),"-",IF(C95="sum","",$D95*$E95))))</f>
        <v>-</v>
      </c>
      <c r="G95" s="88"/>
      <c r="H95" s="88"/>
      <c r="I95" s="88"/>
      <c r="J95" s="88"/>
    </row>
    <row r="96" spans="1:10" ht="25.5" x14ac:dyDescent="0.2">
      <c r="A96" s="47" t="s">
        <v>979</v>
      </c>
      <c r="B96" s="47" t="s">
        <v>980</v>
      </c>
      <c r="C96" s="48" t="s">
        <v>68</v>
      </c>
      <c r="D96" s="97" t="s">
        <v>724</v>
      </c>
      <c r="E96" s="344"/>
      <c r="F96" s="293" t="str">
        <f t="shared" si="4"/>
        <v>-</v>
      </c>
      <c r="G96" s="88"/>
      <c r="H96" s="88"/>
      <c r="I96" s="88"/>
      <c r="J96" s="88"/>
    </row>
    <row r="97" spans="1:10" ht="63.75" x14ac:dyDescent="0.2">
      <c r="A97" s="47" t="s">
        <v>981</v>
      </c>
      <c r="B97" s="47" t="s">
        <v>982</v>
      </c>
      <c r="C97" s="48" t="s">
        <v>68</v>
      </c>
      <c r="D97" s="97" t="s">
        <v>724</v>
      </c>
      <c r="E97" s="345"/>
      <c r="F97" s="293" t="str">
        <f t="shared" si="4"/>
        <v>-</v>
      </c>
      <c r="G97" s="88"/>
      <c r="H97" s="88"/>
      <c r="I97" s="88"/>
      <c r="J97" s="88"/>
    </row>
    <row r="98" spans="1:10" ht="51" x14ac:dyDescent="0.2">
      <c r="A98" s="47" t="s">
        <v>983</v>
      </c>
      <c r="B98" s="47" t="s">
        <v>984</v>
      </c>
      <c r="C98" s="48" t="s">
        <v>68</v>
      </c>
      <c r="D98" s="97" t="s">
        <v>724</v>
      </c>
      <c r="E98" s="345"/>
      <c r="F98" s="293" t="str">
        <f t="shared" si="4"/>
        <v>-</v>
      </c>
      <c r="G98" s="88"/>
      <c r="H98" s="88"/>
      <c r="I98" s="88"/>
      <c r="J98" s="88"/>
    </row>
    <row r="99" spans="1:10" ht="38.25" x14ac:dyDescent="0.2">
      <c r="A99" s="47" t="s">
        <v>985</v>
      </c>
      <c r="B99" s="47" t="s">
        <v>986</v>
      </c>
      <c r="C99" s="48" t="s">
        <v>954</v>
      </c>
      <c r="D99" s="97" t="s">
        <v>724</v>
      </c>
      <c r="E99" s="344"/>
      <c r="F99" s="293" t="str">
        <f t="shared" si="4"/>
        <v>-</v>
      </c>
      <c r="G99" s="88"/>
      <c r="H99" s="88"/>
      <c r="I99" s="88"/>
      <c r="J99" s="88"/>
    </row>
    <row r="100" spans="1:10" ht="25.5" x14ac:dyDescent="0.2">
      <c r="A100" s="47" t="s">
        <v>987</v>
      </c>
      <c r="B100" s="47" t="s">
        <v>988</v>
      </c>
      <c r="C100" s="48" t="s">
        <v>210</v>
      </c>
      <c r="D100" s="97" t="s">
        <v>724</v>
      </c>
      <c r="E100" s="345"/>
      <c r="F100" s="293" t="str">
        <f t="shared" si="4"/>
        <v>-</v>
      </c>
      <c r="G100" s="88"/>
      <c r="H100" s="88"/>
      <c r="I100" s="88"/>
      <c r="J100" s="88"/>
    </row>
    <row r="101" spans="1:10" x14ac:dyDescent="0.2">
      <c r="A101" s="39" t="s">
        <v>989</v>
      </c>
      <c r="B101" s="12" t="s">
        <v>990</v>
      </c>
      <c r="C101" s="44"/>
      <c r="D101" s="44"/>
      <c r="E101" s="344"/>
      <c r="F101" s="296"/>
      <c r="G101" s="88"/>
      <c r="H101" s="88"/>
      <c r="I101" s="88"/>
      <c r="J101" s="88"/>
    </row>
    <row r="102" spans="1:10" ht="25.5" x14ac:dyDescent="0.2">
      <c r="A102" s="47" t="s">
        <v>991</v>
      </c>
      <c r="B102" s="47" t="s">
        <v>992</v>
      </c>
      <c r="C102" s="48" t="s">
        <v>68</v>
      </c>
      <c r="D102" s="97" t="s">
        <v>724</v>
      </c>
      <c r="E102" s="344"/>
      <c r="F102" s="293" t="str">
        <f t="shared" si="4"/>
        <v>-</v>
      </c>
      <c r="G102" s="88"/>
      <c r="H102" s="88"/>
      <c r="I102" s="88"/>
      <c r="J102" s="88"/>
    </row>
    <row r="103" spans="1:10" ht="25.5" x14ac:dyDescent="0.2">
      <c r="A103" s="47" t="s">
        <v>993</v>
      </c>
      <c r="B103" s="47" t="s">
        <v>994</v>
      </c>
      <c r="C103" s="48" t="s">
        <v>68</v>
      </c>
      <c r="D103" s="97" t="s">
        <v>724</v>
      </c>
      <c r="E103" s="345"/>
      <c r="F103" s="293" t="str">
        <f t="shared" si="4"/>
        <v>-</v>
      </c>
      <c r="G103" s="88"/>
      <c r="H103" s="88"/>
      <c r="I103" s="88"/>
      <c r="J103" s="88"/>
    </row>
    <row r="104" spans="1:10" ht="25.5" x14ac:dyDescent="0.2">
      <c r="A104" s="47" t="s">
        <v>995</v>
      </c>
      <c r="B104" s="47" t="s">
        <v>996</v>
      </c>
      <c r="C104" s="48" t="s">
        <v>68</v>
      </c>
      <c r="D104" s="97" t="s">
        <v>724</v>
      </c>
      <c r="E104" s="345"/>
      <c r="F104" s="293" t="str">
        <f t="shared" si="4"/>
        <v>-</v>
      </c>
      <c r="G104" s="88"/>
      <c r="H104" s="88"/>
      <c r="I104" s="88"/>
      <c r="J104" s="88"/>
    </row>
    <row r="105" spans="1:10" ht="25.5" x14ac:dyDescent="0.2">
      <c r="A105" s="47" t="s">
        <v>997</v>
      </c>
      <c r="B105" s="47" t="s">
        <v>998</v>
      </c>
      <c r="C105" s="48" t="s">
        <v>68</v>
      </c>
      <c r="D105" s="97" t="s">
        <v>724</v>
      </c>
      <c r="E105" s="345"/>
      <c r="F105" s="293" t="str">
        <f t="shared" si="4"/>
        <v>-</v>
      </c>
      <c r="G105" s="88"/>
      <c r="H105" s="88"/>
      <c r="I105" s="88"/>
      <c r="J105" s="88"/>
    </row>
    <row r="106" spans="1:10" ht="25.5" x14ac:dyDescent="0.2">
      <c r="A106" s="47" t="s">
        <v>999</v>
      </c>
      <c r="B106" s="47" t="s">
        <v>1000</v>
      </c>
      <c r="C106" s="48" t="s">
        <v>68</v>
      </c>
      <c r="D106" s="97" t="s">
        <v>724</v>
      </c>
      <c r="E106" s="345"/>
      <c r="F106" s="293" t="str">
        <f t="shared" si="4"/>
        <v>-</v>
      </c>
      <c r="G106" s="88"/>
      <c r="H106" s="88"/>
      <c r="I106" s="88"/>
      <c r="J106" s="88"/>
    </row>
    <row r="107" spans="1:10" ht="12.75" customHeight="1" x14ac:dyDescent="0.2">
      <c r="A107" s="47" t="s">
        <v>1001</v>
      </c>
      <c r="B107" s="47" t="s">
        <v>1002</v>
      </c>
      <c r="C107" s="48" t="s">
        <v>68</v>
      </c>
      <c r="D107" s="97" t="s">
        <v>724</v>
      </c>
      <c r="E107" s="345"/>
      <c r="F107" s="293" t="str">
        <f t="shared" si="4"/>
        <v>-</v>
      </c>
      <c r="G107" s="88"/>
      <c r="H107" s="88"/>
      <c r="I107" s="88"/>
      <c r="J107" s="88"/>
    </row>
    <row r="108" spans="1:10" ht="25.5" x14ac:dyDescent="0.2">
      <c r="A108" s="47" t="s">
        <v>1003</v>
      </c>
      <c r="B108" s="47" t="s">
        <v>1004</v>
      </c>
      <c r="C108" s="48" t="s">
        <v>68</v>
      </c>
      <c r="D108" s="97" t="s">
        <v>724</v>
      </c>
      <c r="E108" s="345"/>
      <c r="F108" s="293" t="str">
        <f t="shared" si="4"/>
        <v>-</v>
      </c>
      <c r="G108" s="88"/>
      <c r="H108" s="88"/>
      <c r="I108" s="88"/>
      <c r="J108" s="88"/>
    </row>
    <row r="109" spans="1:10" ht="25.5" x14ac:dyDescent="0.2">
      <c r="A109" s="47" t="s">
        <v>1005</v>
      </c>
      <c r="B109" s="47" t="s">
        <v>1006</v>
      </c>
      <c r="C109" s="48" t="s">
        <v>68</v>
      </c>
      <c r="D109" s="97" t="s">
        <v>724</v>
      </c>
      <c r="E109" s="345"/>
      <c r="F109" s="293" t="str">
        <f t="shared" si="4"/>
        <v>-</v>
      </c>
      <c r="G109" s="88"/>
      <c r="H109" s="88"/>
      <c r="I109" s="88"/>
      <c r="J109" s="88"/>
    </row>
    <row r="110" spans="1:10" ht="25.5" x14ac:dyDescent="0.2">
      <c r="A110" s="47" t="s">
        <v>1007</v>
      </c>
      <c r="B110" s="47" t="s">
        <v>1008</v>
      </c>
      <c r="C110" s="48" t="s">
        <v>68</v>
      </c>
      <c r="D110" s="97" t="s">
        <v>724</v>
      </c>
      <c r="E110" s="345"/>
      <c r="F110" s="293" t="str">
        <f t="shared" si="4"/>
        <v>-</v>
      </c>
      <c r="G110" s="88"/>
      <c r="H110" s="88"/>
      <c r="I110" s="88"/>
      <c r="J110" s="88"/>
    </row>
    <row r="111" spans="1:10" ht="25.5" x14ac:dyDescent="0.2">
      <c r="A111" s="47" t="s">
        <v>1009</v>
      </c>
      <c r="B111" s="47" t="s">
        <v>1010</v>
      </c>
      <c r="C111" s="48" t="s">
        <v>68</v>
      </c>
      <c r="D111" s="97" t="s">
        <v>724</v>
      </c>
      <c r="E111" s="345"/>
      <c r="F111" s="293" t="str">
        <f t="shared" si="4"/>
        <v>-</v>
      </c>
      <c r="G111" s="88"/>
      <c r="H111" s="88"/>
      <c r="I111" s="88"/>
      <c r="J111" s="88"/>
    </row>
    <row r="112" spans="1:10" ht="25.5" x14ac:dyDescent="0.2">
      <c r="A112" s="47" t="s">
        <v>1011</v>
      </c>
      <c r="B112" s="47" t="s">
        <v>1012</v>
      </c>
      <c r="C112" s="48" t="s">
        <v>68</v>
      </c>
      <c r="D112" s="97" t="s">
        <v>724</v>
      </c>
      <c r="E112" s="345"/>
      <c r="F112" s="293" t="str">
        <f t="shared" si="4"/>
        <v>-</v>
      </c>
      <c r="G112" s="88"/>
      <c r="H112" s="88"/>
      <c r="I112" s="88"/>
      <c r="J112" s="88"/>
    </row>
    <row r="113" spans="1:15" ht="25.5" x14ac:dyDescent="0.2">
      <c r="A113" s="47" t="s">
        <v>1013</v>
      </c>
      <c r="B113" s="47" t="s">
        <v>1014</v>
      </c>
      <c r="C113" s="48" t="s">
        <v>68</v>
      </c>
      <c r="D113" s="97" t="s">
        <v>724</v>
      </c>
      <c r="E113" s="345"/>
      <c r="F113" s="293" t="str">
        <f t="shared" si="4"/>
        <v>-</v>
      </c>
      <c r="G113" s="88"/>
      <c r="H113" s="88"/>
      <c r="I113" s="88"/>
      <c r="L113" s="88"/>
    </row>
    <row r="114" spans="1:15" ht="25.5" x14ac:dyDescent="0.2">
      <c r="A114" s="47" t="s">
        <v>1015</v>
      </c>
      <c r="B114" s="47" t="s">
        <v>1016</v>
      </c>
      <c r="C114" s="48" t="s">
        <v>68</v>
      </c>
      <c r="D114" s="97" t="s">
        <v>724</v>
      </c>
      <c r="E114" s="345"/>
      <c r="F114" s="293" t="str">
        <f t="shared" si="4"/>
        <v>-</v>
      </c>
      <c r="J114" s="1" t="s">
        <v>1377</v>
      </c>
      <c r="K114" s="88" t="s">
        <v>1376</v>
      </c>
      <c r="L114" s="88"/>
      <c r="M114" s="88"/>
      <c r="N114" s="1"/>
      <c r="O114" s="88" t="s">
        <v>1174</v>
      </c>
    </row>
    <row r="115" spans="1:15" s="76" customFormat="1" ht="25.5" x14ac:dyDescent="0.2">
      <c r="A115" s="45" t="s">
        <v>1017</v>
      </c>
      <c r="B115" s="45" t="s">
        <v>1018</v>
      </c>
      <c r="C115" s="46" t="s">
        <v>68</v>
      </c>
      <c r="D115" s="46">
        <f>G115</f>
        <v>8</v>
      </c>
      <c r="E115" s="345">
        <v>50</v>
      </c>
      <c r="F115" s="293">
        <f t="shared" si="4"/>
        <v>400</v>
      </c>
      <c r="G115" s="349">
        <v>8</v>
      </c>
      <c r="H115" s="76" t="s">
        <v>1375</v>
      </c>
      <c r="J115" s="75">
        <f>ROUNDUP(K115,0)</f>
        <v>2</v>
      </c>
      <c r="K115" s="111">
        <f>L115*O115+(N115*O115)</f>
        <v>1.25</v>
      </c>
      <c r="L115" s="46">
        <v>1</v>
      </c>
      <c r="M115" s="46" t="s">
        <v>1344</v>
      </c>
      <c r="N115" s="288">
        <v>0.25</v>
      </c>
      <c r="O115" s="111">
        <f>'Section C'!$H$29+'Section C'!$H$30+'Section C'!$H$31+'Section C'!$H$32</f>
        <v>1</v>
      </c>
    </row>
    <row r="116" spans="1:15" ht="25.5" x14ac:dyDescent="0.2">
      <c r="A116" s="47" t="s">
        <v>1019</v>
      </c>
      <c r="B116" s="47" t="s">
        <v>1020</v>
      </c>
      <c r="C116" s="48" t="s">
        <v>68</v>
      </c>
      <c r="D116" s="97" t="s">
        <v>724</v>
      </c>
      <c r="E116" s="345"/>
      <c r="F116" s="293" t="str">
        <f t="shared" si="4"/>
        <v>-</v>
      </c>
      <c r="K116" s="88"/>
      <c r="L116" s="88"/>
      <c r="M116" s="88"/>
      <c r="N116" s="1"/>
    </row>
    <row r="117" spans="1:15" ht="25.5" x14ac:dyDescent="0.2">
      <c r="A117" s="47" t="s">
        <v>1021</v>
      </c>
      <c r="B117" s="47" t="s">
        <v>1022</v>
      </c>
      <c r="C117" s="48" t="s">
        <v>68</v>
      </c>
      <c r="D117" s="97" t="s">
        <v>724</v>
      </c>
      <c r="E117" s="345"/>
      <c r="F117" s="293" t="str">
        <f t="shared" si="4"/>
        <v>-</v>
      </c>
      <c r="K117" s="88"/>
      <c r="L117" s="88"/>
      <c r="M117" s="88"/>
      <c r="N117" s="1"/>
    </row>
    <row r="118" spans="1:15" ht="25.5" x14ac:dyDescent="0.2">
      <c r="A118" s="47" t="s">
        <v>1023</v>
      </c>
      <c r="B118" s="47" t="s">
        <v>1024</v>
      </c>
      <c r="C118" s="48" t="s">
        <v>68</v>
      </c>
      <c r="D118" s="97" t="s">
        <v>724</v>
      </c>
      <c r="E118" s="345"/>
      <c r="F118" s="293" t="str">
        <f t="shared" si="4"/>
        <v>-</v>
      </c>
      <c r="K118" s="88"/>
      <c r="L118" s="88"/>
      <c r="M118" s="88"/>
      <c r="N118" s="1"/>
      <c r="O118" s="88" t="s">
        <v>1174</v>
      </c>
    </row>
    <row r="119" spans="1:15" s="76" customFormat="1" ht="25.5" x14ac:dyDescent="0.2">
      <c r="A119" s="45" t="s">
        <v>1025</v>
      </c>
      <c r="B119" s="45" t="s">
        <v>1026</v>
      </c>
      <c r="C119" s="46" t="s">
        <v>68</v>
      </c>
      <c r="D119" s="46">
        <f>G119</f>
        <v>8</v>
      </c>
      <c r="E119" s="345">
        <v>50</v>
      </c>
      <c r="F119" s="293">
        <f t="shared" si="4"/>
        <v>400</v>
      </c>
      <c r="G119" s="349">
        <v>8</v>
      </c>
      <c r="H119" s="76" t="s">
        <v>1375</v>
      </c>
      <c r="J119" s="75">
        <f>ROUNDUP(K119,0)</f>
        <v>2</v>
      </c>
      <c r="K119" s="111">
        <f>L119*O119+(N119*O119)</f>
        <v>1.25</v>
      </c>
      <c r="L119" s="46">
        <v>1</v>
      </c>
      <c r="M119" s="46" t="s">
        <v>1244</v>
      </c>
      <c r="N119" s="288">
        <v>0.25</v>
      </c>
      <c r="O119" s="111">
        <f>'Section C'!$H$29+'Section C'!$H$30+'Section C'!$H$31+'Section C'!$H$32</f>
        <v>1</v>
      </c>
    </row>
    <row r="120" spans="1:15" ht="38.25" x14ac:dyDescent="0.2">
      <c r="A120" s="47" t="s">
        <v>1027</v>
      </c>
      <c r="B120" s="47" t="s">
        <v>1028</v>
      </c>
      <c r="C120" s="48" t="s">
        <v>68</v>
      </c>
      <c r="D120" s="97" t="s">
        <v>724</v>
      </c>
      <c r="E120" s="344"/>
      <c r="F120" s="293" t="str">
        <f t="shared" si="4"/>
        <v>-</v>
      </c>
      <c r="G120" s="88"/>
      <c r="H120" s="88"/>
      <c r="I120" s="88"/>
      <c r="L120" s="88"/>
    </row>
    <row r="121" spans="1:15" ht="25.5" x14ac:dyDescent="0.2">
      <c r="A121" s="47" t="s">
        <v>1029</v>
      </c>
      <c r="B121" s="47" t="s">
        <v>1030</v>
      </c>
      <c r="C121" s="48" t="s">
        <v>68</v>
      </c>
      <c r="D121" s="97" t="s">
        <v>724</v>
      </c>
      <c r="E121" s="345"/>
      <c r="F121" s="293" t="str">
        <f t="shared" si="4"/>
        <v>-</v>
      </c>
      <c r="G121" s="88"/>
      <c r="H121" s="88"/>
      <c r="I121" s="88"/>
      <c r="J121" s="88"/>
    </row>
    <row r="122" spans="1:15" ht="25.5" x14ac:dyDescent="0.2">
      <c r="A122" s="47" t="s">
        <v>1031</v>
      </c>
      <c r="B122" s="47" t="s">
        <v>1032</v>
      </c>
      <c r="C122" s="48" t="s">
        <v>68</v>
      </c>
      <c r="D122" s="97" t="s">
        <v>724</v>
      </c>
      <c r="E122" s="345"/>
      <c r="F122" s="293" t="str">
        <f t="shared" si="4"/>
        <v>-</v>
      </c>
      <c r="G122" s="88"/>
      <c r="H122" s="88"/>
      <c r="I122" s="88"/>
      <c r="J122" s="88"/>
    </row>
    <row r="123" spans="1:15" ht="38.25" x14ac:dyDescent="0.2">
      <c r="A123" s="39"/>
      <c r="B123" s="12" t="s">
        <v>1033</v>
      </c>
      <c r="C123" s="44"/>
      <c r="D123" s="95"/>
      <c r="E123" s="345"/>
      <c r="F123" s="296"/>
      <c r="G123" s="88"/>
      <c r="H123" s="88"/>
      <c r="I123" s="88"/>
      <c r="J123" s="88"/>
    </row>
    <row r="124" spans="1:15" ht="51" x14ac:dyDescent="0.2">
      <c r="A124" s="47" t="s">
        <v>1034</v>
      </c>
      <c r="B124" s="47" t="s">
        <v>1035</v>
      </c>
      <c r="C124" s="48" t="s">
        <v>68</v>
      </c>
      <c r="D124" s="97" t="s">
        <v>724</v>
      </c>
      <c r="E124" s="345"/>
      <c r="F124" s="293" t="str">
        <f t="shared" si="4"/>
        <v>-</v>
      </c>
      <c r="G124" s="88"/>
      <c r="H124" s="88"/>
      <c r="I124" s="88"/>
      <c r="J124" s="88"/>
    </row>
    <row r="125" spans="1:15" ht="76.5" x14ac:dyDescent="0.2">
      <c r="A125" s="47" t="s">
        <v>1036</v>
      </c>
      <c r="B125" s="47" t="s">
        <v>1037</v>
      </c>
      <c r="C125" s="48" t="s">
        <v>68</v>
      </c>
      <c r="D125" s="97" t="s">
        <v>724</v>
      </c>
      <c r="E125" s="344"/>
      <c r="F125" s="293" t="str">
        <f t="shared" si="4"/>
        <v>-</v>
      </c>
      <c r="G125" s="88"/>
      <c r="H125" s="88"/>
      <c r="I125" s="88"/>
      <c r="J125" s="88"/>
    </row>
    <row r="126" spans="1:15" ht="114.75" x14ac:dyDescent="0.2">
      <c r="A126" s="47" t="s">
        <v>1038</v>
      </c>
      <c r="B126" s="47" t="s">
        <v>1039</v>
      </c>
      <c r="C126" s="48" t="s">
        <v>68</v>
      </c>
      <c r="D126" s="97" t="s">
        <v>724</v>
      </c>
      <c r="E126" s="345"/>
      <c r="F126" s="293" t="str">
        <f t="shared" si="4"/>
        <v>-</v>
      </c>
      <c r="G126" s="88"/>
      <c r="H126" s="88"/>
      <c r="I126" s="88"/>
      <c r="J126" s="88"/>
    </row>
    <row r="127" spans="1:15" ht="12.75" customHeight="1" x14ac:dyDescent="0.2">
      <c r="A127" s="33" t="s">
        <v>1040</v>
      </c>
      <c r="B127" s="34"/>
      <c r="C127" s="34"/>
      <c r="D127" s="266"/>
      <c r="E127" s="346"/>
      <c r="F127" s="294">
        <f>SUM(F11:F126)</f>
        <v>3750</v>
      </c>
      <c r="G127" s="115"/>
      <c r="H127" s="115"/>
      <c r="I127" s="115"/>
      <c r="J127" s="115"/>
    </row>
  </sheetData>
  <pageMargins left="0.7" right="0.7" top="0.75" bottom="0.75" header="0.3" footer="0.3"/>
  <pageSetup paperSize="9" orientation="portrait" r:id="rId1"/>
  <headerFooter>
    <oddFooter>&amp;A&amp;RPage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7:O17"/>
  <sheetViews>
    <sheetView view="pageBreakPreview" zoomScaleNormal="100" zoomScaleSheetLayoutView="100" zoomScalePageLayoutView="60" workbookViewId="0">
      <selection activeCell="G16" sqref="G16"/>
    </sheetView>
  </sheetViews>
  <sheetFormatPr defaultRowHeight="12.75" x14ac:dyDescent="0.2"/>
  <cols>
    <col min="2" max="2" width="35.7109375" customWidth="1"/>
    <col min="3" max="3" width="8.28515625" style="1" customWidth="1"/>
    <col min="4" max="4" width="11.42578125" style="1" customWidth="1"/>
    <col min="5" max="5" width="11.42578125" style="58" customWidth="1"/>
    <col min="6" max="6" width="11.42578125" style="295" customWidth="1"/>
  </cols>
  <sheetData>
    <row r="7" spans="1:15" x14ac:dyDescent="0.2">
      <c r="A7" s="5" t="s">
        <v>0</v>
      </c>
      <c r="B7" s="5" t="s">
        <v>1</v>
      </c>
      <c r="C7" s="5" t="s">
        <v>2</v>
      </c>
      <c r="D7" s="5" t="s">
        <v>3</v>
      </c>
      <c r="E7" s="53" t="s">
        <v>4</v>
      </c>
      <c r="F7" s="289" t="s">
        <v>5</v>
      </c>
    </row>
    <row r="8" spans="1:15" x14ac:dyDescent="0.2">
      <c r="A8" s="8"/>
      <c r="B8" s="8"/>
      <c r="C8" s="9"/>
      <c r="D8" s="9"/>
      <c r="E8" s="54" t="s">
        <v>6</v>
      </c>
      <c r="F8" s="290" t="s">
        <v>6</v>
      </c>
    </row>
    <row r="9" spans="1:15" x14ac:dyDescent="0.2">
      <c r="A9" s="42" t="s">
        <v>1041</v>
      </c>
      <c r="B9" s="42" t="s">
        <v>1042</v>
      </c>
      <c r="C9" s="15"/>
      <c r="D9" s="15"/>
      <c r="E9" s="55"/>
      <c r="F9" s="291"/>
    </row>
    <row r="10" spans="1:15" ht="25.5" x14ac:dyDescent="0.2">
      <c r="A10" s="39"/>
      <c r="B10" s="12" t="s">
        <v>1043</v>
      </c>
      <c r="C10" s="44"/>
      <c r="D10" s="44"/>
      <c r="E10" s="56"/>
      <c r="F10" s="292"/>
      <c r="G10" t="s">
        <v>1378</v>
      </c>
      <c r="K10" t="s">
        <v>1346</v>
      </c>
    </row>
    <row r="11" spans="1:15" ht="15" x14ac:dyDescent="0.25">
      <c r="A11" s="39" t="s">
        <v>1044</v>
      </c>
      <c r="B11" s="39" t="s">
        <v>1045</v>
      </c>
      <c r="C11" s="44" t="s">
        <v>68</v>
      </c>
      <c r="D11" s="44">
        <f>G11</f>
        <v>3</v>
      </c>
      <c r="E11" s="56"/>
      <c r="F11" s="293">
        <f t="shared" ref="F11:F16" si="0">IF(ISNUMBER(SEARCH("incl",$D11)),"-",IF(ISNUMBER(SEARCH("not r",$D11)),"-",IF(ISNUMBER(SEARCH("refer",$D11)),"-",IF(C11="sum","",$D11*$E11))))</f>
        <v>0</v>
      </c>
      <c r="G11" s="283">
        <v>3</v>
      </c>
      <c r="H11" s="350">
        <f>I11*K11</f>
        <v>0.30000000000000004</v>
      </c>
      <c r="I11" s="239">
        <v>1</v>
      </c>
      <c r="J11" s="238" t="s">
        <v>1345</v>
      </c>
      <c r="K11" s="238">
        <f>'Section E'!H25</f>
        <v>0.30000000000000004</v>
      </c>
      <c r="M11" s="92" t="s">
        <v>1288</v>
      </c>
      <c r="O11" s="77" t="s">
        <v>1144</v>
      </c>
    </row>
    <row r="12" spans="1:15" ht="15" x14ac:dyDescent="0.25">
      <c r="A12" s="39" t="s">
        <v>1046</v>
      </c>
      <c r="B12" s="39" t="s">
        <v>1047</v>
      </c>
      <c r="C12" s="44" t="s">
        <v>68</v>
      </c>
      <c r="D12" s="44">
        <f>G12</f>
        <v>3</v>
      </c>
      <c r="E12" s="56"/>
      <c r="F12" s="293">
        <f t="shared" si="0"/>
        <v>0</v>
      </c>
      <c r="G12" s="283">
        <v>3</v>
      </c>
      <c r="H12" s="350">
        <f>I12*K12</f>
        <v>0.30000000000000004</v>
      </c>
      <c r="I12" s="239">
        <v>1</v>
      </c>
      <c r="J12" s="238" t="s">
        <v>1345</v>
      </c>
      <c r="K12" s="238">
        <f>'Section E'!H26</f>
        <v>0.30000000000000004</v>
      </c>
      <c r="M12" s="92" t="s">
        <v>1148</v>
      </c>
      <c r="O12" s="77" t="s">
        <v>1145</v>
      </c>
    </row>
    <row r="13" spans="1:15" x14ac:dyDescent="0.2">
      <c r="A13" s="47" t="s">
        <v>1048</v>
      </c>
      <c r="B13" s="47" t="s">
        <v>1049</v>
      </c>
      <c r="C13" s="97" t="s">
        <v>68</v>
      </c>
      <c r="D13" s="97" t="s">
        <v>1287</v>
      </c>
      <c r="E13" s="97" t="s">
        <v>1167</v>
      </c>
      <c r="F13" s="293" t="str">
        <f t="shared" si="0"/>
        <v>-</v>
      </c>
      <c r="M13" t="s">
        <v>1289</v>
      </c>
    </row>
    <row r="14" spans="1:15" x14ac:dyDescent="0.2">
      <c r="A14" s="74" t="s">
        <v>1050</v>
      </c>
      <c r="B14" s="71" t="s">
        <v>1051</v>
      </c>
      <c r="C14" s="97" t="s">
        <v>68</v>
      </c>
      <c r="D14" s="97" t="s">
        <v>1287</v>
      </c>
      <c r="E14" s="97" t="s">
        <v>1167</v>
      </c>
      <c r="F14" s="293" t="str">
        <f t="shared" si="0"/>
        <v>-</v>
      </c>
      <c r="M14" t="s">
        <v>1290</v>
      </c>
    </row>
    <row r="15" spans="1:15" ht="15" x14ac:dyDescent="0.25">
      <c r="A15" s="39" t="s">
        <v>1052</v>
      </c>
      <c r="B15" s="45" t="s">
        <v>1053</v>
      </c>
      <c r="C15" s="46" t="s">
        <v>68</v>
      </c>
      <c r="D15" s="44">
        <f>G15</f>
        <v>4</v>
      </c>
      <c r="E15" s="56"/>
      <c r="F15" s="293">
        <f t="shared" si="0"/>
        <v>0</v>
      </c>
      <c r="G15" s="283">
        <v>4</v>
      </c>
      <c r="H15" s="351">
        <f>I15*K15</f>
        <v>0.44999999999999996</v>
      </c>
      <c r="I15" s="239">
        <v>1</v>
      </c>
      <c r="J15" s="238" t="s">
        <v>1345</v>
      </c>
      <c r="K15" s="238">
        <f>'Section E'!H29</f>
        <v>0.44999999999999996</v>
      </c>
      <c r="M15" s="92" t="s">
        <v>1291</v>
      </c>
      <c r="O15" s="77" t="s">
        <v>1143</v>
      </c>
    </row>
    <row r="16" spans="1:15" x14ac:dyDescent="0.2">
      <c r="A16" s="47" t="s">
        <v>1054</v>
      </c>
      <c r="B16" s="47" t="s">
        <v>1055</v>
      </c>
      <c r="C16" s="97" t="s">
        <v>68</v>
      </c>
      <c r="D16" s="97" t="s">
        <v>1287</v>
      </c>
      <c r="E16" s="97" t="s">
        <v>1167</v>
      </c>
      <c r="F16" s="293" t="str">
        <f t="shared" si="0"/>
        <v>-</v>
      </c>
    </row>
    <row r="17" spans="1:6" ht="12.75" customHeight="1" x14ac:dyDescent="0.2">
      <c r="A17" s="33" t="s">
        <v>1056</v>
      </c>
      <c r="B17" s="34"/>
      <c r="C17" s="34"/>
      <c r="D17" s="34"/>
      <c r="E17" s="57"/>
      <c r="F17" s="294">
        <f>SUM(F11:F15)</f>
        <v>0</v>
      </c>
    </row>
  </sheetData>
  <pageMargins left="0.7" right="0.7" top="0.75" bottom="0.75" header="0.3" footer="0.3"/>
  <pageSetup paperSize="9" orientation="portrait" r:id="rId1"/>
  <headerFooter>
    <oddFooter>&amp;A&amp;RPage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7:C21"/>
  <sheetViews>
    <sheetView view="pageBreakPreview" zoomScale="110" zoomScaleNormal="100" zoomScaleSheetLayoutView="110" zoomScalePageLayoutView="60" workbookViewId="0">
      <selection activeCell="J17" sqref="J17"/>
    </sheetView>
  </sheetViews>
  <sheetFormatPr defaultRowHeight="12.75" x14ac:dyDescent="0.2"/>
  <cols>
    <col min="2" max="2" width="35.7109375" customWidth="1"/>
    <col min="3" max="3" width="11.42578125" style="1" customWidth="1"/>
  </cols>
  <sheetData>
    <row r="7" spans="1:3" x14ac:dyDescent="0.2">
      <c r="A7" s="416" t="s">
        <v>1057</v>
      </c>
      <c r="B7" s="416"/>
      <c r="C7" s="416"/>
    </row>
    <row r="8" spans="1:3" x14ac:dyDescent="0.2">
      <c r="A8" s="8"/>
      <c r="B8" s="8"/>
      <c r="C8" s="9" t="s">
        <v>6</v>
      </c>
    </row>
    <row r="9" spans="1:3" ht="25.5" x14ac:dyDescent="0.2">
      <c r="A9" s="11" t="s">
        <v>1058</v>
      </c>
      <c r="B9" s="11" t="s">
        <v>8</v>
      </c>
      <c r="C9" s="19">
        <f>TOTAL_A</f>
        <v>1500</v>
      </c>
    </row>
    <row r="10" spans="1:3" x14ac:dyDescent="0.2">
      <c r="A10" s="11" t="s">
        <v>1059</v>
      </c>
      <c r="B10" s="11" t="s">
        <v>1060</v>
      </c>
      <c r="C10" s="19">
        <f>TOTAL_B</f>
        <v>0</v>
      </c>
    </row>
    <row r="11" spans="1:3" x14ac:dyDescent="0.2">
      <c r="A11" s="11" t="s">
        <v>1061</v>
      </c>
      <c r="B11" s="11" t="s">
        <v>198</v>
      </c>
      <c r="C11" s="19">
        <f>TOTAL_C</f>
        <v>0</v>
      </c>
    </row>
    <row r="12" spans="1:3" x14ac:dyDescent="0.2">
      <c r="A12" s="11" t="s">
        <v>1062</v>
      </c>
      <c r="B12" s="11" t="s">
        <v>345</v>
      </c>
      <c r="C12" s="19">
        <f>TOTAL_D</f>
        <v>0</v>
      </c>
    </row>
    <row r="13" spans="1:3" ht="25.5" x14ac:dyDescent="0.2">
      <c r="A13" s="11" t="s">
        <v>1063</v>
      </c>
      <c r="B13" s="11" t="s">
        <v>457</v>
      </c>
      <c r="C13" s="19">
        <f>TOTAL_E</f>
        <v>0</v>
      </c>
    </row>
    <row r="14" spans="1:3" x14ac:dyDescent="0.2">
      <c r="A14" s="11" t="s">
        <v>1064</v>
      </c>
      <c r="B14" s="11" t="s">
        <v>500</v>
      </c>
      <c r="C14" s="19">
        <f>TOTAL_F</f>
        <v>0</v>
      </c>
    </row>
    <row r="15" spans="1:3" x14ac:dyDescent="0.2">
      <c r="A15" s="11" t="s">
        <v>1065</v>
      </c>
      <c r="B15" s="11" t="s">
        <v>548</v>
      </c>
      <c r="C15" s="19">
        <f>TOTAL_G</f>
        <v>0</v>
      </c>
    </row>
    <row r="16" spans="1:3" x14ac:dyDescent="0.2">
      <c r="A16" s="11" t="s">
        <v>1066</v>
      </c>
      <c r="B16" s="11" t="s">
        <v>574</v>
      </c>
      <c r="C16" s="19">
        <f>TOTAL_H</f>
        <v>0</v>
      </c>
    </row>
    <row r="17" spans="1:3" ht="12.75" customHeight="1" x14ac:dyDescent="0.2">
      <c r="A17" s="11" t="s">
        <v>1067</v>
      </c>
      <c r="B17" s="11" t="s">
        <v>679</v>
      </c>
      <c r="C17" s="21">
        <f>TOTAL_I</f>
        <v>0</v>
      </c>
    </row>
    <row r="18" spans="1:3" x14ac:dyDescent="0.2">
      <c r="A18" s="11" t="s">
        <v>1068</v>
      </c>
      <c r="B18" s="11" t="s">
        <v>1069</v>
      </c>
      <c r="C18" s="20">
        <f>TOTAL_J</f>
        <v>0</v>
      </c>
    </row>
    <row r="19" spans="1:3" x14ac:dyDescent="0.2">
      <c r="A19" s="11" t="s">
        <v>1070</v>
      </c>
      <c r="B19" s="11" t="s">
        <v>811</v>
      </c>
      <c r="C19" s="20">
        <f>TOTAL_K</f>
        <v>3750</v>
      </c>
    </row>
    <row r="20" spans="1:3" x14ac:dyDescent="0.2">
      <c r="A20" s="11" t="s">
        <v>1071</v>
      </c>
      <c r="B20" s="11" t="s">
        <v>1042</v>
      </c>
      <c r="C20" s="20">
        <f>TOTAL_L</f>
        <v>0</v>
      </c>
    </row>
    <row r="21" spans="1:3" x14ac:dyDescent="0.2">
      <c r="A21" s="417" t="s">
        <v>1072</v>
      </c>
      <c r="B21" s="417"/>
      <c r="C21" s="22">
        <f>SUM(C9:C20)</f>
        <v>5250</v>
      </c>
    </row>
  </sheetData>
  <mergeCells count="2">
    <mergeCell ref="A7:C7"/>
    <mergeCell ref="A21:B21"/>
  </mergeCells>
  <pageMargins left="0.7" right="0.7" top="0.75" bottom="0.75" header="0.3" footer="0.3"/>
  <pageSetup paperSize="9" orientation="portrait" r:id="rId1"/>
  <headerFooter>
    <oddFooter>&amp;CSummary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7:E45"/>
  <sheetViews>
    <sheetView view="pageBreakPreview" zoomScaleNormal="100" zoomScaleSheetLayoutView="100" zoomScalePageLayoutView="60" workbookViewId="0">
      <selection activeCell="Q21" sqref="Q21"/>
    </sheetView>
  </sheetViews>
  <sheetFormatPr defaultRowHeight="12.75" x14ac:dyDescent="0.2"/>
  <cols>
    <col min="2" max="2" width="49.7109375" customWidth="1"/>
    <col min="3" max="4" width="11.42578125" style="1" customWidth="1"/>
  </cols>
  <sheetData>
    <row r="7" spans="1:4" x14ac:dyDescent="0.2">
      <c r="A7" s="23" t="s">
        <v>1073</v>
      </c>
      <c r="B7" s="3"/>
      <c r="C7" s="4"/>
      <c r="D7" s="4"/>
    </row>
    <row r="8" spans="1:4" x14ac:dyDescent="0.2">
      <c r="A8" s="3"/>
      <c r="B8" s="3"/>
      <c r="C8" s="4"/>
      <c r="D8" s="4"/>
    </row>
    <row r="9" spans="1:4" x14ac:dyDescent="0.2">
      <c r="A9" s="5" t="s">
        <v>1074</v>
      </c>
      <c r="B9" s="5" t="s">
        <v>1</v>
      </c>
      <c r="C9" s="5" t="s">
        <v>2</v>
      </c>
      <c r="D9" s="5" t="s">
        <v>4</v>
      </c>
    </row>
    <row r="10" spans="1:4" x14ac:dyDescent="0.2">
      <c r="A10" s="8"/>
      <c r="B10" s="8"/>
      <c r="C10" s="9"/>
      <c r="D10" s="9" t="s">
        <v>6</v>
      </c>
    </row>
    <row r="11" spans="1:4" x14ac:dyDescent="0.2">
      <c r="A11" s="11">
        <v>1</v>
      </c>
      <c r="B11" s="11" t="s">
        <v>1075</v>
      </c>
      <c r="C11" s="11" t="s">
        <v>158</v>
      </c>
      <c r="D11" s="10"/>
    </row>
    <row r="12" spans="1:4" x14ac:dyDescent="0.2">
      <c r="A12" s="11">
        <v>2</v>
      </c>
      <c r="B12" s="11" t="s">
        <v>1076</v>
      </c>
      <c r="C12" s="11" t="s">
        <v>158</v>
      </c>
      <c r="D12" s="10"/>
    </row>
    <row r="13" spans="1:4" x14ac:dyDescent="0.2">
      <c r="A13" s="11">
        <v>3</v>
      </c>
      <c r="B13" s="11" t="s">
        <v>1077</v>
      </c>
      <c r="C13" s="11" t="s">
        <v>158</v>
      </c>
      <c r="D13" s="10"/>
    </row>
    <row r="14" spans="1:4" ht="25.5" x14ac:dyDescent="0.2">
      <c r="A14" s="11">
        <v>4</v>
      </c>
      <c r="B14" s="11" t="s">
        <v>1078</v>
      </c>
      <c r="C14" s="11" t="s">
        <v>158</v>
      </c>
      <c r="D14" s="10"/>
    </row>
    <row r="15" spans="1:4" ht="25.5" x14ac:dyDescent="0.2">
      <c r="A15" s="11">
        <v>5</v>
      </c>
      <c r="B15" s="11" t="s">
        <v>1079</v>
      </c>
      <c r="C15" s="11" t="s">
        <v>158</v>
      </c>
      <c r="D15" s="10"/>
    </row>
    <row r="16" spans="1:4" ht="25.5" x14ac:dyDescent="0.2">
      <c r="A16" s="11">
        <v>6</v>
      </c>
      <c r="B16" s="11" t="s">
        <v>1080</v>
      </c>
      <c r="C16" s="11" t="s">
        <v>210</v>
      </c>
      <c r="D16" s="10"/>
    </row>
    <row r="17" spans="1:5" ht="25.5" x14ac:dyDescent="0.2">
      <c r="A17" s="11">
        <v>7</v>
      </c>
      <c r="B17" s="11" t="s">
        <v>1081</v>
      </c>
      <c r="C17" s="11" t="s">
        <v>1082</v>
      </c>
      <c r="D17" s="10"/>
    </row>
    <row r="18" spans="1:5" x14ac:dyDescent="0.2">
      <c r="A18" s="11">
        <v>8</v>
      </c>
      <c r="B18" s="11" t="s">
        <v>1083</v>
      </c>
      <c r="C18" s="11" t="s">
        <v>1082</v>
      </c>
      <c r="D18" s="10"/>
    </row>
    <row r="19" spans="1:5" ht="38.25" x14ac:dyDescent="0.2">
      <c r="A19" s="11">
        <v>9</v>
      </c>
      <c r="B19" s="11" t="s">
        <v>1084</v>
      </c>
      <c r="C19" s="11" t="s">
        <v>1085</v>
      </c>
      <c r="D19" s="10"/>
    </row>
    <row r="20" spans="1:5" x14ac:dyDescent="0.2">
      <c r="A20" s="11">
        <v>10</v>
      </c>
      <c r="B20" s="11" t="s">
        <v>1083</v>
      </c>
      <c r="C20" s="11" t="s">
        <v>1085</v>
      </c>
      <c r="D20" s="10"/>
    </row>
    <row r="21" spans="1:5" ht="25.5" x14ac:dyDescent="0.2">
      <c r="A21" s="11">
        <v>11</v>
      </c>
      <c r="B21" s="11" t="s">
        <v>1086</v>
      </c>
      <c r="C21" s="11" t="s">
        <v>1087</v>
      </c>
      <c r="D21" s="10"/>
    </row>
    <row r="22" spans="1:5" x14ac:dyDescent="0.2">
      <c r="A22" s="11">
        <v>12</v>
      </c>
      <c r="B22" s="11" t="s">
        <v>1088</v>
      </c>
      <c r="C22" s="11" t="s">
        <v>1087</v>
      </c>
      <c r="D22" s="10"/>
    </row>
    <row r="25" spans="1:5" x14ac:dyDescent="0.2">
      <c r="A25" s="24" t="s">
        <v>1089</v>
      </c>
      <c r="B25" s="3"/>
      <c r="C25" s="4"/>
      <c r="D25" s="4"/>
    </row>
    <row r="26" spans="1:5" x14ac:dyDescent="0.2">
      <c r="A26" s="3"/>
      <c r="B26" s="3"/>
      <c r="C26" s="4"/>
      <c r="D26" s="4"/>
    </row>
    <row r="27" spans="1:5" x14ac:dyDescent="0.2">
      <c r="A27" s="5" t="s">
        <v>1074</v>
      </c>
      <c r="B27" s="5" t="s">
        <v>1</v>
      </c>
      <c r="C27" s="5" t="s">
        <v>2</v>
      </c>
      <c r="D27" s="5" t="s">
        <v>1090</v>
      </c>
    </row>
    <row r="28" spans="1:5" x14ac:dyDescent="0.2">
      <c r="A28" s="8"/>
      <c r="B28" s="8"/>
      <c r="C28" s="9"/>
      <c r="D28" s="9" t="s">
        <v>6</v>
      </c>
    </row>
    <row r="29" spans="1:5" x14ac:dyDescent="0.2">
      <c r="A29" s="418" t="s">
        <v>1091</v>
      </c>
      <c r="B29" s="418"/>
      <c r="C29" s="418"/>
      <c r="D29" s="79"/>
      <c r="E29" s="87"/>
    </row>
    <row r="30" spans="1:5" x14ac:dyDescent="0.2">
      <c r="A30" s="81">
        <v>1</v>
      </c>
      <c r="B30" s="45" t="s">
        <v>1092</v>
      </c>
      <c r="C30" s="46" t="s">
        <v>68</v>
      </c>
      <c r="D30" s="86"/>
      <c r="E30" s="88"/>
    </row>
    <row r="31" spans="1:5" x14ac:dyDescent="0.2">
      <c r="A31" s="81">
        <v>2</v>
      </c>
      <c r="B31" s="45" t="s">
        <v>1093</v>
      </c>
      <c r="C31" s="46" t="s">
        <v>68</v>
      </c>
      <c r="D31" s="86"/>
      <c r="E31" s="88"/>
    </row>
    <row r="32" spans="1:5" x14ac:dyDescent="0.2">
      <c r="A32" s="81">
        <v>3</v>
      </c>
      <c r="B32" s="45" t="s">
        <v>1094</v>
      </c>
      <c r="C32" s="46" t="s">
        <v>68</v>
      </c>
      <c r="D32" s="86"/>
      <c r="E32" s="88"/>
    </row>
    <row r="33" spans="1:5" x14ac:dyDescent="0.2">
      <c r="A33" s="35">
        <v>4</v>
      </c>
      <c r="B33" s="45" t="s">
        <v>464</v>
      </c>
      <c r="C33" s="46" t="s">
        <v>68</v>
      </c>
      <c r="D33" s="86"/>
      <c r="E33" s="88"/>
    </row>
    <row r="34" spans="1:5" x14ac:dyDescent="0.2">
      <c r="A34" s="35">
        <v>5</v>
      </c>
      <c r="B34" s="45" t="s">
        <v>1095</v>
      </c>
      <c r="C34" s="46" t="s">
        <v>68</v>
      </c>
      <c r="D34" s="86"/>
      <c r="E34" s="88"/>
    </row>
    <row r="35" spans="1:5" x14ac:dyDescent="0.2">
      <c r="A35" s="81">
        <v>6</v>
      </c>
      <c r="B35" s="45" t="s">
        <v>1096</v>
      </c>
      <c r="C35" s="46" t="s">
        <v>68</v>
      </c>
      <c r="D35" s="86"/>
      <c r="E35" s="88"/>
    </row>
    <row r="36" spans="1:5" x14ac:dyDescent="0.2">
      <c r="A36" s="81">
        <v>7</v>
      </c>
      <c r="B36" s="45" t="s">
        <v>1097</v>
      </c>
      <c r="C36" s="46" t="s">
        <v>68</v>
      </c>
      <c r="D36" s="86"/>
      <c r="E36" s="88"/>
    </row>
    <row r="37" spans="1:5" x14ac:dyDescent="0.2">
      <c r="A37" s="81">
        <v>8</v>
      </c>
      <c r="B37" s="45" t="s">
        <v>1098</v>
      </c>
      <c r="C37" s="46" t="s">
        <v>68</v>
      </c>
      <c r="D37" s="86"/>
      <c r="E37" s="88"/>
    </row>
    <row r="38" spans="1:5" x14ac:dyDescent="0.2">
      <c r="A38" s="35">
        <v>9</v>
      </c>
      <c r="B38" s="35" t="s">
        <v>480</v>
      </c>
      <c r="C38" s="80" t="s">
        <v>68</v>
      </c>
      <c r="D38" s="86"/>
      <c r="E38" s="88"/>
    </row>
    <row r="39" spans="1:5" ht="25.5" customHeight="1" x14ac:dyDescent="0.2">
      <c r="A39" s="35">
        <v>10</v>
      </c>
      <c r="B39" s="35" t="s">
        <v>1099</v>
      </c>
      <c r="C39" s="80" t="s">
        <v>68</v>
      </c>
      <c r="D39" s="86"/>
      <c r="E39" s="88"/>
    </row>
    <row r="40" spans="1:5" x14ac:dyDescent="0.2">
      <c r="A40" s="418" t="s">
        <v>1100</v>
      </c>
      <c r="B40" s="418"/>
      <c r="C40" s="418"/>
      <c r="D40" s="79"/>
      <c r="E40" s="87"/>
    </row>
    <row r="41" spans="1:5" x14ac:dyDescent="0.2">
      <c r="A41" s="35">
        <v>13</v>
      </c>
      <c r="B41" s="35" t="s">
        <v>1101</v>
      </c>
      <c r="C41" s="80" t="s">
        <v>68</v>
      </c>
      <c r="D41" s="86"/>
      <c r="E41" s="88"/>
    </row>
    <row r="42" spans="1:5" x14ac:dyDescent="0.2">
      <c r="A42" s="35">
        <v>14</v>
      </c>
      <c r="B42" s="35" t="s">
        <v>1102</v>
      </c>
      <c r="C42" s="80" t="s">
        <v>68</v>
      </c>
      <c r="D42" s="86"/>
      <c r="E42" s="88"/>
    </row>
    <row r="43" spans="1:5" x14ac:dyDescent="0.2">
      <c r="A43" s="35">
        <v>15</v>
      </c>
      <c r="B43" s="35" t="s">
        <v>480</v>
      </c>
      <c r="C43" s="80" t="s">
        <v>68</v>
      </c>
      <c r="D43" s="86"/>
      <c r="E43" s="88"/>
    </row>
    <row r="44" spans="1:5" x14ac:dyDescent="0.2">
      <c r="A44" s="81">
        <v>16</v>
      </c>
      <c r="B44" s="81" t="s">
        <v>1103</v>
      </c>
      <c r="C44" s="82" t="s">
        <v>68</v>
      </c>
      <c r="D44" s="86"/>
      <c r="E44" s="88"/>
    </row>
    <row r="45" spans="1:5" ht="29.25" customHeight="1" x14ac:dyDescent="0.2">
      <c r="A45" s="419" t="s">
        <v>1104</v>
      </c>
      <c r="B45" s="419"/>
      <c r="C45" s="419"/>
      <c r="D45" s="420"/>
      <c r="E45" s="89"/>
    </row>
  </sheetData>
  <mergeCells count="3">
    <mergeCell ref="A40:C40"/>
    <mergeCell ref="A45:D45"/>
    <mergeCell ref="A29:C29"/>
  </mergeCells>
  <pageMargins left="0.7" right="0.7" top="0.75" bottom="0.75" header="0.3" footer="0.3"/>
  <pageSetup paperSize="9" orientation="portrait" r:id="rId1"/>
  <headerFooter>
    <oddFooter>&amp;CAppendices</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0B6A2-DD1A-44E8-BF2F-879850965C27}">
  <dimension ref="A1:AT71"/>
  <sheetViews>
    <sheetView zoomScale="90" zoomScaleNormal="90" workbookViewId="0">
      <pane xSplit="1" ySplit="1" topLeftCell="B2" activePane="bottomRight" state="frozen"/>
      <selection pane="topRight" activeCell="B1" sqref="B1"/>
      <selection pane="bottomLeft" activeCell="A2" sqref="A2"/>
      <selection pane="bottomRight" activeCell="C37" sqref="C37"/>
    </sheetView>
  </sheetViews>
  <sheetFormatPr defaultRowHeight="15" x14ac:dyDescent="0.25"/>
  <cols>
    <col min="1" max="1" width="12.140625" style="452" customWidth="1"/>
    <col min="2" max="2" width="11.7109375" style="452" customWidth="1"/>
    <col min="3" max="3" width="12.140625" style="452" customWidth="1"/>
    <col min="4" max="4" width="10.85546875" style="452" bestFit="1" customWidth="1"/>
    <col min="5" max="5" width="14.42578125" style="452" customWidth="1"/>
    <col min="6" max="6" width="11.85546875" style="452" customWidth="1"/>
    <col min="7" max="9" width="8.7109375" style="452" customWidth="1"/>
    <col min="10" max="10" width="10.85546875" style="452" customWidth="1"/>
    <col min="11" max="11" width="13.85546875" style="452" customWidth="1"/>
    <col min="12" max="13" width="13.42578125" style="452" customWidth="1"/>
    <col min="14" max="14" width="11.85546875" style="452" customWidth="1"/>
    <col min="15" max="17" width="9.140625" style="452" customWidth="1"/>
    <col min="18" max="18" width="11.85546875" style="452" customWidth="1"/>
    <col min="19" max="19" width="9.140625" style="452"/>
    <col min="20" max="20" width="12.140625" style="452" customWidth="1"/>
    <col min="21" max="21" width="8.7109375" style="452" customWidth="1"/>
    <col min="22" max="22" width="18" style="452" customWidth="1"/>
    <col min="23" max="23" width="12.5703125" style="452" bestFit="1" customWidth="1"/>
    <col min="24" max="24" width="12.5703125" style="452" customWidth="1"/>
    <col min="25" max="25" width="12.85546875" style="452" customWidth="1"/>
    <col min="26" max="26" width="10.7109375" style="452" customWidth="1"/>
    <col min="27" max="27" width="45.42578125" style="452" customWidth="1"/>
    <col min="28" max="28" width="26.5703125" style="452" customWidth="1"/>
    <col min="29" max="29" width="27.28515625" style="452" customWidth="1"/>
    <col min="30" max="16384" width="9.140625" style="433"/>
  </cols>
  <sheetData>
    <row r="1" spans="1:46" ht="30.75" thickBot="1" x14ac:dyDescent="0.3">
      <c r="A1" s="421" t="s">
        <v>1387</v>
      </c>
      <c r="B1" s="422" t="s">
        <v>1388</v>
      </c>
      <c r="C1" s="421" t="s">
        <v>1432</v>
      </c>
      <c r="D1" s="421" t="s">
        <v>1433</v>
      </c>
      <c r="E1" s="423"/>
      <c r="F1" s="421" t="s">
        <v>1430</v>
      </c>
      <c r="G1" s="422" t="s">
        <v>1391</v>
      </c>
      <c r="H1" s="424" t="s">
        <v>1392</v>
      </c>
      <c r="I1" s="422" t="s">
        <v>1393</v>
      </c>
      <c r="J1" s="425"/>
      <c r="K1" s="426"/>
      <c r="L1" s="427" t="s">
        <v>1431</v>
      </c>
      <c r="M1" s="428" t="s">
        <v>1394</v>
      </c>
      <c r="N1" s="423" t="s">
        <v>1391</v>
      </c>
      <c r="O1" s="424" t="s">
        <v>1395</v>
      </c>
      <c r="P1" s="422" t="s">
        <v>1393</v>
      </c>
      <c r="Q1" s="422"/>
      <c r="R1" s="421" t="s">
        <v>1434</v>
      </c>
      <c r="S1" s="422"/>
      <c r="T1" s="429" t="s">
        <v>1396</v>
      </c>
      <c r="U1" s="430"/>
      <c r="V1" s="431" t="s">
        <v>1397</v>
      </c>
      <c r="W1" s="432" t="s">
        <v>1398</v>
      </c>
      <c r="X1" s="430"/>
      <c r="Y1" s="429" t="s">
        <v>1399</v>
      </c>
      <c r="Z1" s="430"/>
      <c r="AA1" s="422" t="s">
        <v>1400</v>
      </c>
      <c r="AB1" s="433"/>
      <c r="AC1" s="433"/>
    </row>
    <row r="2" spans="1:46" ht="15.75" thickTop="1" x14ac:dyDescent="0.25">
      <c r="A2" s="316" t="s">
        <v>1401</v>
      </c>
      <c r="B2" s="316" t="s">
        <v>1388</v>
      </c>
      <c r="C2" s="116">
        <f>F2+L2</f>
        <v>19</v>
      </c>
      <c r="D2" s="463">
        <f>IF(C2&gt;0, 1, 0)</f>
        <v>1</v>
      </c>
      <c r="E2" s="434"/>
      <c r="F2" s="316">
        <v>8</v>
      </c>
      <c r="G2" s="116">
        <f>IF(F2&gt;10, 10, F2)</f>
        <v>8</v>
      </c>
      <c r="H2" s="116">
        <f>IF(F2&gt;20,10,MAX(0,F2-10))</f>
        <v>0</v>
      </c>
      <c r="I2" s="116">
        <f>IF(F2&gt;30,10,MAX(0,F2-20))</f>
        <v>0</v>
      </c>
      <c r="J2" s="435"/>
      <c r="K2" s="436"/>
      <c r="L2" s="316">
        <v>11</v>
      </c>
      <c r="M2" s="116">
        <f>MAX(0,L2-F2)</f>
        <v>3</v>
      </c>
      <c r="N2" s="116">
        <f t="shared" ref="N2:N11" si="0">MAX(0,IF(L2&lt;10,L2-F2,IF(L2&gt;0, IF(F2&gt;10, 0,(10-F2)))))</f>
        <v>2</v>
      </c>
      <c r="O2" s="116">
        <f>IF(F2&gt;20,0,IF(F2&gt;10,IF(20&gt;=F2&gt;=10,MIN(20-F2,L2-F2),MIN(10,MIN(0,L2-F2))),IF(L2&gt;20,10,MAX(0,L2-10))))</f>
        <v>1</v>
      </c>
      <c r="P2" s="116">
        <f>IF(F2&gt;20, IF(L2&gt;30,10,MAX(0,L2-20)+20-F2),IF(L2&gt;30,10,MAX(0,L2-20) ))</f>
        <v>0</v>
      </c>
      <c r="Q2" s="116"/>
      <c r="R2" s="116">
        <f>IF(L2&gt;0, 1, 0)</f>
        <v>1</v>
      </c>
      <c r="S2" s="437"/>
      <c r="T2" s="316" t="s">
        <v>1167</v>
      </c>
      <c r="U2" s="316" t="s">
        <v>1402</v>
      </c>
      <c r="V2" s="316" t="s">
        <v>1233</v>
      </c>
      <c r="W2" s="316" t="s">
        <v>1233</v>
      </c>
      <c r="X2" s="316" t="s">
        <v>1167</v>
      </c>
      <c r="Y2" s="316" t="s">
        <v>1233</v>
      </c>
      <c r="Z2" s="316"/>
      <c r="AA2" s="316"/>
      <c r="AB2" s="433"/>
      <c r="AC2" s="433"/>
      <c r="AT2" s="116">
        <f>IF(10&lt;F2&lt;20,20-F2,(IF(F2&lt;10,10,0)))</f>
        <v>10</v>
      </c>
    </row>
    <row r="3" spans="1:46" x14ac:dyDescent="0.25">
      <c r="A3" s="316" t="s">
        <v>1403</v>
      </c>
      <c r="B3" s="316" t="s">
        <v>1388</v>
      </c>
      <c r="C3" s="116">
        <f>F3+L3</f>
        <v>6</v>
      </c>
      <c r="D3" s="463">
        <f t="shared" ref="D3:D27" si="1">IF(C3&gt;0, 1, 0)</f>
        <v>1</v>
      </c>
      <c r="E3" s="438"/>
      <c r="F3" s="316">
        <v>3</v>
      </c>
      <c r="G3" s="116">
        <f t="shared" ref="G3:G27" si="2">IF(F3&gt;10, 10, F3)</f>
        <v>3</v>
      </c>
      <c r="H3" s="116">
        <f t="shared" ref="H3:H27" si="3">IF(F3&gt;20,10,MAX(0,F3-10))</f>
        <v>0</v>
      </c>
      <c r="I3" s="116">
        <f t="shared" ref="I3:I27" si="4">IF(F3&gt;30,10,MAX(0,F3-20))</f>
        <v>0</v>
      </c>
      <c r="J3" s="439"/>
      <c r="K3" s="439"/>
      <c r="L3" s="316">
        <v>3</v>
      </c>
      <c r="M3" s="116">
        <f t="shared" ref="M3:M27" si="5">MAX(0,L3-F3)</f>
        <v>0</v>
      </c>
      <c r="N3" s="116">
        <f t="shared" si="0"/>
        <v>0</v>
      </c>
      <c r="O3" s="116">
        <f>IF(F3&gt;20,0,IF(F3&gt;10,IF(20&gt;=F3&gt;=10,MIN(20-F3,L3-F3),MIN(10,MIN(0,L3-F3))),IF(L3&gt;20,10,MAX(0,L3-10))))</f>
        <v>0</v>
      </c>
      <c r="P3" s="116">
        <f t="shared" ref="P3:P27" si="6">IF(F3&gt;20, IF(L3&gt;30,10,MAX(0,L3-20)+20-F3),IF(L3&gt;30,10,MAX(0,L3-20) ))</f>
        <v>0</v>
      </c>
      <c r="Q3" s="116"/>
      <c r="R3" s="116">
        <f t="shared" ref="R3:R27" si="7">IF(L3&gt;0, 1, 0)</f>
        <v>1</v>
      </c>
      <c r="S3" s="440"/>
      <c r="T3" s="316" t="s">
        <v>1233</v>
      </c>
      <c r="U3" s="316" t="s">
        <v>1167</v>
      </c>
      <c r="V3" s="316"/>
      <c r="W3" s="316" t="s">
        <v>1167</v>
      </c>
      <c r="X3" s="316"/>
      <c r="Y3" s="316"/>
      <c r="Z3" s="316" t="s">
        <v>1402</v>
      </c>
      <c r="AA3" s="316"/>
      <c r="AB3" s="433"/>
      <c r="AC3" s="433"/>
      <c r="AT3" s="441" t="s">
        <v>1404</v>
      </c>
    </row>
    <row r="4" spans="1:46" x14ac:dyDescent="0.25">
      <c r="A4" s="316"/>
      <c r="B4" s="316"/>
      <c r="C4" s="116">
        <v>0</v>
      </c>
      <c r="D4" s="463">
        <f t="shared" si="1"/>
        <v>0</v>
      </c>
      <c r="E4" s="438"/>
      <c r="F4" s="316"/>
      <c r="G4" s="116">
        <f t="shared" si="2"/>
        <v>0</v>
      </c>
      <c r="H4" s="116">
        <f t="shared" si="3"/>
        <v>0</v>
      </c>
      <c r="I4" s="116">
        <f t="shared" si="4"/>
        <v>0</v>
      </c>
      <c r="J4" s="439"/>
      <c r="K4" s="439"/>
      <c r="L4" s="316"/>
      <c r="M4" s="116">
        <f t="shared" si="5"/>
        <v>0</v>
      </c>
      <c r="N4" s="116">
        <f t="shared" si="0"/>
        <v>0</v>
      </c>
      <c r="O4" s="116">
        <f t="shared" ref="O4:O27" si="8">IF(F4&gt;20,0,IF(F4&gt;10,IF(20&gt;=F4&gt;=10,MIN(20-F4,L4-F4),MIN(10,MIN(0,L4-F4))),IF(L4&gt;20,10,MAX(0,L4-10))))</f>
        <v>0</v>
      </c>
      <c r="P4" s="116">
        <f t="shared" si="6"/>
        <v>0</v>
      </c>
      <c r="Q4" s="116"/>
      <c r="R4" s="116">
        <f t="shared" si="7"/>
        <v>0</v>
      </c>
      <c r="S4" s="440"/>
      <c r="T4" s="316"/>
      <c r="U4" s="316"/>
      <c r="V4" s="316"/>
      <c r="W4" s="316"/>
      <c r="X4" s="316" t="s">
        <v>1402</v>
      </c>
      <c r="Y4" s="316" t="s">
        <v>1167</v>
      </c>
      <c r="Z4" s="316"/>
      <c r="AA4" s="316"/>
      <c r="AB4" s="433"/>
      <c r="AC4" s="433"/>
    </row>
    <row r="5" spans="1:46" x14ac:dyDescent="0.25">
      <c r="A5" s="316"/>
      <c r="B5" s="316"/>
      <c r="C5" s="116">
        <f t="shared" ref="C4:C27" si="9">F5+L5</f>
        <v>0</v>
      </c>
      <c r="D5" s="463">
        <f t="shared" si="1"/>
        <v>0</v>
      </c>
      <c r="E5" s="438"/>
      <c r="F5" s="316"/>
      <c r="G5" s="116">
        <f t="shared" si="2"/>
        <v>0</v>
      </c>
      <c r="H5" s="116">
        <f t="shared" si="3"/>
        <v>0</v>
      </c>
      <c r="I5" s="116">
        <f t="shared" si="4"/>
        <v>0</v>
      </c>
      <c r="J5" s="439"/>
      <c r="K5" s="439"/>
      <c r="L5" s="316"/>
      <c r="M5" s="116">
        <f t="shared" si="5"/>
        <v>0</v>
      </c>
      <c r="N5" s="116">
        <f t="shared" si="0"/>
        <v>0</v>
      </c>
      <c r="O5" s="116">
        <f t="shared" si="8"/>
        <v>0</v>
      </c>
      <c r="P5" s="116">
        <f t="shared" si="6"/>
        <v>0</v>
      </c>
      <c r="Q5" s="116"/>
      <c r="R5" s="116">
        <f t="shared" si="7"/>
        <v>0</v>
      </c>
      <c r="S5" s="440"/>
      <c r="T5" s="316"/>
      <c r="U5" s="316"/>
      <c r="V5" s="316"/>
      <c r="W5" s="316"/>
      <c r="X5" s="316"/>
      <c r="Y5" s="316"/>
      <c r="Z5" s="316"/>
      <c r="AA5" s="316"/>
      <c r="AB5" s="433"/>
      <c r="AC5" s="433"/>
    </row>
    <row r="6" spans="1:46" x14ac:dyDescent="0.25">
      <c r="A6" s="316"/>
      <c r="B6" s="316"/>
      <c r="C6" s="116">
        <f t="shared" si="9"/>
        <v>0</v>
      </c>
      <c r="D6" s="463">
        <f t="shared" si="1"/>
        <v>0</v>
      </c>
      <c r="E6" s="438"/>
      <c r="F6" s="316"/>
      <c r="G6" s="116">
        <f t="shared" si="2"/>
        <v>0</v>
      </c>
      <c r="H6" s="116">
        <f t="shared" si="3"/>
        <v>0</v>
      </c>
      <c r="I6" s="116">
        <f t="shared" si="4"/>
        <v>0</v>
      </c>
      <c r="J6" s="439"/>
      <c r="K6" s="442"/>
      <c r="L6" s="316"/>
      <c r="M6" s="116">
        <f t="shared" si="5"/>
        <v>0</v>
      </c>
      <c r="N6" s="116">
        <f t="shared" si="0"/>
        <v>0</v>
      </c>
      <c r="O6" s="116">
        <f t="shared" si="8"/>
        <v>0</v>
      </c>
      <c r="P6" s="116">
        <f t="shared" si="6"/>
        <v>0</v>
      </c>
      <c r="Q6" s="116"/>
      <c r="R6" s="116">
        <f t="shared" si="7"/>
        <v>0</v>
      </c>
      <c r="S6" s="440"/>
      <c r="T6" s="316"/>
      <c r="U6" s="316"/>
      <c r="V6" s="316"/>
      <c r="W6" s="316"/>
      <c r="X6" s="316"/>
      <c r="Y6" s="316"/>
      <c r="Z6" s="316" t="s">
        <v>1167</v>
      </c>
      <c r="AA6" s="316"/>
      <c r="AB6" s="433"/>
      <c r="AC6" s="433"/>
    </row>
    <row r="7" spans="1:46" x14ac:dyDescent="0.25">
      <c r="A7" s="316"/>
      <c r="B7" s="316"/>
      <c r="C7" s="116">
        <f t="shared" si="9"/>
        <v>0</v>
      </c>
      <c r="D7" s="463">
        <f t="shared" si="1"/>
        <v>0</v>
      </c>
      <c r="E7" s="438"/>
      <c r="F7" s="316"/>
      <c r="G7" s="116">
        <f t="shared" si="2"/>
        <v>0</v>
      </c>
      <c r="H7" s="116">
        <f t="shared" si="3"/>
        <v>0</v>
      </c>
      <c r="I7" s="116">
        <f t="shared" si="4"/>
        <v>0</v>
      </c>
      <c r="J7" s="439"/>
      <c r="K7" s="442"/>
      <c r="L7" s="316"/>
      <c r="M7" s="116">
        <f t="shared" si="5"/>
        <v>0</v>
      </c>
      <c r="N7" s="116">
        <f t="shared" si="0"/>
        <v>0</v>
      </c>
      <c r="O7" s="116">
        <f t="shared" si="8"/>
        <v>0</v>
      </c>
      <c r="P7" s="116">
        <f t="shared" si="6"/>
        <v>0</v>
      </c>
      <c r="Q7" s="116"/>
      <c r="R7" s="116">
        <f t="shared" si="7"/>
        <v>0</v>
      </c>
      <c r="S7" s="440"/>
      <c r="T7" s="316"/>
      <c r="U7" s="316"/>
      <c r="V7" s="316"/>
      <c r="W7" s="316"/>
      <c r="X7" s="316"/>
      <c r="Y7" s="316"/>
      <c r="Z7" s="316"/>
      <c r="AA7" s="316"/>
      <c r="AB7" s="433"/>
      <c r="AC7" s="433"/>
    </row>
    <row r="8" spans="1:46" x14ac:dyDescent="0.25">
      <c r="A8" s="316"/>
      <c r="B8" s="316"/>
      <c r="C8" s="116">
        <f t="shared" si="9"/>
        <v>0</v>
      </c>
      <c r="D8" s="463">
        <f t="shared" si="1"/>
        <v>0</v>
      </c>
      <c r="E8" s="438"/>
      <c r="F8" s="316"/>
      <c r="G8" s="116">
        <f t="shared" si="2"/>
        <v>0</v>
      </c>
      <c r="H8" s="116">
        <f t="shared" si="3"/>
        <v>0</v>
      </c>
      <c r="I8" s="116">
        <f t="shared" si="4"/>
        <v>0</v>
      </c>
      <c r="J8" s="439"/>
      <c r="K8" s="443"/>
      <c r="L8" s="316"/>
      <c r="M8" s="116">
        <f t="shared" si="5"/>
        <v>0</v>
      </c>
      <c r="N8" s="116">
        <f t="shared" si="0"/>
        <v>0</v>
      </c>
      <c r="O8" s="116">
        <f t="shared" si="8"/>
        <v>0</v>
      </c>
      <c r="P8" s="116">
        <f t="shared" si="6"/>
        <v>0</v>
      </c>
      <c r="Q8" s="116"/>
      <c r="R8" s="116">
        <f t="shared" si="7"/>
        <v>0</v>
      </c>
      <c r="S8" s="440"/>
      <c r="T8" s="316"/>
      <c r="U8" s="316"/>
      <c r="V8" s="316"/>
      <c r="W8" s="316"/>
      <c r="X8" s="316"/>
      <c r="Y8" s="316"/>
      <c r="Z8" s="316"/>
      <c r="AA8" s="316"/>
      <c r="AB8" s="433"/>
      <c r="AC8" s="433"/>
    </row>
    <row r="9" spans="1:46" x14ac:dyDescent="0.25">
      <c r="A9" s="316"/>
      <c r="B9" s="316"/>
      <c r="C9" s="116">
        <f t="shared" si="9"/>
        <v>0</v>
      </c>
      <c r="D9" s="463">
        <f t="shared" si="1"/>
        <v>0</v>
      </c>
      <c r="E9" s="438"/>
      <c r="F9" s="316"/>
      <c r="G9" s="116">
        <f t="shared" si="2"/>
        <v>0</v>
      </c>
      <c r="H9" s="116">
        <f t="shared" si="3"/>
        <v>0</v>
      </c>
      <c r="I9" s="116">
        <f t="shared" si="4"/>
        <v>0</v>
      </c>
      <c r="J9" s="439"/>
      <c r="K9" s="439"/>
      <c r="L9" s="316"/>
      <c r="M9" s="116">
        <f t="shared" si="5"/>
        <v>0</v>
      </c>
      <c r="N9" s="116">
        <f t="shared" si="0"/>
        <v>0</v>
      </c>
      <c r="O9" s="116">
        <f t="shared" si="8"/>
        <v>0</v>
      </c>
      <c r="P9" s="116">
        <f t="shared" si="6"/>
        <v>0</v>
      </c>
      <c r="Q9" s="116"/>
      <c r="R9" s="116">
        <f t="shared" si="7"/>
        <v>0</v>
      </c>
      <c r="S9" s="440"/>
      <c r="T9" s="316"/>
      <c r="U9" s="316"/>
      <c r="V9" s="316"/>
      <c r="W9" s="316"/>
      <c r="X9" s="316"/>
      <c r="Y9" s="316"/>
      <c r="Z9" s="316"/>
      <c r="AA9" s="316"/>
      <c r="AB9" s="433"/>
      <c r="AC9" s="433"/>
    </row>
    <row r="10" spans="1:46" x14ac:dyDescent="0.25">
      <c r="A10" s="316"/>
      <c r="B10" s="316"/>
      <c r="C10" s="116">
        <f t="shared" si="9"/>
        <v>0</v>
      </c>
      <c r="D10" s="463">
        <f t="shared" si="1"/>
        <v>0</v>
      </c>
      <c r="E10" s="438"/>
      <c r="F10" s="316"/>
      <c r="G10" s="116">
        <f t="shared" si="2"/>
        <v>0</v>
      </c>
      <c r="H10" s="116">
        <f t="shared" si="3"/>
        <v>0</v>
      </c>
      <c r="I10" s="116">
        <f t="shared" si="4"/>
        <v>0</v>
      </c>
      <c r="J10" s="439"/>
      <c r="K10" s="442"/>
      <c r="L10" s="316"/>
      <c r="M10" s="116">
        <f t="shared" si="5"/>
        <v>0</v>
      </c>
      <c r="N10" s="116">
        <f t="shared" si="0"/>
        <v>0</v>
      </c>
      <c r="O10" s="116">
        <f t="shared" si="8"/>
        <v>0</v>
      </c>
      <c r="P10" s="116">
        <f t="shared" si="6"/>
        <v>0</v>
      </c>
      <c r="Q10" s="116"/>
      <c r="R10" s="116">
        <f t="shared" si="7"/>
        <v>0</v>
      </c>
      <c r="S10" s="440"/>
      <c r="T10" s="316"/>
      <c r="U10" s="316"/>
      <c r="V10" s="316"/>
      <c r="W10" s="316"/>
      <c r="X10" s="316"/>
      <c r="Y10" s="316"/>
      <c r="Z10" s="316"/>
      <c r="AA10" s="316"/>
      <c r="AB10" s="433"/>
      <c r="AC10" s="433"/>
    </row>
    <row r="11" spans="1:46" x14ac:dyDescent="0.25">
      <c r="A11" s="316"/>
      <c r="B11" s="316"/>
      <c r="C11" s="116">
        <f t="shared" si="9"/>
        <v>0</v>
      </c>
      <c r="D11" s="463">
        <f t="shared" si="1"/>
        <v>0</v>
      </c>
      <c r="E11" s="438"/>
      <c r="F11" s="316"/>
      <c r="G11" s="116">
        <f t="shared" si="2"/>
        <v>0</v>
      </c>
      <c r="H11" s="116">
        <f t="shared" si="3"/>
        <v>0</v>
      </c>
      <c r="I11" s="116">
        <f t="shared" si="4"/>
        <v>0</v>
      </c>
      <c r="J11" s="439"/>
      <c r="K11" s="443"/>
      <c r="L11" s="316"/>
      <c r="M11" s="116">
        <f t="shared" si="5"/>
        <v>0</v>
      </c>
      <c r="N11" s="116">
        <f t="shared" si="0"/>
        <v>0</v>
      </c>
      <c r="O11" s="116">
        <f t="shared" si="8"/>
        <v>0</v>
      </c>
      <c r="P11" s="116">
        <f t="shared" si="6"/>
        <v>0</v>
      </c>
      <c r="Q11" s="116"/>
      <c r="R11" s="116">
        <f t="shared" si="7"/>
        <v>0</v>
      </c>
      <c r="S11" s="440"/>
      <c r="T11" s="316"/>
      <c r="U11" s="316"/>
      <c r="V11" s="316"/>
      <c r="W11" s="316"/>
      <c r="X11" s="316"/>
      <c r="Y11" s="316"/>
      <c r="Z11" s="316"/>
      <c r="AA11" s="316"/>
      <c r="AB11" s="433"/>
      <c r="AC11" s="433"/>
    </row>
    <row r="12" spans="1:46" x14ac:dyDescent="0.25">
      <c r="A12" s="316"/>
      <c r="B12" s="316"/>
      <c r="C12" s="116">
        <f t="shared" si="9"/>
        <v>0</v>
      </c>
      <c r="D12" s="463">
        <f t="shared" si="1"/>
        <v>0</v>
      </c>
      <c r="E12" s="438"/>
      <c r="F12" s="316"/>
      <c r="G12" s="116">
        <f t="shared" si="2"/>
        <v>0</v>
      </c>
      <c r="H12" s="116">
        <f t="shared" si="3"/>
        <v>0</v>
      </c>
      <c r="I12" s="116">
        <f t="shared" si="4"/>
        <v>0</v>
      </c>
      <c r="J12" s="439"/>
      <c r="K12" s="444"/>
      <c r="L12" s="316"/>
      <c r="M12" s="116">
        <f t="shared" si="5"/>
        <v>0</v>
      </c>
      <c r="N12" s="116">
        <f>MAX(0,IF(L12&lt;10,L12-F12,IF(L12&gt;0, IF(F12&gt;10, 0,(10-F12)))))</f>
        <v>0</v>
      </c>
      <c r="O12" s="116">
        <f t="shared" si="8"/>
        <v>0</v>
      </c>
      <c r="P12" s="116">
        <f t="shared" si="6"/>
        <v>0</v>
      </c>
      <c r="Q12" s="116"/>
      <c r="R12" s="116">
        <f t="shared" si="7"/>
        <v>0</v>
      </c>
      <c r="S12" s="440"/>
      <c r="T12" s="316"/>
      <c r="U12" s="316"/>
      <c r="V12" s="316"/>
      <c r="W12" s="316"/>
      <c r="X12" s="316"/>
      <c r="Y12" s="316"/>
      <c r="Z12" s="316"/>
      <c r="AA12" s="316"/>
      <c r="AB12" s="433"/>
      <c r="AC12" s="433"/>
    </row>
    <row r="13" spans="1:46" x14ac:dyDescent="0.25">
      <c r="A13" s="316"/>
      <c r="B13" s="316"/>
      <c r="C13" s="116">
        <f t="shared" si="9"/>
        <v>0</v>
      </c>
      <c r="D13" s="463">
        <f t="shared" si="1"/>
        <v>0</v>
      </c>
      <c r="E13" s="438"/>
      <c r="F13" s="316"/>
      <c r="G13" s="116">
        <f t="shared" si="2"/>
        <v>0</v>
      </c>
      <c r="H13" s="116">
        <f t="shared" si="3"/>
        <v>0</v>
      </c>
      <c r="I13" s="116">
        <f t="shared" si="4"/>
        <v>0</v>
      </c>
      <c r="J13" s="439"/>
      <c r="K13" s="443"/>
      <c r="L13" s="316"/>
      <c r="M13" s="116">
        <f t="shared" si="5"/>
        <v>0</v>
      </c>
      <c r="N13" s="116">
        <f t="shared" ref="N13:N27" si="10">MAX(0,IF(L13&lt;10,L13-F13,IF(L13&gt;0, IF(F13&gt;10, 0,(10-F13)))))</f>
        <v>0</v>
      </c>
      <c r="O13" s="116">
        <f t="shared" si="8"/>
        <v>0</v>
      </c>
      <c r="P13" s="116">
        <f t="shared" si="6"/>
        <v>0</v>
      </c>
      <c r="Q13" s="116"/>
      <c r="R13" s="116">
        <f t="shared" si="7"/>
        <v>0</v>
      </c>
      <c r="S13" s="440"/>
      <c r="T13" s="316"/>
      <c r="U13" s="316"/>
      <c r="V13" s="316"/>
      <c r="W13" s="316"/>
      <c r="X13" s="316"/>
      <c r="Y13" s="316"/>
      <c r="Z13" s="316"/>
      <c r="AA13" s="316"/>
      <c r="AB13" s="433"/>
      <c r="AC13" s="433"/>
    </row>
    <row r="14" spans="1:46" x14ac:dyDescent="0.25">
      <c r="A14" s="316"/>
      <c r="B14" s="316"/>
      <c r="C14" s="116">
        <f t="shared" si="9"/>
        <v>0</v>
      </c>
      <c r="D14" s="463">
        <f t="shared" si="1"/>
        <v>0</v>
      </c>
      <c r="E14" s="438"/>
      <c r="F14" s="316"/>
      <c r="G14" s="116">
        <f t="shared" si="2"/>
        <v>0</v>
      </c>
      <c r="H14" s="116">
        <f t="shared" si="3"/>
        <v>0</v>
      </c>
      <c r="I14" s="116">
        <f t="shared" si="4"/>
        <v>0</v>
      </c>
      <c r="J14" s="439"/>
      <c r="K14" s="443"/>
      <c r="L14" s="316"/>
      <c r="M14" s="116">
        <f t="shared" si="5"/>
        <v>0</v>
      </c>
      <c r="N14" s="116">
        <f t="shared" si="10"/>
        <v>0</v>
      </c>
      <c r="O14" s="116">
        <f t="shared" si="8"/>
        <v>0</v>
      </c>
      <c r="P14" s="116">
        <f t="shared" si="6"/>
        <v>0</v>
      </c>
      <c r="Q14" s="116"/>
      <c r="R14" s="116">
        <f t="shared" si="7"/>
        <v>0</v>
      </c>
      <c r="S14" s="440"/>
      <c r="T14" s="316"/>
      <c r="U14" s="316"/>
      <c r="V14" s="316"/>
      <c r="W14" s="316"/>
      <c r="X14" s="316"/>
      <c r="Y14" s="316"/>
      <c r="Z14" s="316"/>
      <c r="AA14" s="316"/>
      <c r="AB14" s="433"/>
      <c r="AC14" s="433"/>
    </row>
    <row r="15" spans="1:46" x14ac:dyDescent="0.25">
      <c r="A15" s="316"/>
      <c r="B15" s="316"/>
      <c r="C15" s="116">
        <f t="shared" si="9"/>
        <v>0</v>
      </c>
      <c r="D15" s="463">
        <f t="shared" si="1"/>
        <v>0</v>
      </c>
      <c r="E15" s="438"/>
      <c r="F15" s="316"/>
      <c r="G15" s="116">
        <f t="shared" si="2"/>
        <v>0</v>
      </c>
      <c r="H15" s="116">
        <f t="shared" si="3"/>
        <v>0</v>
      </c>
      <c r="I15" s="116">
        <f t="shared" si="4"/>
        <v>0</v>
      </c>
      <c r="J15" s="439"/>
      <c r="K15" s="443"/>
      <c r="L15" s="316"/>
      <c r="M15" s="116">
        <f t="shared" si="5"/>
        <v>0</v>
      </c>
      <c r="N15" s="116">
        <f t="shared" si="10"/>
        <v>0</v>
      </c>
      <c r="O15" s="116">
        <f t="shared" si="8"/>
        <v>0</v>
      </c>
      <c r="P15" s="116">
        <f t="shared" si="6"/>
        <v>0</v>
      </c>
      <c r="Q15" s="116"/>
      <c r="R15" s="116">
        <f t="shared" si="7"/>
        <v>0</v>
      </c>
      <c r="S15" s="440"/>
      <c r="T15" s="316"/>
      <c r="U15" s="316"/>
      <c r="V15" s="316"/>
      <c r="W15" s="316"/>
      <c r="X15" s="316"/>
      <c r="Y15" s="316"/>
      <c r="Z15" s="316"/>
      <c r="AA15" s="316"/>
      <c r="AB15" s="433"/>
      <c r="AC15" s="433"/>
    </row>
    <row r="16" spans="1:46" x14ac:dyDescent="0.25">
      <c r="A16" s="316"/>
      <c r="B16" s="316"/>
      <c r="C16" s="116">
        <f t="shared" si="9"/>
        <v>0</v>
      </c>
      <c r="D16" s="463">
        <f t="shared" si="1"/>
        <v>0</v>
      </c>
      <c r="E16" s="438"/>
      <c r="F16" s="316"/>
      <c r="G16" s="116">
        <f t="shared" si="2"/>
        <v>0</v>
      </c>
      <c r="H16" s="116">
        <f t="shared" si="3"/>
        <v>0</v>
      </c>
      <c r="I16" s="116">
        <f t="shared" si="4"/>
        <v>0</v>
      </c>
      <c r="J16" s="439"/>
      <c r="K16" s="443"/>
      <c r="L16" s="316"/>
      <c r="M16" s="116">
        <f t="shared" si="5"/>
        <v>0</v>
      </c>
      <c r="N16" s="116">
        <f t="shared" si="10"/>
        <v>0</v>
      </c>
      <c r="O16" s="116">
        <f t="shared" si="8"/>
        <v>0</v>
      </c>
      <c r="P16" s="116">
        <f t="shared" si="6"/>
        <v>0</v>
      </c>
      <c r="Q16" s="116"/>
      <c r="R16" s="116">
        <f t="shared" si="7"/>
        <v>0</v>
      </c>
      <c r="S16" s="440"/>
      <c r="T16" s="316"/>
      <c r="U16" s="316"/>
      <c r="V16" s="316"/>
      <c r="W16" s="316"/>
      <c r="X16" s="316"/>
      <c r="Y16" s="316"/>
      <c r="Z16" s="316"/>
      <c r="AA16" s="316"/>
      <c r="AB16" s="433"/>
      <c r="AC16" s="433"/>
    </row>
    <row r="17" spans="1:29" x14ac:dyDescent="0.25">
      <c r="A17" s="316"/>
      <c r="B17" s="316"/>
      <c r="C17" s="116">
        <f t="shared" si="9"/>
        <v>0</v>
      </c>
      <c r="D17" s="463">
        <f t="shared" si="1"/>
        <v>0</v>
      </c>
      <c r="E17" s="438"/>
      <c r="F17" s="316"/>
      <c r="G17" s="116">
        <f t="shared" si="2"/>
        <v>0</v>
      </c>
      <c r="H17" s="116">
        <f t="shared" si="3"/>
        <v>0</v>
      </c>
      <c r="I17" s="116">
        <f t="shared" si="4"/>
        <v>0</v>
      </c>
      <c r="J17" s="439"/>
      <c r="K17" s="443"/>
      <c r="L17" s="316"/>
      <c r="M17" s="116">
        <f t="shared" si="5"/>
        <v>0</v>
      </c>
      <c r="N17" s="116">
        <f t="shared" si="10"/>
        <v>0</v>
      </c>
      <c r="O17" s="116">
        <f t="shared" si="8"/>
        <v>0</v>
      </c>
      <c r="P17" s="116">
        <f t="shared" si="6"/>
        <v>0</v>
      </c>
      <c r="Q17" s="116"/>
      <c r="R17" s="116">
        <f t="shared" si="7"/>
        <v>0</v>
      </c>
      <c r="S17" s="440"/>
      <c r="T17" s="316"/>
      <c r="U17" s="316"/>
      <c r="V17" s="316"/>
      <c r="W17" s="316"/>
      <c r="X17" s="316"/>
      <c r="Y17" s="316"/>
      <c r="Z17" s="316"/>
      <c r="AA17" s="316"/>
      <c r="AB17" s="433"/>
      <c r="AC17" s="433"/>
    </row>
    <row r="18" spans="1:29" x14ac:dyDescent="0.25">
      <c r="A18" s="316"/>
      <c r="B18" s="316"/>
      <c r="C18" s="116">
        <f t="shared" si="9"/>
        <v>0</v>
      </c>
      <c r="D18" s="463">
        <f t="shared" si="1"/>
        <v>0</v>
      </c>
      <c r="E18" s="438"/>
      <c r="F18" s="316"/>
      <c r="G18" s="116">
        <f t="shared" si="2"/>
        <v>0</v>
      </c>
      <c r="H18" s="116">
        <f t="shared" si="3"/>
        <v>0</v>
      </c>
      <c r="I18" s="116">
        <f t="shared" si="4"/>
        <v>0</v>
      </c>
      <c r="J18" s="439"/>
      <c r="K18" s="443"/>
      <c r="L18" s="316"/>
      <c r="M18" s="116">
        <f t="shared" si="5"/>
        <v>0</v>
      </c>
      <c r="N18" s="116">
        <f t="shared" si="10"/>
        <v>0</v>
      </c>
      <c r="O18" s="116">
        <f t="shared" si="8"/>
        <v>0</v>
      </c>
      <c r="P18" s="116">
        <f t="shared" si="6"/>
        <v>0</v>
      </c>
      <c r="Q18" s="116"/>
      <c r="R18" s="116">
        <f t="shared" si="7"/>
        <v>0</v>
      </c>
      <c r="S18" s="440"/>
      <c r="T18" s="316"/>
      <c r="U18" s="316"/>
      <c r="V18" s="316"/>
      <c r="W18" s="316"/>
      <c r="X18" s="316"/>
      <c r="Y18" s="316"/>
      <c r="Z18" s="316"/>
      <c r="AA18" s="316"/>
      <c r="AB18" s="433"/>
      <c r="AC18" s="433"/>
    </row>
    <row r="19" spans="1:29" x14ac:dyDescent="0.25">
      <c r="A19" s="316"/>
      <c r="B19" s="316"/>
      <c r="C19" s="116">
        <f t="shared" si="9"/>
        <v>0</v>
      </c>
      <c r="D19" s="463">
        <f t="shared" si="1"/>
        <v>0</v>
      </c>
      <c r="E19" s="438"/>
      <c r="F19" s="316"/>
      <c r="G19" s="116">
        <f t="shared" si="2"/>
        <v>0</v>
      </c>
      <c r="H19" s="116">
        <f t="shared" si="3"/>
        <v>0</v>
      </c>
      <c r="I19" s="116">
        <f t="shared" si="4"/>
        <v>0</v>
      </c>
      <c r="J19" s="439"/>
      <c r="K19" s="439"/>
      <c r="L19" s="316"/>
      <c r="M19" s="116">
        <f t="shared" si="5"/>
        <v>0</v>
      </c>
      <c r="N19" s="116">
        <f t="shared" si="10"/>
        <v>0</v>
      </c>
      <c r="O19" s="116">
        <f t="shared" si="8"/>
        <v>0</v>
      </c>
      <c r="P19" s="116">
        <f t="shared" si="6"/>
        <v>0</v>
      </c>
      <c r="Q19" s="116"/>
      <c r="R19" s="116">
        <f t="shared" si="7"/>
        <v>0</v>
      </c>
      <c r="S19" s="440"/>
      <c r="T19" s="316"/>
      <c r="U19" s="316"/>
      <c r="V19" s="316"/>
      <c r="W19" s="316"/>
      <c r="X19" s="316"/>
      <c r="Y19" s="316"/>
      <c r="Z19" s="316"/>
      <c r="AA19" s="316"/>
      <c r="AB19" s="433"/>
      <c r="AC19" s="433"/>
    </row>
    <row r="20" spans="1:29" x14ac:dyDescent="0.25">
      <c r="A20" s="316"/>
      <c r="B20" s="316"/>
      <c r="C20" s="116">
        <f t="shared" si="9"/>
        <v>0</v>
      </c>
      <c r="D20" s="463">
        <f t="shared" si="1"/>
        <v>0</v>
      </c>
      <c r="E20" s="438"/>
      <c r="F20" s="316"/>
      <c r="G20" s="116">
        <f t="shared" si="2"/>
        <v>0</v>
      </c>
      <c r="H20" s="116">
        <f t="shared" si="3"/>
        <v>0</v>
      </c>
      <c r="I20" s="116">
        <f t="shared" si="4"/>
        <v>0</v>
      </c>
      <c r="J20" s="439"/>
      <c r="K20" s="442"/>
      <c r="L20" s="316"/>
      <c r="M20" s="116">
        <f t="shared" si="5"/>
        <v>0</v>
      </c>
      <c r="N20" s="116">
        <f t="shared" si="10"/>
        <v>0</v>
      </c>
      <c r="O20" s="116">
        <f t="shared" si="8"/>
        <v>0</v>
      </c>
      <c r="P20" s="116">
        <f t="shared" si="6"/>
        <v>0</v>
      </c>
      <c r="Q20" s="116"/>
      <c r="R20" s="116">
        <f t="shared" si="7"/>
        <v>0</v>
      </c>
      <c r="S20" s="440"/>
      <c r="T20" s="316"/>
      <c r="U20" s="316"/>
      <c r="V20" s="316"/>
      <c r="W20" s="316"/>
      <c r="X20" s="316"/>
      <c r="Y20" s="316"/>
      <c r="Z20" s="316"/>
      <c r="AA20" s="316"/>
      <c r="AB20" s="433"/>
      <c r="AC20" s="433"/>
    </row>
    <row r="21" spans="1:29" x14ac:dyDescent="0.25">
      <c r="A21" s="316"/>
      <c r="B21" s="316"/>
      <c r="C21" s="116">
        <f t="shared" si="9"/>
        <v>0</v>
      </c>
      <c r="D21" s="463">
        <f t="shared" si="1"/>
        <v>0</v>
      </c>
      <c r="E21" s="438"/>
      <c r="F21" s="316"/>
      <c r="G21" s="116">
        <f t="shared" si="2"/>
        <v>0</v>
      </c>
      <c r="H21" s="116">
        <f t="shared" si="3"/>
        <v>0</v>
      </c>
      <c r="I21" s="116">
        <f t="shared" si="4"/>
        <v>0</v>
      </c>
      <c r="J21" s="442"/>
      <c r="K21" s="442"/>
      <c r="L21" s="316"/>
      <c r="M21" s="116">
        <f t="shared" si="5"/>
        <v>0</v>
      </c>
      <c r="N21" s="116">
        <f t="shared" si="10"/>
        <v>0</v>
      </c>
      <c r="O21" s="116">
        <f t="shared" si="8"/>
        <v>0</v>
      </c>
      <c r="P21" s="116">
        <f t="shared" si="6"/>
        <v>0</v>
      </c>
      <c r="Q21" s="116"/>
      <c r="R21" s="116">
        <f t="shared" si="7"/>
        <v>0</v>
      </c>
      <c r="S21" s="440"/>
      <c r="T21" s="316"/>
      <c r="U21" s="316"/>
      <c r="V21" s="316"/>
      <c r="W21" s="316"/>
      <c r="X21" s="316"/>
      <c r="Y21" s="316"/>
      <c r="Z21" s="316"/>
      <c r="AA21" s="316"/>
      <c r="AB21" s="433"/>
      <c r="AC21" s="433"/>
    </row>
    <row r="22" spans="1:29" x14ac:dyDescent="0.25">
      <c r="A22" s="316"/>
      <c r="B22" s="316"/>
      <c r="C22" s="116">
        <f t="shared" si="9"/>
        <v>0</v>
      </c>
      <c r="D22" s="463">
        <f t="shared" si="1"/>
        <v>0</v>
      </c>
      <c r="E22" s="438"/>
      <c r="F22" s="316"/>
      <c r="G22" s="116">
        <f t="shared" si="2"/>
        <v>0</v>
      </c>
      <c r="H22" s="116">
        <f t="shared" si="3"/>
        <v>0</v>
      </c>
      <c r="I22" s="116">
        <f t="shared" si="4"/>
        <v>0</v>
      </c>
      <c r="J22" s="442"/>
      <c r="K22" s="442"/>
      <c r="L22" s="316"/>
      <c r="M22" s="116">
        <f t="shared" si="5"/>
        <v>0</v>
      </c>
      <c r="N22" s="116">
        <f t="shared" si="10"/>
        <v>0</v>
      </c>
      <c r="O22" s="116">
        <f t="shared" si="8"/>
        <v>0</v>
      </c>
      <c r="P22" s="116">
        <f t="shared" si="6"/>
        <v>0</v>
      </c>
      <c r="Q22" s="116"/>
      <c r="R22" s="116">
        <f t="shared" si="7"/>
        <v>0</v>
      </c>
      <c r="S22" s="440"/>
      <c r="T22" s="316"/>
      <c r="U22" s="316"/>
      <c r="V22" s="316"/>
      <c r="W22" s="316"/>
      <c r="X22" s="316"/>
      <c r="Y22" s="316"/>
      <c r="Z22" s="316"/>
      <c r="AA22" s="316"/>
      <c r="AB22" s="433"/>
      <c r="AC22" s="433"/>
    </row>
    <row r="23" spans="1:29" x14ac:dyDescent="0.25">
      <c r="A23" s="316"/>
      <c r="B23" s="316"/>
      <c r="C23" s="116">
        <f t="shared" si="9"/>
        <v>0</v>
      </c>
      <c r="D23" s="463">
        <f t="shared" si="1"/>
        <v>0</v>
      </c>
      <c r="E23" s="438"/>
      <c r="F23" s="316"/>
      <c r="G23" s="116">
        <f t="shared" si="2"/>
        <v>0</v>
      </c>
      <c r="H23" s="116">
        <f t="shared" si="3"/>
        <v>0</v>
      </c>
      <c r="I23" s="116">
        <f t="shared" si="4"/>
        <v>0</v>
      </c>
      <c r="J23" s="442"/>
      <c r="K23" s="442"/>
      <c r="L23" s="316"/>
      <c r="M23" s="116">
        <f t="shared" si="5"/>
        <v>0</v>
      </c>
      <c r="N23" s="116">
        <f t="shared" si="10"/>
        <v>0</v>
      </c>
      <c r="O23" s="116">
        <f t="shared" si="8"/>
        <v>0</v>
      </c>
      <c r="P23" s="116">
        <f t="shared" si="6"/>
        <v>0</v>
      </c>
      <c r="Q23" s="116"/>
      <c r="R23" s="116">
        <f t="shared" si="7"/>
        <v>0</v>
      </c>
      <c r="S23" s="440"/>
      <c r="T23" s="316"/>
      <c r="U23" s="316"/>
      <c r="V23" s="316"/>
      <c r="W23" s="316"/>
      <c r="X23" s="316"/>
      <c r="Y23" s="316"/>
      <c r="Z23" s="316"/>
      <c r="AA23" s="316"/>
      <c r="AB23" s="433"/>
      <c r="AC23" s="433"/>
    </row>
    <row r="24" spans="1:29" x14ac:dyDescent="0.25">
      <c r="A24" s="316"/>
      <c r="B24" s="316"/>
      <c r="C24" s="116">
        <f t="shared" si="9"/>
        <v>0</v>
      </c>
      <c r="D24" s="463">
        <f t="shared" si="1"/>
        <v>0</v>
      </c>
      <c r="E24" s="438"/>
      <c r="F24" s="316"/>
      <c r="G24" s="116">
        <f t="shared" si="2"/>
        <v>0</v>
      </c>
      <c r="H24" s="116">
        <f t="shared" si="3"/>
        <v>0</v>
      </c>
      <c r="I24" s="116">
        <f t="shared" si="4"/>
        <v>0</v>
      </c>
      <c r="J24" s="442"/>
      <c r="K24" s="439"/>
      <c r="L24" s="316"/>
      <c r="M24" s="116">
        <f t="shared" si="5"/>
        <v>0</v>
      </c>
      <c r="N24" s="116">
        <f t="shared" si="10"/>
        <v>0</v>
      </c>
      <c r="O24" s="116">
        <f t="shared" si="8"/>
        <v>0</v>
      </c>
      <c r="P24" s="116">
        <f t="shared" si="6"/>
        <v>0</v>
      </c>
      <c r="Q24" s="116"/>
      <c r="R24" s="116">
        <f t="shared" si="7"/>
        <v>0</v>
      </c>
      <c r="S24" s="440"/>
      <c r="T24" s="316"/>
      <c r="U24" s="316"/>
      <c r="V24" s="316"/>
      <c r="W24" s="316"/>
      <c r="X24" s="316"/>
      <c r="Y24" s="316"/>
      <c r="Z24" s="316"/>
      <c r="AA24" s="316"/>
      <c r="AB24" s="433"/>
      <c r="AC24" s="433"/>
    </row>
    <row r="25" spans="1:29" x14ac:dyDescent="0.25">
      <c r="A25" s="316"/>
      <c r="B25" s="316"/>
      <c r="C25" s="116">
        <f t="shared" si="9"/>
        <v>0</v>
      </c>
      <c r="D25" s="463">
        <f t="shared" si="1"/>
        <v>0</v>
      </c>
      <c r="E25" s="438"/>
      <c r="F25" s="316"/>
      <c r="G25" s="116">
        <f t="shared" si="2"/>
        <v>0</v>
      </c>
      <c r="H25" s="116">
        <f t="shared" si="3"/>
        <v>0</v>
      </c>
      <c r="I25" s="116">
        <f t="shared" si="4"/>
        <v>0</v>
      </c>
      <c r="J25" s="445"/>
      <c r="K25" s="442"/>
      <c r="L25" s="316"/>
      <c r="M25" s="116">
        <f t="shared" si="5"/>
        <v>0</v>
      </c>
      <c r="N25" s="116">
        <f t="shared" si="10"/>
        <v>0</v>
      </c>
      <c r="O25" s="116">
        <f t="shared" si="8"/>
        <v>0</v>
      </c>
      <c r="P25" s="116">
        <f t="shared" si="6"/>
        <v>0</v>
      </c>
      <c r="Q25" s="116"/>
      <c r="R25" s="116">
        <f t="shared" si="7"/>
        <v>0</v>
      </c>
      <c r="S25" s="440"/>
      <c r="T25" s="316"/>
      <c r="U25" s="316"/>
      <c r="V25" s="316"/>
      <c r="W25" s="316"/>
      <c r="X25" s="316"/>
      <c r="Y25" s="316"/>
      <c r="Z25" s="316"/>
      <c r="AA25" s="316"/>
      <c r="AB25" s="433"/>
      <c r="AC25" s="433"/>
    </row>
    <row r="26" spans="1:29" x14ac:dyDescent="0.25">
      <c r="A26" s="316"/>
      <c r="B26" s="316"/>
      <c r="C26" s="116">
        <f t="shared" si="9"/>
        <v>0</v>
      </c>
      <c r="D26" s="463">
        <f t="shared" si="1"/>
        <v>0</v>
      </c>
      <c r="E26" s="438"/>
      <c r="F26" s="316"/>
      <c r="G26" s="116">
        <f t="shared" si="2"/>
        <v>0</v>
      </c>
      <c r="H26" s="116">
        <f t="shared" si="3"/>
        <v>0</v>
      </c>
      <c r="I26" s="116">
        <f t="shared" si="4"/>
        <v>0</v>
      </c>
      <c r="J26" s="439"/>
      <c r="K26" s="439"/>
      <c r="L26" s="316"/>
      <c r="M26" s="116">
        <f t="shared" si="5"/>
        <v>0</v>
      </c>
      <c r="N26" s="116">
        <f t="shared" si="10"/>
        <v>0</v>
      </c>
      <c r="O26" s="116">
        <f t="shared" si="8"/>
        <v>0</v>
      </c>
      <c r="P26" s="116">
        <f t="shared" si="6"/>
        <v>0</v>
      </c>
      <c r="Q26" s="116"/>
      <c r="R26" s="116">
        <f t="shared" si="7"/>
        <v>0</v>
      </c>
      <c r="S26" s="440"/>
      <c r="T26" s="316"/>
      <c r="U26" s="316"/>
      <c r="V26" s="316"/>
      <c r="W26" s="316"/>
      <c r="X26" s="316"/>
      <c r="Y26" s="316"/>
      <c r="Z26" s="316"/>
      <c r="AA26" s="316"/>
      <c r="AB26" s="433"/>
      <c r="AC26" s="433"/>
    </row>
    <row r="27" spans="1:29" x14ac:dyDescent="0.25">
      <c r="A27" s="316"/>
      <c r="B27" s="316"/>
      <c r="C27" s="116">
        <f t="shared" si="9"/>
        <v>0</v>
      </c>
      <c r="D27" s="463">
        <f t="shared" si="1"/>
        <v>0</v>
      </c>
      <c r="E27" s="438"/>
      <c r="F27" s="316"/>
      <c r="G27" s="116">
        <f t="shared" si="2"/>
        <v>0</v>
      </c>
      <c r="H27" s="116">
        <f t="shared" si="3"/>
        <v>0</v>
      </c>
      <c r="I27" s="116">
        <f t="shared" si="4"/>
        <v>0</v>
      </c>
      <c r="J27" s="442"/>
      <c r="K27" s="442"/>
      <c r="L27" s="316"/>
      <c r="M27" s="116">
        <f t="shared" si="5"/>
        <v>0</v>
      </c>
      <c r="N27" s="116">
        <f t="shared" si="10"/>
        <v>0</v>
      </c>
      <c r="O27" s="116">
        <f t="shared" si="8"/>
        <v>0</v>
      </c>
      <c r="P27" s="116">
        <f t="shared" si="6"/>
        <v>0</v>
      </c>
      <c r="Q27" s="116"/>
      <c r="R27" s="116">
        <f t="shared" si="7"/>
        <v>0</v>
      </c>
      <c r="S27" s="440"/>
      <c r="T27" s="316"/>
      <c r="U27" s="316"/>
      <c r="V27" s="316"/>
      <c r="W27" s="316"/>
      <c r="X27" s="316"/>
      <c r="Y27" s="316"/>
      <c r="Z27" s="316"/>
      <c r="AA27" s="316"/>
      <c r="AB27" s="446"/>
      <c r="AC27" s="446"/>
    </row>
    <row r="28" spans="1:29" ht="15.75" thickBot="1" x14ac:dyDescent="0.3">
      <c r="A28" s="447"/>
      <c r="B28" s="440"/>
      <c r="C28" s="448" t="s">
        <v>1405</v>
      </c>
      <c r="D28" s="464">
        <f>SUM(D2:D27)</f>
        <v>2</v>
      </c>
      <c r="E28" s="438" t="s">
        <v>1406</v>
      </c>
      <c r="F28" s="465">
        <f>SUM(F2:F27)</f>
        <v>11</v>
      </c>
      <c r="G28" s="465">
        <f>SUM(G2:G27)</f>
        <v>11</v>
      </c>
      <c r="H28" s="465">
        <f t="shared" ref="H28:I28" si="11">SUM(H2:H27)</f>
        <v>0</v>
      </c>
      <c r="I28" s="465">
        <f t="shared" si="11"/>
        <v>0</v>
      </c>
      <c r="J28" s="449"/>
      <c r="K28" s="449" t="s">
        <v>1407</v>
      </c>
      <c r="L28" s="465">
        <f>SUM(L2:L27)</f>
        <v>14</v>
      </c>
      <c r="M28" s="466">
        <f>SUM(M2:M27)</f>
        <v>3</v>
      </c>
      <c r="N28" s="466">
        <f>SUM(N2:N27)</f>
        <v>2</v>
      </c>
      <c r="O28" s="466">
        <f>SUM(O2:O27)</f>
        <v>1</v>
      </c>
      <c r="P28" s="466">
        <f>SUM(P2:P27)</f>
        <v>0</v>
      </c>
      <c r="Q28" s="448" t="s">
        <v>1408</v>
      </c>
      <c r="R28" s="465">
        <f>SUM(R2:R27)</f>
        <v>2</v>
      </c>
      <c r="S28" s="440"/>
      <c r="T28" s="448"/>
      <c r="U28" s="450"/>
      <c r="V28" s="451"/>
      <c r="W28" s="440"/>
      <c r="X28" s="440"/>
      <c r="Y28" s="440"/>
      <c r="Z28" s="440"/>
      <c r="AA28" s="440"/>
      <c r="AB28" s="446"/>
      <c r="AC28" s="446"/>
    </row>
    <row r="29" spans="1:29" ht="15.75" thickTop="1" x14ac:dyDescent="0.25">
      <c r="A29" s="447"/>
      <c r="B29" s="440"/>
      <c r="C29" s="448"/>
      <c r="E29" s="448"/>
      <c r="F29" s="448"/>
      <c r="G29" s="448"/>
      <c r="H29" s="448"/>
      <c r="I29" s="448"/>
      <c r="J29" s="448"/>
      <c r="K29" s="448"/>
      <c r="L29" s="448"/>
      <c r="M29" s="448"/>
      <c r="N29" s="448"/>
      <c r="O29" s="440"/>
      <c r="P29" s="440"/>
      <c r="Q29" s="440"/>
      <c r="R29" s="440"/>
      <c r="S29" s="440"/>
      <c r="T29" s="448"/>
      <c r="U29" s="448"/>
      <c r="V29" s="448"/>
      <c r="W29" s="440"/>
      <c r="X29" s="440"/>
      <c r="Y29" s="440"/>
      <c r="Z29" s="440"/>
      <c r="AA29" s="440"/>
      <c r="AB29" s="453"/>
      <c r="AC29" s="453"/>
    </row>
    <row r="30" spans="1:29" x14ac:dyDescent="0.25">
      <c r="A30" s="447"/>
      <c r="B30" s="440"/>
      <c r="C30" s="448"/>
      <c r="D30" s="448"/>
      <c r="E30" s="448"/>
      <c r="F30" s="448"/>
      <c r="G30" s="448"/>
      <c r="H30" s="448"/>
      <c r="I30" s="448"/>
      <c r="J30" s="448" t="s">
        <v>1409</v>
      </c>
      <c r="K30" s="448"/>
      <c r="L30" s="448"/>
      <c r="M30" s="448"/>
      <c r="N30" s="448"/>
      <c r="O30" s="440"/>
      <c r="P30" s="440"/>
      <c r="Q30" s="440"/>
      <c r="R30" s="440"/>
      <c r="S30" s="440"/>
      <c r="T30" s="448"/>
      <c r="U30" s="448"/>
      <c r="V30" s="448"/>
      <c r="W30" s="440"/>
      <c r="X30" s="440"/>
      <c r="Y30" s="440"/>
      <c r="Z30" s="440"/>
      <c r="AA30" s="440"/>
      <c r="AB30" s="453"/>
      <c r="AC30" s="453"/>
    </row>
    <row r="31" spans="1:29" x14ac:dyDescent="0.25">
      <c r="A31" s="447"/>
      <c r="B31" s="440"/>
      <c r="C31" s="448"/>
      <c r="D31" s="448"/>
      <c r="E31" s="448"/>
      <c r="F31" s="448"/>
      <c r="G31" s="448"/>
      <c r="H31" s="448"/>
      <c r="I31" s="448"/>
      <c r="J31" s="448"/>
      <c r="K31" s="448"/>
      <c r="L31" s="448"/>
      <c r="M31" s="448"/>
      <c r="N31" s="448"/>
      <c r="O31" s="440"/>
      <c r="P31" s="440"/>
      <c r="Q31" s="440"/>
      <c r="R31" s="440"/>
      <c r="S31" s="440"/>
      <c r="T31" s="448"/>
      <c r="U31" s="448"/>
      <c r="V31" s="448"/>
      <c r="W31" s="440"/>
      <c r="X31" s="440"/>
      <c r="Y31" s="440"/>
      <c r="Z31" s="440"/>
      <c r="AA31" s="440"/>
      <c r="AB31" s="453"/>
      <c r="AC31" s="453"/>
    </row>
    <row r="32" spans="1:29" x14ac:dyDescent="0.25">
      <c r="A32" s="447"/>
      <c r="B32" s="440"/>
      <c r="C32" s="448"/>
      <c r="D32" s="448"/>
      <c r="E32" s="448"/>
      <c r="F32" s="448"/>
      <c r="G32" s="448"/>
      <c r="H32" s="448"/>
      <c r="I32" s="448"/>
      <c r="J32" s="448"/>
      <c r="K32" s="448"/>
      <c r="L32" s="448"/>
      <c r="M32" s="448"/>
      <c r="N32" s="448"/>
      <c r="O32" s="440"/>
      <c r="P32" s="440"/>
      <c r="Q32" s="440"/>
      <c r="R32" s="440"/>
      <c r="S32" s="440"/>
      <c r="T32" s="448"/>
      <c r="U32" s="448"/>
      <c r="V32" s="448"/>
      <c r="W32" s="440"/>
      <c r="X32" s="440"/>
      <c r="Y32" s="440"/>
      <c r="Z32" s="440"/>
      <c r="AA32" s="440"/>
      <c r="AB32" s="453"/>
      <c r="AC32" s="453"/>
    </row>
    <row r="33" spans="1:29" ht="15.75" thickBot="1" x14ac:dyDescent="0.3">
      <c r="A33" s="447"/>
      <c r="B33" s="440"/>
      <c r="C33" s="448"/>
      <c r="D33" s="448"/>
      <c r="E33" s="448"/>
      <c r="F33" s="448"/>
      <c r="G33" s="448"/>
      <c r="H33" s="448"/>
      <c r="I33" s="448"/>
      <c r="J33" s="448"/>
      <c r="K33" s="448"/>
      <c r="L33" s="448"/>
      <c r="M33" s="448"/>
      <c r="N33" s="448"/>
      <c r="O33" s="440"/>
      <c r="P33" s="440"/>
      <c r="Q33" s="440"/>
      <c r="R33" s="440"/>
      <c r="S33" s="440"/>
      <c r="T33" s="448"/>
      <c r="U33" s="448"/>
      <c r="V33" s="448"/>
      <c r="W33" s="440"/>
      <c r="X33" s="440"/>
      <c r="Y33" s="440"/>
      <c r="Z33" s="440"/>
      <c r="AA33" s="440"/>
      <c r="AB33" s="453"/>
      <c r="AC33" s="453"/>
    </row>
    <row r="34" spans="1:29" ht="30.75" thickBot="1" x14ac:dyDescent="0.3">
      <c r="A34" s="421" t="s">
        <v>1410</v>
      </c>
      <c r="B34" s="440"/>
      <c r="C34" s="421" t="s">
        <v>1390</v>
      </c>
      <c r="D34" s="422" t="s">
        <v>1389</v>
      </c>
      <c r="E34" s="448" t="s">
        <v>1411</v>
      </c>
      <c r="F34" s="454" t="s">
        <v>1412</v>
      </c>
      <c r="G34" s="422" t="s">
        <v>1413</v>
      </c>
      <c r="H34" s="424" t="s">
        <v>1414</v>
      </c>
      <c r="I34" s="440"/>
      <c r="J34" s="440"/>
      <c r="K34" s="440"/>
      <c r="L34" s="440"/>
      <c r="M34" s="440"/>
      <c r="P34" s="440"/>
      <c r="Q34" s="440"/>
      <c r="R34" s="440"/>
      <c r="S34" s="440"/>
      <c r="T34" s="421" t="s">
        <v>1415</v>
      </c>
      <c r="U34" s="455"/>
      <c r="V34" s="431" t="s">
        <v>1416</v>
      </c>
      <c r="W34" s="421" t="s">
        <v>1417</v>
      </c>
      <c r="X34" s="421" t="s">
        <v>1418</v>
      </c>
      <c r="Z34" s="421"/>
      <c r="AA34" s="422" t="s">
        <v>1400</v>
      </c>
      <c r="AB34" s="453"/>
      <c r="AC34" s="453"/>
    </row>
    <row r="35" spans="1:29" x14ac:dyDescent="0.25">
      <c r="A35" s="316" t="s">
        <v>1439</v>
      </c>
      <c r="B35" s="316" t="s">
        <v>1154</v>
      </c>
      <c r="C35" s="316">
        <v>4.5</v>
      </c>
      <c r="D35" s="463">
        <f>IF(C35&gt;0, 1, 0)</f>
        <v>1</v>
      </c>
      <c r="E35" s="316" t="s">
        <v>1419</v>
      </c>
      <c r="F35" s="456">
        <v>2.8</v>
      </c>
      <c r="G35" s="116">
        <f>IF(F35&gt;3, 3, F35)</f>
        <v>2.8</v>
      </c>
      <c r="H35" s="116">
        <f>IF(F35&gt;4.5,4.5,MAX(0,F35-3))</f>
        <v>0</v>
      </c>
      <c r="I35" s="440"/>
      <c r="J35" s="440"/>
      <c r="K35" s="440"/>
      <c r="L35" s="440"/>
      <c r="M35" s="440"/>
      <c r="N35" s="440"/>
      <c r="O35" s="440"/>
      <c r="P35" s="440"/>
      <c r="Q35" s="440"/>
      <c r="R35" s="440"/>
      <c r="S35" s="440"/>
      <c r="T35" s="316" t="s">
        <v>1154</v>
      </c>
      <c r="U35" s="316"/>
      <c r="V35" s="316" t="s">
        <v>1420</v>
      </c>
      <c r="W35" s="316" t="s">
        <v>1420</v>
      </c>
      <c r="X35" s="316"/>
      <c r="Y35" s="316"/>
      <c r="Z35" s="316"/>
      <c r="AA35" s="316" t="s">
        <v>1421</v>
      </c>
      <c r="AB35" s="453"/>
      <c r="AC35" s="453"/>
    </row>
    <row r="36" spans="1:29" x14ac:dyDescent="0.25">
      <c r="A36" s="316" t="s">
        <v>1438</v>
      </c>
      <c r="B36" s="316"/>
      <c r="C36" s="316">
        <v>4.5</v>
      </c>
      <c r="D36" s="463">
        <f t="shared" ref="D36:D45" si="12">IF(C36&gt;0, 1, 0)</f>
        <v>1</v>
      </c>
      <c r="E36" s="316"/>
      <c r="F36" s="456"/>
      <c r="G36" s="116">
        <f t="shared" ref="G36:G45" si="13">IF(F36&gt;3, 3, F36)</f>
        <v>0</v>
      </c>
      <c r="H36" s="116">
        <f t="shared" ref="H36:H45" si="14">IF(F36&gt;4.5,4.5,MAX(0,F36-3))</f>
        <v>0</v>
      </c>
      <c r="I36" s="440"/>
      <c r="J36" s="440"/>
      <c r="K36" s="440"/>
      <c r="L36" s="440"/>
      <c r="M36" s="440"/>
      <c r="N36" s="440"/>
      <c r="O36" s="440"/>
      <c r="P36" s="440"/>
      <c r="Q36" s="440"/>
      <c r="R36" s="440"/>
      <c r="S36" s="440"/>
      <c r="T36" s="316"/>
      <c r="U36" s="316"/>
      <c r="V36" s="316"/>
      <c r="W36" s="316"/>
      <c r="X36" s="316" t="s">
        <v>1420</v>
      </c>
      <c r="Y36" s="316"/>
      <c r="Z36" s="316"/>
      <c r="AA36" s="316"/>
      <c r="AB36" s="453"/>
      <c r="AC36" s="453"/>
    </row>
    <row r="37" spans="1:29" x14ac:dyDescent="0.25">
      <c r="A37" s="316"/>
      <c r="B37" s="316"/>
      <c r="C37" s="316"/>
      <c r="D37" s="463">
        <f t="shared" si="12"/>
        <v>0</v>
      </c>
      <c r="E37" s="316"/>
      <c r="F37" s="456"/>
      <c r="G37" s="116">
        <f t="shared" si="13"/>
        <v>0</v>
      </c>
      <c r="H37" s="116">
        <f t="shared" si="14"/>
        <v>0</v>
      </c>
      <c r="I37" s="440"/>
      <c r="J37" s="440"/>
      <c r="K37" s="440"/>
      <c r="L37" s="440"/>
      <c r="M37" s="440"/>
      <c r="N37" s="440"/>
      <c r="O37" s="440"/>
      <c r="P37" s="440"/>
      <c r="Q37" s="440"/>
      <c r="R37" s="440"/>
      <c r="S37" s="440"/>
      <c r="T37" s="316"/>
      <c r="U37" s="316"/>
      <c r="V37" s="316"/>
      <c r="W37" s="316"/>
      <c r="X37" s="316"/>
      <c r="Y37" s="316"/>
      <c r="Z37" s="316"/>
      <c r="AA37" s="316"/>
      <c r="AB37" s="453"/>
      <c r="AC37" s="453"/>
    </row>
    <row r="38" spans="1:29" x14ac:dyDescent="0.25">
      <c r="A38" s="316"/>
      <c r="B38" s="316"/>
      <c r="C38" s="316"/>
      <c r="D38" s="463">
        <f t="shared" si="12"/>
        <v>0</v>
      </c>
      <c r="E38" s="316"/>
      <c r="F38" s="456"/>
      <c r="G38" s="116">
        <f t="shared" si="13"/>
        <v>0</v>
      </c>
      <c r="H38" s="116">
        <f t="shared" si="14"/>
        <v>0</v>
      </c>
      <c r="I38" s="440"/>
      <c r="J38" s="440"/>
      <c r="K38" s="440"/>
      <c r="L38" s="440"/>
      <c r="M38" s="440"/>
      <c r="N38" s="440"/>
      <c r="O38" s="440"/>
      <c r="P38" s="440"/>
      <c r="Q38" s="440"/>
      <c r="R38" s="440"/>
      <c r="S38" s="440"/>
      <c r="T38" s="316"/>
      <c r="U38" s="316"/>
      <c r="V38" s="316"/>
      <c r="W38" s="316"/>
      <c r="X38" s="316"/>
      <c r="Y38" s="316"/>
      <c r="Z38" s="316"/>
      <c r="AA38" s="316"/>
      <c r="AB38" s="453"/>
      <c r="AC38" s="453"/>
    </row>
    <row r="39" spans="1:29" x14ac:dyDescent="0.25">
      <c r="A39" s="316"/>
      <c r="B39" s="316"/>
      <c r="C39" s="316"/>
      <c r="D39" s="463">
        <f t="shared" si="12"/>
        <v>0</v>
      </c>
      <c r="E39" s="316"/>
      <c r="F39" s="457"/>
      <c r="G39" s="116">
        <f t="shared" si="13"/>
        <v>0</v>
      </c>
      <c r="H39" s="116">
        <f t="shared" si="14"/>
        <v>0</v>
      </c>
      <c r="I39" s="458"/>
      <c r="J39" s="458"/>
      <c r="K39" s="458"/>
      <c r="L39" s="458"/>
      <c r="M39" s="458"/>
      <c r="N39" s="440"/>
      <c r="O39" s="440"/>
      <c r="P39" s="458"/>
      <c r="Q39" s="458"/>
      <c r="R39" s="458"/>
      <c r="S39" s="458"/>
      <c r="T39" s="316"/>
      <c r="U39" s="316"/>
      <c r="V39" s="316"/>
      <c r="W39" s="316"/>
      <c r="X39" s="316"/>
      <c r="Y39" s="316"/>
      <c r="Z39" s="316"/>
      <c r="AA39" s="316"/>
      <c r="AB39" s="453"/>
      <c r="AC39" s="453"/>
    </row>
    <row r="40" spans="1:29" x14ac:dyDescent="0.25">
      <c r="A40" s="316"/>
      <c r="B40" s="316"/>
      <c r="C40" s="316"/>
      <c r="D40" s="463">
        <f t="shared" si="12"/>
        <v>0</v>
      </c>
      <c r="E40" s="316"/>
      <c r="F40" s="456"/>
      <c r="G40" s="116">
        <f>IF(F40&gt;3, 3, F40)</f>
        <v>0</v>
      </c>
      <c r="H40" s="116">
        <f>IF(F40&gt;4.5,4.5,MAX(0,F40-3))</f>
        <v>0</v>
      </c>
      <c r="I40" s="440"/>
      <c r="J40" s="440"/>
      <c r="K40" s="440"/>
      <c r="L40" s="440"/>
      <c r="M40" s="440"/>
      <c r="N40" s="440"/>
      <c r="O40" s="440"/>
      <c r="P40" s="440"/>
      <c r="Q40" s="440"/>
      <c r="R40" s="440"/>
      <c r="S40" s="440"/>
      <c r="T40" s="316"/>
      <c r="U40" s="316"/>
      <c r="V40" s="316"/>
      <c r="W40" s="316"/>
      <c r="X40" s="316"/>
      <c r="Y40" s="316"/>
      <c r="Z40" s="316"/>
      <c r="AA40" s="316"/>
      <c r="AB40" s="453"/>
      <c r="AC40" s="453"/>
    </row>
    <row r="41" spans="1:29" x14ac:dyDescent="0.25">
      <c r="A41" s="316"/>
      <c r="B41" s="316"/>
      <c r="C41" s="316"/>
      <c r="D41" s="463">
        <f t="shared" si="12"/>
        <v>0</v>
      </c>
      <c r="E41" s="316"/>
      <c r="F41" s="456"/>
      <c r="G41" s="116">
        <f t="shared" ref="G41:G44" si="15">IF(F41&gt;3, 3, F41)</f>
        <v>0</v>
      </c>
      <c r="H41" s="116">
        <f t="shared" ref="H41:H44" si="16">IF(F41&gt;4.5,4.5,MAX(0,F41-3))</f>
        <v>0</v>
      </c>
      <c r="I41" s="440"/>
      <c r="J41" s="440"/>
      <c r="K41" s="440"/>
      <c r="L41" s="440"/>
      <c r="M41" s="440"/>
      <c r="N41" s="440"/>
      <c r="O41" s="440"/>
      <c r="P41" s="440"/>
      <c r="Q41" s="440"/>
      <c r="R41" s="440"/>
      <c r="S41" s="440"/>
      <c r="T41" s="316"/>
      <c r="U41" s="316"/>
      <c r="V41" s="316"/>
      <c r="W41" s="316"/>
      <c r="X41" s="316"/>
      <c r="Y41" s="316"/>
      <c r="Z41" s="316"/>
      <c r="AA41" s="316"/>
      <c r="AB41" s="453"/>
      <c r="AC41" s="453"/>
    </row>
    <row r="42" spans="1:29" x14ac:dyDescent="0.25">
      <c r="A42" s="316"/>
      <c r="B42" s="316"/>
      <c r="C42" s="316"/>
      <c r="D42" s="463">
        <f t="shared" si="12"/>
        <v>0</v>
      </c>
      <c r="E42" s="316"/>
      <c r="F42" s="456"/>
      <c r="G42" s="116">
        <f t="shared" si="15"/>
        <v>0</v>
      </c>
      <c r="H42" s="116">
        <f t="shared" si="16"/>
        <v>0</v>
      </c>
      <c r="I42" s="440"/>
      <c r="J42" s="440"/>
      <c r="K42" s="440"/>
      <c r="L42" s="440"/>
      <c r="M42" s="440"/>
      <c r="N42" s="440"/>
      <c r="O42" s="440"/>
      <c r="P42" s="440"/>
      <c r="Q42" s="440"/>
      <c r="R42" s="440"/>
      <c r="S42" s="440"/>
      <c r="T42" s="316"/>
      <c r="U42" s="316"/>
      <c r="V42" s="316"/>
      <c r="W42" s="316"/>
      <c r="X42" s="316"/>
      <c r="Y42" s="316"/>
      <c r="Z42" s="316"/>
      <c r="AA42" s="316"/>
      <c r="AB42" s="453"/>
      <c r="AC42" s="453"/>
    </row>
    <row r="43" spans="1:29" x14ac:dyDescent="0.25">
      <c r="A43" s="316"/>
      <c r="B43" s="316"/>
      <c r="C43" s="316"/>
      <c r="D43" s="463">
        <f t="shared" si="12"/>
        <v>0</v>
      </c>
      <c r="E43" s="316"/>
      <c r="F43" s="456"/>
      <c r="G43" s="116">
        <f t="shared" si="15"/>
        <v>0</v>
      </c>
      <c r="H43" s="116">
        <f t="shared" si="16"/>
        <v>0</v>
      </c>
      <c r="I43" s="440"/>
      <c r="J43" s="440"/>
      <c r="K43" s="440"/>
      <c r="L43" s="440"/>
      <c r="M43" s="440"/>
      <c r="N43" s="440"/>
      <c r="O43" s="440"/>
      <c r="P43" s="440"/>
      <c r="Q43" s="440"/>
      <c r="R43" s="440"/>
      <c r="S43" s="440"/>
      <c r="T43" s="316"/>
      <c r="U43" s="316"/>
      <c r="V43" s="316"/>
      <c r="W43" s="316"/>
      <c r="X43" s="316"/>
      <c r="Y43" s="316"/>
      <c r="Z43" s="316"/>
      <c r="AA43" s="316"/>
      <c r="AB43" s="453"/>
      <c r="AC43" s="453"/>
    </row>
    <row r="44" spans="1:29" x14ac:dyDescent="0.25">
      <c r="A44" s="316"/>
      <c r="B44" s="316"/>
      <c r="C44" s="316"/>
      <c r="D44" s="463">
        <f t="shared" si="12"/>
        <v>0</v>
      </c>
      <c r="E44" s="316"/>
      <c r="F44" s="457"/>
      <c r="G44" s="116">
        <f t="shared" si="15"/>
        <v>0</v>
      </c>
      <c r="H44" s="116">
        <f t="shared" si="16"/>
        <v>0</v>
      </c>
      <c r="I44" s="458"/>
      <c r="J44" s="458"/>
      <c r="K44" s="458"/>
      <c r="L44" s="458"/>
      <c r="M44" s="458"/>
      <c r="N44" s="440"/>
      <c r="O44" s="440"/>
      <c r="P44" s="458"/>
      <c r="Q44" s="458"/>
      <c r="R44" s="458"/>
      <c r="S44" s="458"/>
      <c r="T44" s="316"/>
      <c r="U44" s="316"/>
      <c r="V44" s="316"/>
      <c r="W44" s="316"/>
      <c r="X44" s="316"/>
      <c r="Y44" s="316"/>
      <c r="Z44" s="316"/>
      <c r="AA44" s="316"/>
      <c r="AB44" s="453"/>
      <c r="AC44" s="453"/>
    </row>
    <row r="45" spans="1:29" x14ac:dyDescent="0.25">
      <c r="A45" s="316"/>
      <c r="B45" s="316"/>
      <c r="C45" s="316"/>
      <c r="D45" s="463">
        <f t="shared" si="12"/>
        <v>0</v>
      </c>
      <c r="E45" s="316"/>
      <c r="F45" s="456"/>
      <c r="G45" s="116">
        <f t="shared" si="13"/>
        <v>0</v>
      </c>
      <c r="H45" s="116">
        <f t="shared" si="14"/>
        <v>0</v>
      </c>
      <c r="I45" s="440"/>
      <c r="J45" s="440"/>
      <c r="K45" s="440"/>
      <c r="L45" s="440"/>
      <c r="M45" s="440"/>
      <c r="N45" s="440"/>
      <c r="O45" s="440"/>
      <c r="P45" s="440"/>
      <c r="Q45" s="440"/>
      <c r="R45" s="440"/>
      <c r="S45" s="440"/>
      <c r="T45" s="316"/>
      <c r="U45" s="316"/>
      <c r="V45" s="316"/>
      <c r="W45" s="316"/>
      <c r="X45" s="316"/>
      <c r="Y45" s="316"/>
      <c r="Z45" s="316"/>
      <c r="AA45" s="316"/>
      <c r="AB45" s="453"/>
      <c r="AC45" s="453"/>
    </row>
    <row r="46" spans="1:29" ht="15.75" thickBot="1" x14ac:dyDescent="0.3">
      <c r="A46" s="453"/>
      <c r="C46" s="459" t="s">
        <v>1422</v>
      </c>
      <c r="D46" s="465">
        <f>SUM(D35:D45)</f>
        <v>2</v>
      </c>
      <c r="E46" s="459" t="s">
        <v>1423</v>
      </c>
      <c r="F46" s="465">
        <f>SUM(F35:F45)</f>
        <v>2.8</v>
      </c>
      <c r="G46" s="465">
        <f t="shared" ref="G46:H46" si="17">SUM(G35:G45)</f>
        <v>2.8</v>
      </c>
      <c r="H46" s="465">
        <f t="shared" si="17"/>
        <v>0</v>
      </c>
      <c r="P46" s="459"/>
      <c r="Q46" s="459"/>
      <c r="R46" s="459"/>
      <c r="S46" s="459"/>
      <c r="W46" s="459"/>
      <c r="X46" s="459"/>
      <c r="Y46" s="459"/>
      <c r="Z46" s="459"/>
      <c r="AB46" s="453"/>
      <c r="AC46" s="453"/>
    </row>
    <row r="47" spans="1:29" ht="15.75" thickTop="1" x14ac:dyDescent="0.25">
      <c r="A47" s="453"/>
      <c r="AB47" s="453"/>
      <c r="AC47" s="453"/>
    </row>
    <row r="48" spans="1:29" x14ac:dyDescent="0.25">
      <c r="A48" s="453"/>
    </row>
    <row r="49" spans="1:4" x14ac:dyDescent="0.25">
      <c r="A49" s="453"/>
    </row>
    <row r="50" spans="1:4" x14ac:dyDescent="0.25">
      <c r="A50" s="453"/>
    </row>
    <row r="51" spans="1:4" x14ac:dyDescent="0.25">
      <c r="A51" s="453"/>
    </row>
    <row r="52" spans="1:4" ht="23.25" x14ac:dyDescent="0.25">
      <c r="A52" s="453"/>
      <c r="B52" s="460" t="s">
        <v>1424</v>
      </c>
      <c r="C52" s="461"/>
      <c r="D52" s="461"/>
    </row>
    <row r="53" spans="1:4" x14ac:dyDescent="0.25">
      <c r="A53" s="453"/>
      <c r="B53" s="462" t="s">
        <v>1425</v>
      </c>
    </row>
    <row r="54" spans="1:4" x14ac:dyDescent="0.25">
      <c r="A54" s="453"/>
      <c r="B54" s="462" t="s">
        <v>1426</v>
      </c>
    </row>
    <row r="55" spans="1:4" x14ac:dyDescent="0.25">
      <c r="B55" s="462" t="s">
        <v>1427</v>
      </c>
    </row>
    <row r="56" spans="1:4" x14ac:dyDescent="0.25">
      <c r="B56" s="462" t="s">
        <v>1428</v>
      </c>
    </row>
    <row r="57" spans="1:4" x14ac:dyDescent="0.25">
      <c r="B57" s="462" t="s">
        <v>1429</v>
      </c>
    </row>
    <row r="58" spans="1:4" x14ac:dyDescent="0.25">
      <c r="B58" s="462"/>
    </row>
    <row r="59" spans="1:4" x14ac:dyDescent="0.25">
      <c r="B59" s="462"/>
    </row>
    <row r="60" spans="1:4" x14ac:dyDescent="0.25">
      <c r="B60" s="462"/>
    </row>
    <row r="61" spans="1:4" x14ac:dyDescent="0.25">
      <c r="B61" s="462"/>
    </row>
    <row r="62" spans="1:4" x14ac:dyDescent="0.25">
      <c r="B62" s="462"/>
    </row>
    <row r="63" spans="1:4" x14ac:dyDescent="0.25">
      <c r="B63" s="462"/>
    </row>
    <row r="64" spans="1:4" x14ac:dyDescent="0.25">
      <c r="B64" s="462"/>
    </row>
    <row r="65" spans="2:2" x14ac:dyDescent="0.25">
      <c r="B65" s="462"/>
    </row>
    <row r="66" spans="2:2" x14ac:dyDescent="0.25">
      <c r="B66" s="462"/>
    </row>
    <row r="67" spans="2:2" x14ac:dyDescent="0.25">
      <c r="B67" s="462"/>
    </row>
    <row r="68" spans="2:2" x14ac:dyDescent="0.25">
      <c r="B68" s="462"/>
    </row>
    <row r="69" spans="2:2" x14ac:dyDescent="0.25">
      <c r="B69" s="462"/>
    </row>
    <row r="70" spans="2:2" x14ac:dyDescent="0.25">
      <c r="B70" s="462"/>
    </row>
    <row r="71" spans="2:2" x14ac:dyDescent="0.25">
      <c r="B71" s="462"/>
    </row>
  </sheetData>
  <dataConsolidate topLabels="1">
    <dataRefs count="1">
      <dataRef ref="A1:M1" sheet="Tracker" r:id="rId1"/>
    </dataRefs>
  </dataConsolidate>
  <mergeCells count="3">
    <mergeCell ref="T1:U1"/>
    <mergeCell ref="W1:X1"/>
    <mergeCell ref="Y1:Z1"/>
  </mergeCells>
  <conditionalFormatting sqref="T2:T27">
    <cfRule type="cellIs" dxfId="23" priority="23" operator="equal">
      <formula>"CP"</formula>
    </cfRule>
    <cfRule type="cellIs" dxfId="22" priority="24" operator="notEqual">
      <formula>"CP"</formula>
    </cfRule>
  </conditionalFormatting>
  <conditionalFormatting sqref="U2:U27">
    <cfRule type="cellIs" dxfId="21" priority="21" operator="equal">
      <formula>"RC"</formula>
    </cfRule>
    <cfRule type="cellIs" dxfId="20" priority="22" operator="notEqual">
      <formula>"RC"</formula>
    </cfRule>
  </conditionalFormatting>
  <conditionalFormatting sqref="T35:T45">
    <cfRule type="cellIs" dxfId="19" priority="19" operator="equal">
      <formula>"TP"</formula>
    </cfRule>
    <cfRule type="cellIs" dxfId="18" priority="20" operator="notEqual">
      <formula>"TP"</formula>
    </cfRule>
  </conditionalFormatting>
  <conditionalFormatting sqref="W2:W27">
    <cfRule type="cellIs" dxfId="17" priority="17" operator="equal">
      <formula>"CP"</formula>
    </cfRule>
    <cfRule type="cellIs" dxfId="16" priority="18" operator="notEqual">
      <formula>"CP"</formula>
    </cfRule>
  </conditionalFormatting>
  <conditionalFormatting sqref="X2:X27">
    <cfRule type="cellIs" dxfId="15" priority="15" operator="equal">
      <formula>"RC"</formula>
    </cfRule>
    <cfRule type="cellIs" dxfId="14" priority="16" operator="notEqual">
      <formula>"RC"</formula>
    </cfRule>
  </conditionalFormatting>
  <conditionalFormatting sqref="Y2:Y27">
    <cfRule type="cellIs" dxfId="13" priority="13" operator="equal">
      <formula>"CP"</formula>
    </cfRule>
    <cfRule type="cellIs" dxfId="12" priority="14" operator="notEqual">
      <formula>"CP"</formula>
    </cfRule>
  </conditionalFormatting>
  <conditionalFormatting sqref="Z2:Z27">
    <cfRule type="cellIs" dxfId="11" priority="1" operator="equal">
      <formula>"N/A"</formula>
    </cfRule>
    <cfRule type="cellIs" dxfId="10" priority="11" operator="equal">
      <formula>"RC"</formula>
    </cfRule>
    <cfRule type="cellIs" dxfId="9" priority="12" operator="notEqual">
      <formula>"RC"</formula>
    </cfRule>
  </conditionalFormatting>
  <conditionalFormatting sqref="W35:W45">
    <cfRule type="cellIs" dxfId="8" priority="10" operator="equal">
      <formula>"Yes"</formula>
    </cfRule>
  </conditionalFormatting>
  <conditionalFormatting sqref="X35:X45">
    <cfRule type="cellIs" dxfId="7" priority="9" operator="equal">
      <formula>"Yes"</formula>
    </cfRule>
  </conditionalFormatting>
  <conditionalFormatting sqref="W35:W45">
    <cfRule type="cellIs" dxfId="6" priority="8" operator="notEqual">
      <formula>"Yes"</formula>
    </cfRule>
  </conditionalFormatting>
  <conditionalFormatting sqref="X35:X45">
    <cfRule type="cellIs" dxfId="5" priority="7" operator="notEqual">
      <formula>"Yes"</formula>
    </cfRule>
  </conditionalFormatting>
  <conditionalFormatting sqref="T2:T27">
    <cfRule type="cellIs" dxfId="4" priority="6" operator="equal">
      <formula>"N/A"</formula>
    </cfRule>
  </conditionalFormatting>
  <conditionalFormatting sqref="U2:U27">
    <cfRule type="cellIs" dxfId="3" priority="5" operator="equal">
      <formula>"N/A"</formula>
    </cfRule>
  </conditionalFormatting>
  <conditionalFormatting sqref="W2:W27">
    <cfRule type="cellIs" dxfId="2" priority="4" operator="equal">
      <formula>"N/A"</formula>
    </cfRule>
  </conditionalFormatting>
  <conditionalFormatting sqref="X2:X27">
    <cfRule type="cellIs" dxfId="1" priority="3" operator="equal">
      <formula>"N/A"</formula>
    </cfRule>
  </conditionalFormatting>
  <conditionalFormatting sqref="Y2:Y27">
    <cfRule type="cellIs" dxfId="0" priority="2" operator="equal">
      <formula>"N/A"</formula>
    </cfRule>
  </conditionalFormatting>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38</vt:i4>
      </vt:variant>
    </vt:vector>
  </HeadingPairs>
  <TitlesOfParts>
    <vt:vector size="53" baseType="lpstr">
      <vt:lpstr>Section A</vt:lpstr>
      <vt:lpstr>Section B</vt:lpstr>
      <vt:lpstr>Section C</vt:lpstr>
      <vt:lpstr>Section D</vt:lpstr>
      <vt:lpstr>Section E</vt:lpstr>
      <vt:lpstr>Section F</vt:lpstr>
      <vt:lpstr>Section G</vt:lpstr>
      <vt:lpstr>Section H</vt:lpstr>
      <vt:lpstr>Section I</vt:lpstr>
      <vt:lpstr>Section J</vt:lpstr>
      <vt:lpstr>Section K</vt:lpstr>
      <vt:lpstr>Section L</vt:lpstr>
      <vt:lpstr>Summary</vt:lpstr>
      <vt:lpstr>Appendices</vt:lpstr>
      <vt:lpstr>Log Schedule</vt:lpstr>
      <vt:lpstr>cellx</vt:lpstr>
      <vt:lpstr>Appendices!Print_Area</vt:lpstr>
      <vt:lpstr>'Section A'!Print_Area</vt:lpstr>
      <vt:lpstr>'Section B'!Print_Area</vt:lpstr>
      <vt:lpstr>'Section C'!Print_Area</vt:lpstr>
      <vt:lpstr>'Section D'!Print_Area</vt:lpstr>
      <vt:lpstr>'Section E'!Print_Area</vt:lpstr>
      <vt:lpstr>'Section F'!Print_Area</vt:lpstr>
      <vt:lpstr>'Section G'!Print_Area</vt:lpstr>
      <vt:lpstr>'Section I'!Print_Area</vt:lpstr>
      <vt:lpstr>'Section J'!Print_Area</vt:lpstr>
      <vt:lpstr>'Section K'!Print_Area</vt:lpstr>
      <vt:lpstr>'Section L'!Print_Area</vt:lpstr>
      <vt:lpstr>Summary!Print_Area</vt:lpstr>
      <vt:lpstr>'Section B'!TOTAL_A</vt:lpstr>
      <vt:lpstr>TOTAL_A</vt:lpstr>
      <vt:lpstr>'Section B'!TOTAL_B</vt:lpstr>
      <vt:lpstr>TOTAL_B</vt:lpstr>
      <vt:lpstr>'Section B'!TOTAL_C</vt:lpstr>
      <vt:lpstr>TOTAL_C</vt:lpstr>
      <vt:lpstr>'Section B'!TOTAL_D</vt:lpstr>
      <vt:lpstr>TOTAL_D</vt:lpstr>
      <vt:lpstr>'Section B'!TOTAL_E</vt:lpstr>
      <vt:lpstr>TOTAL_E</vt:lpstr>
      <vt:lpstr>'Section B'!TOTAL_F</vt:lpstr>
      <vt:lpstr>TOTAL_F</vt:lpstr>
      <vt:lpstr>'Section B'!TOTAL_G</vt:lpstr>
      <vt:lpstr>TOTAL_G</vt:lpstr>
      <vt:lpstr>'Section B'!TOTAL_H</vt:lpstr>
      <vt:lpstr>TOTAL_H</vt:lpstr>
      <vt:lpstr>'Section B'!TOTAL_I</vt:lpstr>
      <vt:lpstr>TOTAL_I</vt:lpstr>
      <vt:lpstr>'Section B'!TOTAL_J</vt:lpstr>
      <vt:lpstr>TOTAL_J</vt:lpstr>
      <vt:lpstr>'Section B'!TOTAL_K</vt:lpstr>
      <vt:lpstr>TOTAL_K</vt:lpstr>
      <vt:lpstr>'Section B'!TOTAL_L</vt:lpstr>
      <vt:lpstr>TOTAL_L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kcorrigan</dc:creator>
  <cp:lastModifiedBy>Cullen, Phil</cp:lastModifiedBy>
  <cp:lastPrinted>2018-07-27T08:46:40Z</cp:lastPrinted>
  <dcterms:created xsi:type="dcterms:W3CDTF">2017-01-10T11:10:44Z</dcterms:created>
  <dcterms:modified xsi:type="dcterms:W3CDTF">2019-01-16T14:43:47Z</dcterms:modified>
</cp:coreProperties>
</file>