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Y:\GEOTECH\Geotech Master Files\Geotech Master Specs &amp; BoQ\BoQ &amp; Log Trackers\"/>
    </mc:Choice>
  </mc:AlternateContent>
  <xr:revisionPtr revIDLastSave="0" documentId="8_{A556FE4E-D2D7-4665-9A14-9285287B33EF}" xr6:coauthVersionLast="36" xr6:coauthVersionMax="36" xr10:uidLastSave="{00000000-0000-0000-0000-000000000000}"/>
  <bookViews>
    <workbookView xWindow="0" yWindow="0" windowWidth="28800" windowHeight="14025" activeTab="2" xr2:uid="{00000000-000D-0000-FFFF-FFFF00000000}"/>
  </bookViews>
  <sheets>
    <sheet name="Calculator" sheetId="2" r:id="rId1"/>
    <sheet name="Lab Schedules" sheetId="1" r:id="rId2"/>
    <sheet name="Log Tracker" sheetId="3" r:id="rId3"/>
  </sheets>
  <externalReferences>
    <externalReference r:id="rId4"/>
  </externalReferences>
  <definedNames>
    <definedName name="_xlnm._FilterDatabase" localSheetId="1" hidden="1">'Lab Schedules'!$B$3:$D$59</definedName>
    <definedName name="cellx">#REF!</definedName>
    <definedName name="TOTAL_A">#REF!</definedName>
    <definedName name="TOTAL_B">#REF!</definedName>
    <definedName name="TOTAL_C">#REF!</definedName>
    <definedName name="TOTAL_D">#REF!</definedName>
    <definedName name="TOTAL_E">#REF!</definedName>
    <definedName name="TOTAL_F">#REF!</definedName>
    <definedName name="TOTAL_G">#REF!</definedName>
    <definedName name="TOTAL_H">#REF!</definedName>
    <definedName name="TOTAL_I">#REF!</definedName>
    <definedName name="TOTAL_J">#REF!</definedName>
    <definedName name="TOTAL_K">#REF!</definedName>
    <definedName name="TOTAL_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" i="3" l="1"/>
  <c r="V3" i="3"/>
  <c r="W3" i="3"/>
  <c r="X3" i="3"/>
  <c r="V4" i="3"/>
  <c r="W4" i="3"/>
  <c r="X4" i="3"/>
  <c r="V5" i="3"/>
  <c r="W5" i="3"/>
  <c r="X5" i="3"/>
  <c r="V6" i="3"/>
  <c r="W6" i="3"/>
  <c r="X6" i="3"/>
  <c r="V7" i="3"/>
  <c r="W7" i="3"/>
  <c r="X7" i="3"/>
  <c r="V8" i="3"/>
  <c r="W8" i="3"/>
  <c r="X8" i="3"/>
  <c r="V9" i="3"/>
  <c r="W9" i="3"/>
  <c r="X9" i="3"/>
  <c r="V10" i="3"/>
  <c r="W10" i="3"/>
  <c r="X10" i="3"/>
  <c r="V11" i="3"/>
  <c r="W11" i="3"/>
  <c r="X11" i="3"/>
  <c r="V12" i="3"/>
  <c r="W12" i="3"/>
  <c r="X12" i="3"/>
  <c r="V13" i="3"/>
  <c r="W13" i="3"/>
  <c r="X13" i="3"/>
  <c r="V14" i="3"/>
  <c r="W14" i="3"/>
  <c r="X14" i="3"/>
  <c r="V15" i="3"/>
  <c r="W15" i="3"/>
  <c r="X15" i="3"/>
  <c r="V16" i="3"/>
  <c r="W16" i="3"/>
  <c r="X16" i="3"/>
  <c r="V17" i="3"/>
  <c r="W17" i="3"/>
  <c r="X17" i="3"/>
  <c r="V18" i="3"/>
  <c r="W18" i="3"/>
  <c r="X18" i="3"/>
  <c r="V19" i="3"/>
  <c r="W19" i="3"/>
  <c r="X19" i="3"/>
  <c r="V20" i="3"/>
  <c r="W20" i="3"/>
  <c r="X20" i="3"/>
  <c r="V21" i="3"/>
  <c r="W21" i="3"/>
  <c r="X21" i="3"/>
  <c r="V22" i="3"/>
  <c r="W22" i="3"/>
  <c r="X22" i="3"/>
  <c r="V23" i="3"/>
  <c r="W23" i="3"/>
  <c r="X23" i="3"/>
  <c r="V24" i="3"/>
  <c r="W24" i="3"/>
  <c r="X24" i="3"/>
  <c r="V25" i="3"/>
  <c r="W25" i="3"/>
  <c r="X25" i="3"/>
  <c r="V26" i="3"/>
  <c r="W26" i="3"/>
  <c r="X26" i="3"/>
  <c r="V27" i="3"/>
  <c r="W27" i="3"/>
  <c r="X27" i="3"/>
  <c r="X2" i="3"/>
  <c r="W2" i="3"/>
  <c r="V2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3" i="3"/>
  <c r="Z2" i="3"/>
  <c r="Z4" i="3" l="1"/>
  <c r="Z28" i="3" s="1"/>
  <c r="M21" i="2" s="1"/>
  <c r="U28" i="3"/>
  <c r="N21" i="2" s="1"/>
  <c r="G4" i="3"/>
  <c r="D4" i="3"/>
  <c r="A4" i="3"/>
  <c r="E36" i="3" l="1"/>
  <c r="E37" i="3"/>
  <c r="E38" i="3"/>
  <c r="E39" i="3"/>
  <c r="E40" i="3"/>
  <c r="E41" i="3"/>
  <c r="E42" i="3"/>
  <c r="E43" i="3"/>
  <c r="E44" i="3"/>
  <c r="E45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" i="3"/>
  <c r="C46" i="3" l="1"/>
  <c r="C28" i="3"/>
  <c r="L23" i="1" l="1"/>
  <c r="M23" i="1" s="1"/>
  <c r="L24" i="1"/>
  <c r="M24" i="1" s="1"/>
  <c r="L25" i="1"/>
  <c r="M25" i="1" s="1"/>
  <c r="L26" i="1"/>
  <c r="W24" i="2" s="1"/>
  <c r="L27" i="1"/>
  <c r="M27" i="1" s="1"/>
  <c r="L28" i="1"/>
  <c r="W26" i="2" s="1"/>
  <c r="L29" i="1"/>
  <c r="M29" i="1" s="1"/>
  <c r="M26" i="1" l="1"/>
  <c r="W23" i="2"/>
  <c r="W27" i="2"/>
  <c r="W22" i="2"/>
  <c r="M28" i="1"/>
  <c r="W21" i="2"/>
  <c r="W25" i="2"/>
  <c r="I44" i="3" l="1"/>
  <c r="H44" i="3"/>
  <c r="I43" i="3"/>
  <c r="H43" i="3"/>
  <c r="I42" i="3"/>
  <c r="H42" i="3"/>
  <c r="I41" i="3"/>
  <c r="H41" i="3"/>
  <c r="I40" i="3"/>
  <c r="H40" i="3"/>
  <c r="H36" i="3" l="1"/>
  <c r="I36" i="3"/>
  <c r="H37" i="3"/>
  <c r="I37" i="3"/>
  <c r="H38" i="3"/>
  <c r="I38" i="3"/>
  <c r="H39" i="3"/>
  <c r="I39" i="3"/>
  <c r="H45" i="3"/>
  <c r="I45" i="3"/>
  <c r="I35" i="3"/>
  <c r="H35" i="3"/>
  <c r="F9" i="2"/>
  <c r="I46" i="3" l="1"/>
  <c r="P13" i="2" s="1"/>
  <c r="H46" i="3"/>
  <c r="O13" i="2" s="1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" i="3"/>
  <c r="O2" i="3"/>
  <c r="O3" i="3"/>
  <c r="O4" i="3"/>
  <c r="O5" i="3"/>
  <c r="O6" i="3"/>
  <c r="O7" i="3"/>
  <c r="O8" i="3"/>
  <c r="O9" i="3"/>
  <c r="O10" i="3"/>
  <c r="O11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1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" i="3"/>
  <c r="P3" i="3"/>
  <c r="Q2" i="3"/>
  <c r="X28" i="3" l="1"/>
  <c r="Q21" i="2" s="1"/>
  <c r="W28" i="3"/>
  <c r="P21" i="2" s="1"/>
  <c r="V28" i="3"/>
  <c r="O21" i="2" s="1"/>
  <c r="N28" i="3"/>
  <c r="O8" i="2" s="1"/>
  <c r="I2" i="3"/>
  <c r="BB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" i="3"/>
  <c r="J2" i="3"/>
  <c r="H2" i="3"/>
  <c r="M28" i="3"/>
  <c r="N8" i="2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G28" i="3"/>
  <c r="G46" i="3"/>
  <c r="E35" i="3"/>
  <c r="N13" i="2" l="1"/>
  <c r="B13" i="2"/>
  <c r="N2" i="2"/>
  <c r="B2" i="2" s="1"/>
  <c r="B8" i="2"/>
  <c r="S28" i="3"/>
  <c r="M8" i="2" s="1"/>
  <c r="O28" i="3"/>
  <c r="P8" i="2" s="1"/>
  <c r="P28" i="3"/>
  <c r="Q8" i="2" s="1"/>
  <c r="Q28" i="3"/>
  <c r="R8" i="2" s="1"/>
  <c r="H28" i="3"/>
  <c r="O2" i="2" s="1"/>
  <c r="J28" i="3"/>
  <c r="Q2" i="2" s="1"/>
  <c r="I28" i="3"/>
  <c r="P2" i="2" s="1"/>
  <c r="E46" i="3"/>
  <c r="E28" i="3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4" i="1"/>
  <c r="G13" i="2" l="1"/>
  <c r="I13" i="2"/>
  <c r="H13" i="2"/>
  <c r="G2" i="2"/>
  <c r="F2" i="2"/>
  <c r="N4" i="1"/>
  <c r="W19" i="2"/>
  <c r="M21" i="1"/>
  <c r="M9" i="1"/>
  <c r="W7" i="2"/>
  <c r="W10" i="2"/>
  <c r="M12" i="1"/>
  <c r="W6" i="2"/>
  <c r="M8" i="1"/>
  <c r="M13" i="1"/>
  <c r="W11" i="2"/>
  <c r="M20" i="1"/>
  <c r="W18" i="2"/>
  <c r="M4" i="1"/>
  <c r="W2" i="2"/>
  <c r="W13" i="2"/>
  <c r="M15" i="1"/>
  <c r="W5" i="2"/>
  <c r="M7" i="1"/>
  <c r="W15" i="2"/>
  <c r="M17" i="1"/>
  <c r="W3" i="2"/>
  <c r="M5" i="1"/>
  <c r="M16" i="1"/>
  <c r="W14" i="2"/>
  <c r="M19" i="1"/>
  <c r="W17" i="2"/>
  <c r="M11" i="1"/>
  <c r="W9" i="2"/>
  <c r="W20" i="2"/>
  <c r="M22" i="1"/>
  <c r="M18" i="1"/>
  <c r="W16" i="2"/>
  <c r="M10" i="1"/>
  <c r="W8" i="2"/>
  <c r="M6" i="1"/>
  <c r="W4" i="2"/>
  <c r="A13" i="2"/>
  <c r="M13" i="2"/>
  <c r="M2" i="2"/>
  <c r="A8" i="2"/>
  <c r="G9" i="2" s="1"/>
  <c r="W12" i="2"/>
  <c r="M14" i="1"/>
  <c r="B26" i="2"/>
  <c r="I25" i="2"/>
  <c r="H25" i="2"/>
  <c r="G25" i="2"/>
  <c r="A2" i="2" l="1"/>
  <c r="G3" i="2" s="1"/>
  <c r="I26" i="2"/>
  <c r="F3" i="2" l="1"/>
</calcChain>
</file>

<file path=xl/sharedStrings.xml><?xml version="1.0" encoding="utf-8"?>
<sst xmlns="http://schemas.openxmlformats.org/spreadsheetml/2006/main" count="227" uniqueCount="142">
  <si>
    <t>Total</t>
  </si>
  <si>
    <t>BOQ</t>
  </si>
  <si>
    <t>TEST</t>
  </si>
  <si>
    <t>Quantaty</t>
  </si>
  <si>
    <t>TP</t>
  </si>
  <si>
    <t>RC</t>
  </si>
  <si>
    <t>Total TP</t>
  </si>
  <si>
    <t>Total BH</t>
  </si>
  <si>
    <t>Total RC</t>
  </si>
  <si>
    <t>No. Boreholes</t>
  </si>
  <si>
    <t>Depth(m)</t>
  </si>
  <si>
    <t>Sample Interval</t>
  </si>
  <si>
    <t>SPT Interval</t>
  </si>
  <si>
    <t>No. Samples</t>
  </si>
  <si>
    <t>No. SPT's</t>
  </si>
  <si>
    <t>0 - 10 m</t>
  </si>
  <si>
    <t>10 - 20 m</t>
  </si>
  <si>
    <t>20 - 30 m</t>
  </si>
  <si>
    <t>30 - 40 m</t>
  </si>
  <si>
    <t>to</t>
  </si>
  <si>
    <t>No. Pistons</t>
  </si>
  <si>
    <t>No.     U100</t>
  </si>
  <si>
    <t>No. Rotary Coreholes</t>
  </si>
  <si>
    <t>No.         Trial Pits</t>
  </si>
  <si>
    <t>Small Sample Interval</t>
  </si>
  <si>
    <t>Bulk Sample Interval</t>
  </si>
  <si>
    <t>Large Bulk Sample Interval</t>
  </si>
  <si>
    <t>No. Small Samples</t>
  </si>
  <si>
    <t>No. Bulk Samples</t>
  </si>
  <si>
    <t>No. Large Bulk Samples</t>
  </si>
  <si>
    <t>No. Trial Pits</t>
  </si>
  <si>
    <t>0 - 3m</t>
  </si>
  <si>
    <t>3 - 4.5 m</t>
  </si>
  <si>
    <t>Test</t>
  </si>
  <si>
    <t>No. Rotary Open Holes</t>
  </si>
  <si>
    <t>No. Probes</t>
  </si>
  <si>
    <t>No.         Slit Trenches</t>
  </si>
  <si>
    <t>Length</t>
  </si>
  <si>
    <t>Width</t>
  </si>
  <si>
    <t>Total Length</t>
  </si>
  <si>
    <t>Total Width</t>
  </si>
  <si>
    <t>Total Depth</t>
  </si>
  <si>
    <t>Slit Trenches</t>
  </si>
  <si>
    <t>Total Volume</t>
  </si>
  <si>
    <r>
      <t>m</t>
    </r>
    <r>
      <rPr>
        <vertAlign val="superscript"/>
        <sz val="10"/>
        <color rgb="FFFF0000"/>
        <rFont val="Arial"/>
        <family val="2"/>
      </rPr>
      <t>3</t>
    </r>
  </si>
  <si>
    <t>Batch 1</t>
  </si>
  <si>
    <t>Batch 2</t>
  </si>
  <si>
    <t>Batch 3</t>
  </si>
  <si>
    <t>Batch 4</t>
  </si>
  <si>
    <t>Batch 5</t>
  </si>
  <si>
    <t>Batch 6</t>
  </si>
  <si>
    <t>% of</t>
  </si>
  <si>
    <t>BoQ</t>
  </si>
  <si>
    <t>Actual</t>
  </si>
  <si>
    <t>Scheduled</t>
  </si>
  <si>
    <t>Schedule Depth</t>
  </si>
  <si>
    <t>Completed</t>
  </si>
  <si>
    <t>Comments</t>
  </si>
  <si>
    <t>CP/RC</t>
  </si>
  <si>
    <t>CP</t>
  </si>
  <si>
    <t>CP Depth range</t>
  </si>
  <si>
    <t>0-10</t>
  </si>
  <si>
    <t>20-30</t>
  </si>
  <si>
    <t>10 to 20</t>
  </si>
  <si>
    <t>Total TP Depth</t>
  </si>
  <si>
    <t>Total CP Depth</t>
  </si>
  <si>
    <t>Total RC Depth</t>
  </si>
  <si>
    <t>RC - CP</t>
  </si>
  <si>
    <t>10-20m</t>
  </si>
  <si>
    <t>Cancelled Lab Tests</t>
  </si>
  <si>
    <t>RC-CP Depth</t>
  </si>
  <si>
    <t>Recorded CP Depth</t>
  </si>
  <si>
    <t>Recorded RC Depth</t>
  </si>
  <si>
    <t>Recorded TP Depth</t>
  </si>
  <si>
    <r>
      <t>These will work as long as RC &gt; CP when logged in by human &amp; RC</t>
    </r>
    <r>
      <rPr>
        <b/>
        <sz val="11"/>
        <color theme="1"/>
        <rFont val="Calibri"/>
        <family val="2"/>
      </rPr>
      <t>≤3</t>
    </r>
    <r>
      <rPr>
        <b/>
        <sz val="11"/>
        <color theme="1"/>
        <rFont val="Calibri"/>
        <family val="2"/>
        <scheme val="minor"/>
      </rPr>
      <t>0.</t>
    </r>
  </si>
  <si>
    <t>Depth (m)</t>
  </si>
  <si>
    <t>0-3</t>
  </si>
  <si>
    <t>3 to 4.5</t>
  </si>
  <si>
    <t>Moisture content</t>
  </si>
  <si>
    <t>Liquid limit, plastic limit and plasticity index</t>
  </si>
  <si>
    <t>Particle size distribution by wet sieving</t>
  </si>
  <si>
    <t>Sedimentation by hydrometer</t>
  </si>
  <si>
    <t>Organic matter content</t>
  </si>
  <si>
    <t>Sulphate content of acid extract from soil</t>
  </si>
  <si>
    <t>Sulphate content of water extract from soil</t>
  </si>
  <si>
    <t>Sulphate content of groundwater</t>
  </si>
  <si>
    <t>Water soluble chloride content</t>
  </si>
  <si>
    <t>pH value</t>
  </si>
  <si>
    <t>Dry density/moisture content relationship using 2.5 kg rammer</t>
  </si>
  <si>
    <t>Dry density/moisture content relationship using vibrating hammer</t>
  </si>
  <si>
    <t>Moisture Condition Value at natural moisture content</t>
  </si>
  <si>
    <t>Moisture Condition Value/moisture content relationship (five points)</t>
  </si>
  <si>
    <t>One-dimensional consolidation properties, test period 5 days</t>
  </si>
  <si>
    <t>Undrained shear strength of a set of three 38mm diameter specimens in triaxial compression without the measurement of pore pressure</t>
  </si>
  <si>
    <t>Undrained shear strength of a single 100mm diameter specimen in triaxial compression with multi-stage loading and without measurement of pore pressure</t>
  </si>
  <si>
    <t>Consolidated undrained triaxial compression test with measurement of pore pressure (set of three 38mm specimens), test duration not exceeding 4 days per specimen</t>
  </si>
  <si>
    <t>Consolidated drained triaxial compression test with measurement of volume change (set of three 38mm specimens), test duration not exceeding 4 days per specimen</t>
  </si>
  <si>
    <t>Uniaxial compressive strength</t>
  </si>
  <si>
    <t>Point Load Strength Index on rock core (axial or diametral)</t>
  </si>
  <si>
    <t>Shear strength by the laboratory vane method (set of 3)</t>
  </si>
  <si>
    <t>Shear strength of a set of three 60mm × 60mm square specimens by direct shear, test duration not exceeding 1 day per specimen</t>
  </si>
  <si>
    <t>Shear strength of a single 300mm × 300mm square specimen by direct shear, test duration not exceeding 1 day</t>
  </si>
  <si>
    <t>Residual shear strength of a set of three 60mm × 60mm square specimens by direct shear, test duration not exceeding 4 days per specimen</t>
  </si>
  <si>
    <t>Residual shear strength of a 300mm square specimen by direct shear, test duration not exceeding 4 days</t>
  </si>
  <si>
    <t>Piston Interval</t>
  </si>
  <si>
    <t>U100 Interval</t>
  </si>
  <si>
    <t>CP Completed</t>
  </si>
  <si>
    <t>RC Completed</t>
  </si>
  <si>
    <t>BH 1</t>
  </si>
  <si>
    <t>TP01</t>
  </si>
  <si>
    <t>Log Comments Sent CP/RC</t>
  </si>
  <si>
    <t>Draft TP Log Received</t>
  </si>
  <si>
    <t>Log Comments Sent TP</t>
  </si>
  <si>
    <t>Lab Schedule Received</t>
  </si>
  <si>
    <t>Lab Schedule Sent</t>
  </si>
  <si>
    <t>Do Not Delete</t>
  </si>
  <si>
    <t>BH 2</t>
  </si>
  <si>
    <t>% of BH &amp; TPs Completed</t>
  </si>
  <si>
    <t>Yes</t>
  </si>
  <si>
    <t>No DCP log Received</t>
  </si>
  <si>
    <t>Hole Number</t>
  </si>
  <si>
    <t>Trial Pit Number</t>
  </si>
  <si>
    <t>Insitu Tests</t>
  </si>
  <si>
    <t>DCP</t>
  </si>
  <si>
    <t>Draft Log Received CP/RC or N/A</t>
  </si>
  <si>
    <t>Lab Schedule Received CP/RC or N/A</t>
  </si>
  <si>
    <t>Lab Schedule Sent CP/RC or N/A</t>
  </si>
  <si>
    <t>N/A</t>
  </si>
  <si>
    <t>U100</t>
  </si>
  <si>
    <t>Standpipes</t>
  </si>
  <si>
    <t>Dynamic Probes</t>
  </si>
  <si>
    <t>Window Samples</t>
  </si>
  <si>
    <t>Important Notes</t>
  </si>
  <si>
    <t>% of samples tested</t>
  </si>
  <si>
    <t>Chizelling</t>
  </si>
  <si>
    <t>Standing Time</t>
  </si>
  <si>
    <t>Items requiring manual input/records</t>
  </si>
  <si>
    <t>BH</t>
  </si>
  <si>
    <t>Name</t>
  </si>
  <si>
    <t>Date</t>
  </si>
  <si>
    <t>Recorded OH Depth</t>
  </si>
  <si>
    <t>OH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</si>
</sst>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vertAlign val="superscript"/>
      <sz val="10"/>
      <color rgb="FFFF0000"/>
      <name val="Arial"/>
      <family val="2"/>
    </font>
    <font>
      <b/>
      <sz val="11"/>
      <color theme="1"/>
      <name val="Calibri"/>
      <family val="2"/>
    </font>
    <font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sz val="10"/>
      <color theme="0" tint="-0.34998626667073579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6">
    <xf numFmtId="0" fontId="0" fillId="0" borderId="0"/>
    <xf numFmtId="0" fontId="3" fillId="2" borderId="8" applyNumberFormat="0" applyAlignment="0" applyProtection="0"/>
    <xf numFmtId="0" fontId="4" fillId="3" borderId="8" applyNumberFormat="0" applyAlignment="0" applyProtection="0"/>
    <xf numFmtId="0" fontId="5" fillId="0" borderId="0"/>
    <xf numFmtId="0" fontId="12" fillId="0" borderId="23" applyNumberFormat="0" applyFill="0" applyAlignment="0" applyProtection="0"/>
    <xf numFmtId="9" fontId="18" fillId="0" borderId="0" applyFont="0" applyFill="0" applyBorder="0" applyAlignment="0" applyProtection="0"/>
  </cellStyleXfs>
  <cellXfs count="13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2" fillId="0" borderId="3" xfId="0" applyFont="1" applyBorder="1" applyAlignment="1">
      <alignment horizontal="center"/>
    </xf>
    <xf numFmtId="0" fontId="6" fillId="4" borderId="0" xfId="3" applyFont="1" applyFill="1" applyAlignment="1">
      <alignment wrapText="1"/>
    </xf>
    <xf numFmtId="0" fontId="6" fillId="0" borderId="0" xfId="3" applyFont="1" applyAlignment="1">
      <alignment wrapText="1"/>
    </xf>
    <xf numFmtId="0" fontId="3" fillId="2" borderId="8" xfId="1"/>
    <xf numFmtId="0" fontId="5" fillId="0" borderId="9" xfId="3" applyBorder="1"/>
    <xf numFmtId="1" fontId="5" fillId="4" borderId="10" xfId="3" applyNumberFormat="1" applyFill="1" applyBorder="1"/>
    <xf numFmtId="0" fontId="5" fillId="0" borderId="0" xfId="3"/>
    <xf numFmtId="0" fontId="6" fillId="4" borderId="1" xfId="3" applyFont="1" applyFill="1" applyBorder="1"/>
    <xf numFmtId="0" fontId="5" fillId="0" borderId="1" xfId="3" applyBorder="1"/>
    <xf numFmtId="0" fontId="5" fillId="0" borderId="4" xfId="3" applyBorder="1"/>
    <xf numFmtId="0" fontId="7" fillId="0" borderId="0" xfId="3" applyFont="1"/>
    <xf numFmtId="0" fontId="8" fillId="0" borderId="0" xfId="3" applyFont="1"/>
    <xf numFmtId="1" fontId="9" fillId="0" borderId="0" xfId="3" applyNumberFormat="1" applyFont="1"/>
    <xf numFmtId="0" fontId="5" fillId="0" borderId="0" xfId="3" applyFill="1"/>
    <xf numFmtId="0" fontId="6" fillId="4" borderId="1" xfId="3" applyFont="1" applyFill="1" applyBorder="1" applyAlignment="1">
      <alignment wrapText="1"/>
    </xf>
    <xf numFmtId="0" fontId="6" fillId="0" borderId="0" xfId="3" applyFont="1" applyFill="1" applyAlignment="1">
      <alignment wrapText="1"/>
    </xf>
    <xf numFmtId="1" fontId="5" fillId="0" borderId="0" xfId="3" applyNumberFormat="1" applyFill="1" applyBorder="1"/>
    <xf numFmtId="1" fontId="9" fillId="0" borderId="0" xfId="3" applyNumberFormat="1" applyFont="1" applyFill="1" applyBorder="1"/>
    <xf numFmtId="0" fontId="6" fillId="4" borderId="1" xfId="3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" fontId="1" fillId="0" borderId="13" xfId="0" applyNumberFormat="1" applyFont="1" applyBorder="1" applyAlignment="1">
      <alignment horizontal="center" vertical="center"/>
    </xf>
    <xf numFmtId="0" fontId="3" fillId="2" borderId="8" xfId="1" applyAlignment="1">
      <alignment horizontal="center" vertical="center"/>
    </xf>
    <xf numFmtId="0" fontId="4" fillId="3" borderId="8" xfId="2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5" fillId="0" borderId="18" xfId="3" applyBorder="1"/>
    <xf numFmtId="0" fontId="5" fillId="0" borderId="2" xfId="3" applyBorder="1"/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5" fillId="0" borderId="21" xfId="3" applyBorder="1"/>
    <xf numFmtId="0" fontId="5" fillId="0" borderId="7" xfId="3" applyBorder="1"/>
    <xf numFmtId="0" fontId="5" fillId="0" borderId="6" xfId="3" applyBorder="1"/>
    <xf numFmtId="0" fontId="6" fillId="4" borderId="0" xfId="3" applyFont="1" applyFill="1" applyAlignment="1">
      <alignment horizontal="center" wrapText="1"/>
    </xf>
    <xf numFmtId="0" fontId="1" fillId="0" borderId="2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" fillId="2" borderId="25" xfId="1" applyBorder="1" applyAlignment="1">
      <alignment horizontal="center" vertical="center"/>
    </xf>
    <xf numFmtId="0" fontId="3" fillId="2" borderId="26" xfId="1" applyBorder="1" applyAlignment="1">
      <alignment horizontal="center" vertical="center"/>
    </xf>
    <xf numFmtId="0" fontId="12" fillId="3" borderId="23" xfId="4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2" borderId="8" xfId="1" applyAlignment="1">
      <alignment horizontal="center"/>
    </xf>
    <xf numFmtId="0" fontId="4" fillId="3" borderId="8" xfId="2" applyAlignment="1">
      <alignment horizontal="center"/>
    </xf>
    <xf numFmtId="0" fontId="6" fillId="4" borderId="5" xfId="3" applyFont="1" applyFill="1" applyBorder="1" applyAlignment="1">
      <alignment horizontal="left" wrapText="1"/>
    </xf>
    <xf numFmtId="0" fontId="5" fillId="0" borderId="0" xfId="3" applyAlignment="1">
      <alignment horizontal="left"/>
    </xf>
    <xf numFmtId="1" fontId="4" fillId="3" borderId="8" xfId="2" applyNumberFormat="1"/>
    <xf numFmtId="0" fontId="5" fillId="0" borderId="0" xfId="3" applyAlignment="1">
      <alignment horizontal="center"/>
    </xf>
    <xf numFmtId="0" fontId="12" fillId="3" borderId="23" xfId="4" applyFill="1"/>
    <xf numFmtId="1" fontId="12" fillId="3" borderId="23" xfId="4" applyNumberFormat="1" applyFill="1" applyAlignment="1">
      <alignment horizontal="center"/>
    </xf>
    <xf numFmtId="0" fontId="5" fillId="0" borderId="9" xfId="3" applyFill="1" applyBorder="1"/>
    <xf numFmtId="0" fontId="5" fillId="0" borderId="0" xfId="3" applyFill="1" applyBorder="1"/>
    <xf numFmtId="0" fontId="3" fillId="0" borderId="0" xfId="1" applyFill="1" applyBorder="1"/>
    <xf numFmtId="0" fontId="5" fillId="0" borderId="9" xfId="3" applyBorder="1" applyAlignment="1">
      <alignment horizontal="center"/>
    </xf>
    <xf numFmtId="0" fontId="5" fillId="0" borderId="0" xfId="3" applyBorder="1"/>
    <xf numFmtId="0" fontId="6" fillId="0" borderId="0" xfId="3" applyFont="1" applyFill="1" applyBorder="1"/>
    <xf numFmtId="0" fontId="6" fillId="0" borderId="0" xfId="3" applyFont="1" applyFill="1" applyBorder="1" applyAlignment="1">
      <alignment wrapText="1"/>
    </xf>
    <xf numFmtId="0" fontId="5" fillId="5" borderId="0" xfId="3" applyFill="1"/>
    <xf numFmtId="0" fontId="6" fillId="5" borderId="1" xfId="3" applyFont="1" applyFill="1" applyBorder="1"/>
    <xf numFmtId="0" fontId="3" fillId="5" borderId="8" xfId="1" applyFill="1"/>
    <xf numFmtId="0" fontId="6" fillId="5" borderId="0" xfId="3" applyFont="1" applyFill="1" applyAlignment="1">
      <alignment wrapText="1"/>
    </xf>
    <xf numFmtId="0" fontId="5" fillId="5" borderId="9" xfId="3" applyFill="1" applyBorder="1"/>
    <xf numFmtId="1" fontId="5" fillId="5" borderId="11" xfId="3" applyNumberFormat="1" applyFill="1" applyBorder="1"/>
    <xf numFmtId="164" fontId="5" fillId="5" borderId="12" xfId="3" applyNumberFormat="1" applyFill="1" applyBorder="1"/>
    <xf numFmtId="0" fontId="7" fillId="5" borderId="0" xfId="3" applyFont="1" applyFill="1"/>
    <xf numFmtId="0" fontId="8" fillId="5" borderId="0" xfId="3" applyFont="1" applyFill="1"/>
    <xf numFmtId="1" fontId="9" fillId="5" borderId="0" xfId="3" applyNumberFormat="1" applyFont="1" applyFill="1" applyBorder="1"/>
    <xf numFmtId="1" fontId="9" fillId="5" borderId="0" xfId="3" applyNumberFormat="1" applyFont="1" applyFill="1" applyBorder="1" applyAlignment="1">
      <alignment horizontal="right"/>
    </xf>
    <xf numFmtId="164" fontId="9" fillId="5" borderId="0" xfId="3" applyNumberFormat="1" applyFont="1" applyFill="1" applyBorder="1"/>
    <xf numFmtId="0" fontId="8" fillId="5" borderId="0" xfId="3" applyFont="1" applyFill="1" applyAlignment="1">
      <alignment horizontal="left" vertical="center"/>
    </xf>
    <xf numFmtId="1" fontId="12" fillId="3" borderId="1" xfId="4" applyNumberFormat="1" applyFill="1" applyBorder="1" applyAlignment="1">
      <alignment horizontal="center"/>
    </xf>
    <xf numFmtId="0" fontId="12" fillId="3" borderId="1" xfId="4" applyFill="1" applyBorder="1"/>
    <xf numFmtId="0" fontId="4" fillId="3" borderId="1" xfId="2" applyBorder="1"/>
    <xf numFmtId="1" fontId="12" fillId="3" borderId="23" xfId="4" applyNumberFormat="1" applyFill="1"/>
    <xf numFmtId="1" fontId="12" fillId="3" borderId="1" xfId="4" applyNumberFormat="1" applyFill="1" applyBorder="1"/>
    <xf numFmtId="1" fontId="4" fillId="3" borderId="1" xfId="2" applyNumberFormat="1" applyBorder="1"/>
    <xf numFmtId="0" fontId="13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5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6" fillId="4" borderId="1" xfId="3" applyFont="1" applyFill="1" applyBorder="1" applyAlignment="1">
      <alignment horizont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4" fillId="3" borderId="8" xfId="2"/>
    <xf numFmtId="1" fontId="3" fillId="2" borderId="8" xfId="1" applyNumberFormat="1"/>
    <xf numFmtId="0" fontId="16" fillId="0" borderId="0" xfId="0" applyFont="1"/>
    <xf numFmtId="9" fontId="2" fillId="3" borderId="8" xfId="2" applyNumberFormat="1" applyFont="1" applyAlignment="1">
      <alignment horizontal="center"/>
    </xf>
    <xf numFmtId="9" fontId="2" fillId="3" borderId="25" xfId="2" applyNumberFormat="1" applyFont="1" applyBorder="1" applyAlignment="1">
      <alignment horizontal="center"/>
    </xf>
    <xf numFmtId="0" fontId="12" fillId="3" borderId="23" xfId="4" applyFill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17" fillId="5" borderId="0" xfId="0" applyFont="1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9" fontId="3" fillId="2" borderId="8" xfId="5" applyFont="1" applyFill="1" applyBorder="1" applyAlignment="1">
      <alignment horizontal="center"/>
    </xf>
    <xf numFmtId="0" fontId="1" fillId="0" borderId="29" xfId="0" applyFont="1" applyBorder="1" applyAlignment="1">
      <alignment horizontal="center" wrapText="1"/>
    </xf>
    <xf numFmtId="0" fontId="19" fillId="0" borderId="0" xfId="0" applyFont="1" applyAlignment="1">
      <alignment horizontal="left" vertical="center"/>
    </xf>
    <xf numFmtId="0" fontId="1" fillId="0" borderId="0" xfId="0" applyFont="1" applyBorder="1" applyAlignment="1">
      <alignment horizontal="center" wrapText="1"/>
    </xf>
    <xf numFmtId="0" fontId="4" fillId="3" borderId="8" xfId="2" quotePrefix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5" borderId="0" xfId="3" applyFont="1" applyFill="1" applyAlignment="1">
      <alignment horizontal="center" wrapText="1"/>
    </xf>
    <xf numFmtId="9" fontId="2" fillId="3" borderId="1" xfId="2" applyNumberFormat="1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30" xfId="0" applyFont="1" applyBorder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</cellXfs>
  <cellStyles count="6">
    <cellStyle name="Calculation" xfId="2" builtinId="22"/>
    <cellStyle name="Input" xfId="1" builtinId="20"/>
    <cellStyle name="Linked Cell" xfId="4" builtinId="24"/>
    <cellStyle name="Normal" xfId="0" builtinId="0"/>
    <cellStyle name="Normal 2" xfId="3" xr:uid="{F561BFAE-800E-4FC0-AFEB-E7E4FE702C24}"/>
    <cellStyle name="Percent" xfId="5" builtinId="5"/>
  </cellStyles>
  <dxfs count="26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OTECH/Geotech%20Master%20Files/Geotech%20Master%20Specs/Master%20(Draft)%20Large%20GI-BoQ-Tracker%2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tion A"/>
      <sheetName val="Section B"/>
      <sheetName val="Section C"/>
      <sheetName val="Section D"/>
      <sheetName val="Section E"/>
      <sheetName val="Section F"/>
      <sheetName val="Section G"/>
      <sheetName val="Section H"/>
      <sheetName val="Section I"/>
      <sheetName val="Section J"/>
      <sheetName val="Section K"/>
      <sheetName val="Section L"/>
      <sheetName val="Summary"/>
      <sheetName val="Appendices"/>
      <sheetName val="Log Schedule"/>
    </sheetNames>
    <sheetDataSet>
      <sheetData sheetId="0" refreshError="1"/>
      <sheetData sheetId="1" refreshError="1">
        <row r="2">
          <cell r="K2" t="str">
            <v>BH 1</v>
          </cell>
        </row>
        <row r="3">
          <cell r="K3">
            <v>19</v>
          </cell>
        </row>
        <row r="4">
          <cell r="K4">
            <v>8</v>
          </cell>
        </row>
        <row r="5">
          <cell r="K5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\\sieckafs01\datastore\5157279%20DUNKETTLE%20N40%20ITS\7%20Calcs\71%20Spreadsheets\Geotech%20Working%20Folder\Log%20Tracker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0772-3965-45DF-8139-F1A297F52FB1}">
  <dimension ref="A1:X28"/>
  <sheetViews>
    <sheetView topLeftCell="H7" workbookViewId="0">
      <selection activeCell="S14" sqref="S14"/>
    </sheetView>
  </sheetViews>
  <sheetFormatPr defaultRowHeight="12.75" x14ac:dyDescent="0.2"/>
  <cols>
    <col min="1" max="1" width="10.28515625" style="23" customWidth="1"/>
    <col min="2" max="2" width="8.7109375" style="23" customWidth="1"/>
    <col min="3" max="3" width="3.7109375" style="23" customWidth="1"/>
    <col min="4" max="4" width="11" style="23" customWidth="1"/>
    <col min="5" max="5" width="9.85546875" style="23" customWidth="1"/>
    <col min="6" max="11" width="9.140625" style="23"/>
    <col min="12" max="12" width="10.42578125" style="23" customWidth="1"/>
    <col min="13" max="13" width="10.7109375" style="23" customWidth="1"/>
    <col min="14" max="21" width="9.140625" style="23"/>
    <col min="22" max="22" width="41.5703125" style="73" customWidth="1"/>
    <col min="23" max="23" width="9.140625" style="75"/>
    <col min="24" max="257" width="9.140625" style="23"/>
    <col min="258" max="258" width="10.28515625" style="23" customWidth="1"/>
    <col min="259" max="259" width="8.7109375" style="23" customWidth="1"/>
    <col min="260" max="260" width="3.7109375" style="23" customWidth="1"/>
    <col min="261" max="261" width="8.28515625" style="23" customWidth="1"/>
    <col min="262" max="262" width="9.85546875" style="23" customWidth="1"/>
    <col min="263" max="268" width="9.140625" style="23"/>
    <col min="269" max="269" width="10.42578125" style="23" customWidth="1"/>
    <col min="270" max="270" width="10.7109375" style="23" customWidth="1"/>
    <col min="271" max="513" width="9.140625" style="23"/>
    <col min="514" max="514" width="10.28515625" style="23" customWidth="1"/>
    <col min="515" max="515" width="8.7109375" style="23" customWidth="1"/>
    <col min="516" max="516" width="3.7109375" style="23" customWidth="1"/>
    <col min="517" max="517" width="8.28515625" style="23" customWidth="1"/>
    <col min="518" max="518" width="9.85546875" style="23" customWidth="1"/>
    <col min="519" max="524" width="9.140625" style="23"/>
    <col min="525" max="525" width="10.42578125" style="23" customWidth="1"/>
    <col min="526" max="526" width="10.7109375" style="23" customWidth="1"/>
    <col min="527" max="769" width="9.140625" style="23"/>
    <col min="770" max="770" width="10.28515625" style="23" customWidth="1"/>
    <col min="771" max="771" width="8.7109375" style="23" customWidth="1"/>
    <col min="772" max="772" width="3.7109375" style="23" customWidth="1"/>
    <col min="773" max="773" width="8.28515625" style="23" customWidth="1"/>
    <col min="774" max="774" width="9.85546875" style="23" customWidth="1"/>
    <col min="775" max="780" width="9.140625" style="23"/>
    <col min="781" max="781" width="10.42578125" style="23" customWidth="1"/>
    <col min="782" max="782" width="10.7109375" style="23" customWidth="1"/>
    <col min="783" max="1025" width="9.140625" style="23"/>
    <col min="1026" max="1026" width="10.28515625" style="23" customWidth="1"/>
    <col min="1027" max="1027" width="8.7109375" style="23" customWidth="1"/>
    <col min="1028" max="1028" width="3.7109375" style="23" customWidth="1"/>
    <col min="1029" max="1029" width="8.28515625" style="23" customWidth="1"/>
    <col min="1030" max="1030" width="9.85546875" style="23" customWidth="1"/>
    <col min="1031" max="1036" width="9.140625" style="23"/>
    <col min="1037" max="1037" width="10.42578125" style="23" customWidth="1"/>
    <col min="1038" max="1038" width="10.7109375" style="23" customWidth="1"/>
    <col min="1039" max="1281" width="9.140625" style="23"/>
    <col min="1282" max="1282" width="10.28515625" style="23" customWidth="1"/>
    <col min="1283" max="1283" width="8.7109375" style="23" customWidth="1"/>
    <col min="1284" max="1284" width="3.7109375" style="23" customWidth="1"/>
    <col min="1285" max="1285" width="8.28515625" style="23" customWidth="1"/>
    <col min="1286" max="1286" width="9.85546875" style="23" customWidth="1"/>
    <col min="1287" max="1292" width="9.140625" style="23"/>
    <col min="1293" max="1293" width="10.42578125" style="23" customWidth="1"/>
    <col min="1294" max="1294" width="10.7109375" style="23" customWidth="1"/>
    <col min="1295" max="1537" width="9.140625" style="23"/>
    <col min="1538" max="1538" width="10.28515625" style="23" customWidth="1"/>
    <col min="1539" max="1539" width="8.7109375" style="23" customWidth="1"/>
    <col min="1540" max="1540" width="3.7109375" style="23" customWidth="1"/>
    <col min="1541" max="1541" width="8.28515625" style="23" customWidth="1"/>
    <col min="1542" max="1542" width="9.85546875" style="23" customWidth="1"/>
    <col min="1543" max="1548" width="9.140625" style="23"/>
    <col min="1549" max="1549" width="10.42578125" style="23" customWidth="1"/>
    <col min="1550" max="1550" width="10.7109375" style="23" customWidth="1"/>
    <col min="1551" max="1793" width="9.140625" style="23"/>
    <col min="1794" max="1794" width="10.28515625" style="23" customWidth="1"/>
    <col min="1795" max="1795" width="8.7109375" style="23" customWidth="1"/>
    <col min="1796" max="1796" width="3.7109375" style="23" customWidth="1"/>
    <col min="1797" max="1797" width="8.28515625" style="23" customWidth="1"/>
    <col min="1798" max="1798" width="9.85546875" style="23" customWidth="1"/>
    <col min="1799" max="1804" width="9.140625" style="23"/>
    <col min="1805" max="1805" width="10.42578125" style="23" customWidth="1"/>
    <col min="1806" max="1806" width="10.7109375" style="23" customWidth="1"/>
    <col min="1807" max="2049" width="9.140625" style="23"/>
    <col min="2050" max="2050" width="10.28515625" style="23" customWidth="1"/>
    <col min="2051" max="2051" width="8.7109375" style="23" customWidth="1"/>
    <col min="2052" max="2052" width="3.7109375" style="23" customWidth="1"/>
    <col min="2053" max="2053" width="8.28515625" style="23" customWidth="1"/>
    <col min="2054" max="2054" width="9.85546875" style="23" customWidth="1"/>
    <col min="2055" max="2060" width="9.140625" style="23"/>
    <col min="2061" max="2061" width="10.42578125" style="23" customWidth="1"/>
    <col min="2062" max="2062" width="10.7109375" style="23" customWidth="1"/>
    <col min="2063" max="2305" width="9.140625" style="23"/>
    <col min="2306" max="2306" width="10.28515625" style="23" customWidth="1"/>
    <col min="2307" max="2307" width="8.7109375" style="23" customWidth="1"/>
    <col min="2308" max="2308" width="3.7109375" style="23" customWidth="1"/>
    <col min="2309" max="2309" width="8.28515625" style="23" customWidth="1"/>
    <col min="2310" max="2310" width="9.85546875" style="23" customWidth="1"/>
    <col min="2311" max="2316" width="9.140625" style="23"/>
    <col min="2317" max="2317" width="10.42578125" style="23" customWidth="1"/>
    <col min="2318" max="2318" width="10.7109375" style="23" customWidth="1"/>
    <col min="2319" max="2561" width="9.140625" style="23"/>
    <col min="2562" max="2562" width="10.28515625" style="23" customWidth="1"/>
    <col min="2563" max="2563" width="8.7109375" style="23" customWidth="1"/>
    <col min="2564" max="2564" width="3.7109375" style="23" customWidth="1"/>
    <col min="2565" max="2565" width="8.28515625" style="23" customWidth="1"/>
    <col min="2566" max="2566" width="9.85546875" style="23" customWidth="1"/>
    <col min="2567" max="2572" width="9.140625" style="23"/>
    <col min="2573" max="2573" width="10.42578125" style="23" customWidth="1"/>
    <col min="2574" max="2574" width="10.7109375" style="23" customWidth="1"/>
    <col min="2575" max="2817" width="9.140625" style="23"/>
    <col min="2818" max="2818" width="10.28515625" style="23" customWidth="1"/>
    <col min="2819" max="2819" width="8.7109375" style="23" customWidth="1"/>
    <col min="2820" max="2820" width="3.7109375" style="23" customWidth="1"/>
    <col min="2821" max="2821" width="8.28515625" style="23" customWidth="1"/>
    <col min="2822" max="2822" width="9.85546875" style="23" customWidth="1"/>
    <col min="2823" max="2828" width="9.140625" style="23"/>
    <col min="2829" max="2829" width="10.42578125" style="23" customWidth="1"/>
    <col min="2830" max="2830" width="10.7109375" style="23" customWidth="1"/>
    <col min="2831" max="3073" width="9.140625" style="23"/>
    <col min="3074" max="3074" width="10.28515625" style="23" customWidth="1"/>
    <col min="3075" max="3075" width="8.7109375" style="23" customWidth="1"/>
    <col min="3076" max="3076" width="3.7109375" style="23" customWidth="1"/>
    <col min="3077" max="3077" width="8.28515625" style="23" customWidth="1"/>
    <col min="3078" max="3078" width="9.85546875" style="23" customWidth="1"/>
    <col min="3079" max="3084" width="9.140625" style="23"/>
    <col min="3085" max="3085" width="10.42578125" style="23" customWidth="1"/>
    <col min="3086" max="3086" width="10.7109375" style="23" customWidth="1"/>
    <col min="3087" max="3329" width="9.140625" style="23"/>
    <col min="3330" max="3330" width="10.28515625" style="23" customWidth="1"/>
    <col min="3331" max="3331" width="8.7109375" style="23" customWidth="1"/>
    <col min="3332" max="3332" width="3.7109375" style="23" customWidth="1"/>
    <col min="3333" max="3333" width="8.28515625" style="23" customWidth="1"/>
    <col min="3334" max="3334" width="9.85546875" style="23" customWidth="1"/>
    <col min="3335" max="3340" width="9.140625" style="23"/>
    <col min="3341" max="3341" width="10.42578125" style="23" customWidth="1"/>
    <col min="3342" max="3342" width="10.7109375" style="23" customWidth="1"/>
    <col min="3343" max="3585" width="9.140625" style="23"/>
    <col min="3586" max="3586" width="10.28515625" style="23" customWidth="1"/>
    <col min="3587" max="3587" width="8.7109375" style="23" customWidth="1"/>
    <col min="3588" max="3588" width="3.7109375" style="23" customWidth="1"/>
    <col min="3589" max="3589" width="8.28515625" style="23" customWidth="1"/>
    <col min="3590" max="3590" width="9.85546875" style="23" customWidth="1"/>
    <col min="3591" max="3596" width="9.140625" style="23"/>
    <col min="3597" max="3597" width="10.42578125" style="23" customWidth="1"/>
    <col min="3598" max="3598" width="10.7109375" style="23" customWidth="1"/>
    <col min="3599" max="3841" width="9.140625" style="23"/>
    <col min="3842" max="3842" width="10.28515625" style="23" customWidth="1"/>
    <col min="3843" max="3843" width="8.7109375" style="23" customWidth="1"/>
    <col min="3844" max="3844" width="3.7109375" style="23" customWidth="1"/>
    <col min="3845" max="3845" width="8.28515625" style="23" customWidth="1"/>
    <col min="3846" max="3846" width="9.85546875" style="23" customWidth="1"/>
    <col min="3847" max="3852" width="9.140625" style="23"/>
    <col min="3853" max="3853" width="10.42578125" style="23" customWidth="1"/>
    <col min="3854" max="3854" width="10.7109375" style="23" customWidth="1"/>
    <col min="3855" max="4097" width="9.140625" style="23"/>
    <col min="4098" max="4098" width="10.28515625" style="23" customWidth="1"/>
    <col min="4099" max="4099" width="8.7109375" style="23" customWidth="1"/>
    <col min="4100" max="4100" width="3.7109375" style="23" customWidth="1"/>
    <col min="4101" max="4101" width="8.28515625" style="23" customWidth="1"/>
    <col min="4102" max="4102" width="9.85546875" style="23" customWidth="1"/>
    <col min="4103" max="4108" width="9.140625" style="23"/>
    <col min="4109" max="4109" width="10.42578125" style="23" customWidth="1"/>
    <col min="4110" max="4110" width="10.7109375" style="23" customWidth="1"/>
    <col min="4111" max="4353" width="9.140625" style="23"/>
    <col min="4354" max="4354" width="10.28515625" style="23" customWidth="1"/>
    <col min="4355" max="4355" width="8.7109375" style="23" customWidth="1"/>
    <col min="4356" max="4356" width="3.7109375" style="23" customWidth="1"/>
    <col min="4357" max="4357" width="8.28515625" style="23" customWidth="1"/>
    <col min="4358" max="4358" width="9.85546875" style="23" customWidth="1"/>
    <col min="4359" max="4364" width="9.140625" style="23"/>
    <col min="4365" max="4365" width="10.42578125" style="23" customWidth="1"/>
    <col min="4366" max="4366" width="10.7109375" style="23" customWidth="1"/>
    <col min="4367" max="4609" width="9.140625" style="23"/>
    <col min="4610" max="4610" width="10.28515625" style="23" customWidth="1"/>
    <col min="4611" max="4611" width="8.7109375" style="23" customWidth="1"/>
    <col min="4612" max="4612" width="3.7109375" style="23" customWidth="1"/>
    <col min="4613" max="4613" width="8.28515625" style="23" customWidth="1"/>
    <col min="4614" max="4614" width="9.85546875" style="23" customWidth="1"/>
    <col min="4615" max="4620" width="9.140625" style="23"/>
    <col min="4621" max="4621" width="10.42578125" style="23" customWidth="1"/>
    <col min="4622" max="4622" width="10.7109375" style="23" customWidth="1"/>
    <col min="4623" max="4865" width="9.140625" style="23"/>
    <col min="4866" max="4866" width="10.28515625" style="23" customWidth="1"/>
    <col min="4867" max="4867" width="8.7109375" style="23" customWidth="1"/>
    <col min="4868" max="4868" width="3.7109375" style="23" customWidth="1"/>
    <col min="4869" max="4869" width="8.28515625" style="23" customWidth="1"/>
    <col min="4870" max="4870" width="9.85546875" style="23" customWidth="1"/>
    <col min="4871" max="4876" width="9.140625" style="23"/>
    <col min="4877" max="4877" width="10.42578125" style="23" customWidth="1"/>
    <col min="4878" max="4878" width="10.7109375" style="23" customWidth="1"/>
    <col min="4879" max="5121" width="9.140625" style="23"/>
    <col min="5122" max="5122" width="10.28515625" style="23" customWidth="1"/>
    <col min="5123" max="5123" width="8.7109375" style="23" customWidth="1"/>
    <col min="5124" max="5124" width="3.7109375" style="23" customWidth="1"/>
    <col min="5125" max="5125" width="8.28515625" style="23" customWidth="1"/>
    <col min="5126" max="5126" width="9.85546875" style="23" customWidth="1"/>
    <col min="5127" max="5132" width="9.140625" style="23"/>
    <col min="5133" max="5133" width="10.42578125" style="23" customWidth="1"/>
    <col min="5134" max="5134" width="10.7109375" style="23" customWidth="1"/>
    <col min="5135" max="5377" width="9.140625" style="23"/>
    <col min="5378" max="5378" width="10.28515625" style="23" customWidth="1"/>
    <col min="5379" max="5379" width="8.7109375" style="23" customWidth="1"/>
    <col min="5380" max="5380" width="3.7109375" style="23" customWidth="1"/>
    <col min="5381" max="5381" width="8.28515625" style="23" customWidth="1"/>
    <col min="5382" max="5382" width="9.85546875" style="23" customWidth="1"/>
    <col min="5383" max="5388" width="9.140625" style="23"/>
    <col min="5389" max="5389" width="10.42578125" style="23" customWidth="1"/>
    <col min="5390" max="5390" width="10.7109375" style="23" customWidth="1"/>
    <col min="5391" max="5633" width="9.140625" style="23"/>
    <col min="5634" max="5634" width="10.28515625" style="23" customWidth="1"/>
    <col min="5635" max="5635" width="8.7109375" style="23" customWidth="1"/>
    <col min="5636" max="5636" width="3.7109375" style="23" customWidth="1"/>
    <col min="5637" max="5637" width="8.28515625" style="23" customWidth="1"/>
    <col min="5638" max="5638" width="9.85546875" style="23" customWidth="1"/>
    <col min="5639" max="5644" width="9.140625" style="23"/>
    <col min="5645" max="5645" width="10.42578125" style="23" customWidth="1"/>
    <col min="5646" max="5646" width="10.7109375" style="23" customWidth="1"/>
    <col min="5647" max="5889" width="9.140625" style="23"/>
    <col min="5890" max="5890" width="10.28515625" style="23" customWidth="1"/>
    <col min="5891" max="5891" width="8.7109375" style="23" customWidth="1"/>
    <col min="5892" max="5892" width="3.7109375" style="23" customWidth="1"/>
    <col min="5893" max="5893" width="8.28515625" style="23" customWidth="1"/>
    <col min="5894" max="5894" width="9.85546875" style="23" customWidth="1"/>
    <col min="5895" max="5900" width="9.140625" style="23"/>
    <col min="5901" max="5901" width="10.42578125" style="23" customWidth="1"/>
    <col min="5902" max="5902" width="10.7109375" style="23" customWidth="1"/>
    <col min="5903" max="6145" width="9.140625" style="23"/>
    <col min="6146" max="6146" width="10.28515625" style="23" customWidth="1"/>
    <col min="6147" max="6147" width="8.7109375" style="23" customWidth="1"/>
    <col min="6148" max="6148" width="3.7109375" style="23" customWidth="1"/>
    <col min="6149" max="6149" width="8.28515625" style="23" customWidth="1"/>
    <col min="6150" max="6150" width="9.85546875" style="23" customWidth="1"/>
    <col min="6151" max="6156" width="9.140625" style="23"/>
    <col min="6157" max="6157" width="10.42578125" style="23" customWidth="1"/>
    <col min="6158" max="6158" width="10.7109375" style="23" customWidth="1"/>
    <col min="6159" max="6401" width="9.140625" style="23"/>
    <col min="6402" max="6402" width="10.28515625" style="23" customWidth="1"/>
    <col min="6403" max="6403" width="8.7109375" style="23" customWidth="1"/>
    <col min="6404" max="6404" width="3.7109375" style="23" customWidth="1"/>
    <col min="6405" max="6405" width="8.28515625" style="23" customWidth="1"/>
    <col min="6406" max="6406" width="9.85546875" style="23" customWidth="1"/>
    <col min="6407" max="6412" width="9.140625" style="23"/>
    <col min="6413" max="6413" width="10.42578125" style="23" customWidth="1"/>
    <col min="6414" max="6414" width="10.7109375" style="23" customWidth="1"/>
    <col min="6415" max="6657" width="9.140625" style="23"/>
    <col min="6658" max="6658" width="10.28515625" style="23" customWidth="1"/>
    <col min="6659" max="6659" width="8.7109375" style="23" customWidth="1"/>
    <col min="6660" max="6660" width="3.7109375" style="23" customWidth="1"/>
    <col min="6661" max="6661" width="8.28515625" style="23" customWidth="1"/>
    <col min="6662" max="6662" width="9.85546875" style="23" customWidth="1"/>
    <col min="6663" max="6668" width="9.140625" style="23"/>
    <col min="6669" max="6669" width="10.42578125" style="23" customWidth="1"/>
    <col min="6670" max="6670" width="10.7109375" style="23" customWidth="1"/>
    <col min="6671" max="6913" width="9.140625" style="23"/>
    <col min="6914" max="6914" width="10.28515625" style="23" customWidth="1"/>
    <col min="6915" max="6915" width="8.7109375" style="23" customWidth="1"/>
    <col min="6916" max="6916" width="3.7109375" style="23" customWidth="1"/>
    <col min="6917" max="6917" width="8.28515625" style="23" customWidth="1"/>
    <col min="6918" max="6918" width="9.85546875" style="23" customWidth="1"/>
    <col min="6919" max="6924" width="9.140625" style="23"/>
    <col min="6925" max="6925" width="10.42578125" style="23" customWidth="1"/>
    <col min="6926" max="6926" width="10.7109375" style="23" customWidth="1"/>
    <col min="6927" max="7169" width="9.140625" style="23"/>
    <col min="7170" max="7170" width="10.28515625" style="23" customWidth="1"/>
    <col min="7171" max="7171" width="8.7109375" style="23" customWidth="1"/>
    <col min="7172" max="7172" width="3.7109375" style="23" customWidth="1"/>
    <col min="7173" max="7173" width="8.28515625" style="23" customWidth="1"/>
    <col min="7174" max="7174" width="9.85546875" style="23" customWidth="1"/>
    <col min="7175" max="7180" width="9.140625" style="23"/>
    <col min="7181" max="7181" width="10.42578125" style="23" customWidth="1"/>
    <col min="7182" max="7182" width="10.7109375" style="23" customWidth="1"/>
    <col min="7183" max="7425" width="9.140625" style="23"/>
    <col min="7426" max="7426" width="10.28515625" style="23" customWidth="1"/>
    <col min="7427" max="7427" width="8.7109375" style="23" customWidth="1"/>
    <col min="7428" max="7428" width="3.7109375" style="23" customWidth="1"/>
    <col min="7429" max="7429" width="8.28515625" style="23" customWidth="1"/>
    <col min="7430" max="7430" width="9.85546875" style="23" customWidth="1"/>
    <col min="7431" max="7436" width="9.140625" style="23"/>
    <col min="7437" max="7437" width="10.42578125" style="23" customWidth="1"/>
    <col min="7438" max="7438" width="10.7109375" style="23" customWidth="1"/>
    <col min="7439" max="7681" width="9.140625" style="23"/>
    <col min="7682" max="7682" width="10.28515625" style="23" customWidth="1"/>
    <col min="7683" max="7683" width="8.7109375" style="23" customWidth="1"/>
    <col min="7684" max="7684" width="3.7109375" style="23" customWidth="1"/>
    <col min="7685" max="7685" width="8.28515625" style="23" customWidth="1"/>
    <col min="7686" max="7686" width="9.85546875" style="23" customWidth="1"/>
    <col min="7687" max="7692" width="9.140625" style="23"/>
    <col min="7693" max="7693" width="10.42578125" style="23" customWidth="1"/>
    <col min="7694" max="7694" width="10.7109375" style="23" customWidth="1"/>
    <col min="7695" max="7937" width="9.140625" style="23"/>
    <col min="7938" max="7938" width="10.28515625" style="23" customWidth="1"/>
    <col min="7939" max="7939" width="8.7109375" style="23" customWidth="1"/>
    <col min="7940" max="7940" width="3.7109375" style="23" customWidth="1"/>
    <col min="7941" max="7941" width="8.28515625" style="23" customWidth="1"/>
    <col min="7942" max="7942" width="9.85546875" style="23" customWidth="1"/>
    <col min="7943" max="7948" width="9.140625" style="23"/>
    <col min="7949" max="7949" width="10.42578125" style="23" customWidth="1"/>
    <col min="7950" max="7950" width="10.7109375" style="23" customWidth="1"/>
    <col min="7951" max="8193" width="9.140625" style="23"/>
    <col min="8194" max="8194" width="10.28515625" style="23" customWidth="1"/>
    <col min="8195" max="8195" width="8.7109375" style="23" customWidth="1"/>
    <col min="8196" max="8196" width="3.7109375" style="23" customWidth="1"/>
    <col min="8197" max="8197" width="8.28515625" style="23" customWidth="1"/>
    <col min="8198" max="8198" width="9.85546875" style="23" customWidth="1"/>
    <col min="8199" max="8204" width="9.140625" style="23"/>
    <col min="8205" max="8205" width="10.42578125" style="23" customWidth="1"/>
    <col min="8206" max="8206" width="10.7109375" style="23" customWidth="1"/>
    <col min="8207" max="8449" width="9.140625" style="23"/>
    <col min="8450" max="8450" width="10.28515625" style="23" customWidth="1"/>
    <col min="8451" max="8451" width="8.7109375" style="23" customWidth="1"/>
    <col min="8452" max="8452" width="3.7109375" style="23" customWidth="1"/>
    <col min="8453" max="8453" width="8.28515625" style="23" customWidth="1"/>
    <col min="8454" max="8454" width="9.85546875" style="23" customWidth="1"/>
    <col min="8455" max="8460" width="9.140625" style="23"/>
    <col min="8461" max="8461" width="10.42578125" style="23" customWidth="1"/>
    <col min="8462" max="8462" width="10.7109375" style="23" customWidth="1"/>
    <col min="8463" max="8705" width="9.140625" style="23"/>
    <col min="8706" max="8706" width="10.28515625" style="23" customWidth="1"/>
    <col min="8707" max="8707" width="8.7109375" style="23" customWidth="1"/>
    <col min="8708" max="8708" width="3.7109375" style="23" customWidth="1"/>
    <col min="8709" max="8709" width="8.28515625" style="23" customWidth="1"/>
    <col min="8710" max="8710" width="9.85546875" style="23" customWidth="1"/>
    <col min="8711" max="8716" width="9.140625" style="23"/>
    <col min="8717" max="8717" width="10.42578125" style="23" customWidth="1"/>
    <col min="8718" max="8718" width="10.7109375" style="23" customWidth="1"/>
    <col min="8719" max="8961" width="9.140625" style="23"/>
    <col min="8962" max="8962" width="10.28515625" style="23" customWidth="1"/>
    <col min="8963" max="8963" width="8.7109375" style="23" customWidth="1"/>
    <col min="8964" max="8964" width="3.7109375" style="23" customWidth="1"/>
    <col min="8965" max="8965" width="8.28515625" style="23" customWidth="1"/>
    <col min="8966" max="8966" width="9.85546875" style="23" customWidth="1"/>
    <col min="8967" max="8972" width="9.140625" style="23"/>
    <col min="8973" max="8973" width="10.42578125" style="23" customWidth="1"/>
    <col min="8974" max="8974" width="10.7109375" style="23" customWidth="1"/>
    <col min="8975" max="9217" width="9.140625" style="23"/>
    <col min="9218" max="9218" width="10.28515625" style="23" customWidth="1"/>
    <col min="9219" max="9219" width="8.7109375" style="23" customWidth="1"/>
    <col min="9220" max="9220" width="3.7109375" style="23" customWidth="1"/>
    <col min="9221" max="9221" width="8.28515625" style="23" customWidth="1"/>
    <col min="9222" max="9222" width="9.85546875" style="23" customWidth="1"/>
    <col min="9223" max="9228" width="9.140625" style="23"/>
    <col min="9229" max="9229" width="10.42578125" style="23" customWidth="1"/>
    <col min="9230" max="9230" width="10.7109375" style="23" customWidth="1"/>
    <col min="9231" max="9473" width="9.140625" style="23"/>
    <col min="9474" max="9474" width="10.28515625" style="23" customWidth="1"/>
    <col min="9475" max="9475" width="8.7109375" style="23" customWidth="1"/>
    <col min="9476" max="9476" width="3.7109375" style="23" customWidth="1"/>
    <col min="9477" max="9477" width="8.28515625" style="23" customWidth="1"/>
    <col min="9478" max="9478" width="9.85546875" style="23" customWidth="1"/>
    <col min="9479" max="9484" width="9.140625" style="23"/>
    <col min="9485" max="9485" width="10.42578125" style="23" customWidth="1"/>
    <col min="9486" max="9486" width="10.7109375" style="23" customWidth="1"/>
    <col min="9487" max="9729" width="9.140625" style="23"/>
    <col min="9730" max="9730" width="10.28515625" style="23" customWidth="1"/>
    <col min="9731" max="9731" width="8.7109375" style="23" customWidth="1"/>
    <col min="9732" max="9732" width="3.7109375" style="23" customWidth="1"/>
    <col min="9733" max="9733" width="8.28515625" style="23" customWidth="1"/>
    <col min="9734" max="9734" width="9.85546875" style="23" customWidth="1"/>
    <col min="9735" max="9740" width="9.140625" style="23"/>
    <col min="9741" max="9741" width="10.42578125" style="23" customWidth="1"/>
    <col min="9742" max="9742" width="10.7109375" style="23" customWidth="1"/>
    <col min="9743" max="9985" width="9.140625" style="23"/>
    <col min="9986" max="9986" width="10.28515625" style="23" customWidth="1"/>
    <col min="9987" max="9987" width="8.7109375" style="23" customWidth="1"/>
    <col min="9988" max="9988" width="3.7109375" style="23" customWidth="1"/>
    <col min="9989" max="9989" width="8.28515625" style="23" customWidth="1"/>
    <col min="9990" max="9990" width="9.85546875" style="23" customWidth="1"/>
    <col min="9991" max="9996" width="9.140625" style="23"/>
    <col min="9997" max="9997" width="10.42578125" style="23" customWidth="1"/>
    <col min="9998" max="9998" width="10.7109375" style="23" customWidth="1"/>
    <col min="9999" max="10241" width="9.140625" style="23"/>
    <col min="10242" max="10242" width="10.28515625" style="23" customWidth="1"/>
    <col min="10243" max="10243" width="8.7109375" style="23" customWidth="1"/>
    <col min="10244" max="10244" width="3.7109375" style="23" customWidth="1"/>
    <col min="10245" max="10245" width="8.28515625" style="23" customWidth="1"/>
    <col min="10246" max="10246" width="9.85546875" style="23" customWidth="1"/>
    <col min="10247" max="10252" width="9.140625" style="23"/>
    <col min="10253" max="10253" width="10.42578125" style="23" customWidth="1"/>
    <col min="10254" max="10254" width="10.7109375" style="23" customWidth="1"/>
    <col min="10255" max="10497" width="9.140625" style="23"/>
    <col min="10498" max="10498" width="10.28515625" style="23" customWidth="1"/>
    <col min="10499" max="10499" width="8.7109375" style="23" customWidth="1"/>
    <col min="10500" max="10500" width="3.7109375" style="23" customWidth="1"/>
    <col min="10501" max="10501" width="8.28515625" style="23" customWidth="1"/>
    <col min="10502" max="10502" width="9.85546875" style="23" customWidth="1"/>
    <col min="10503" max="10508" width="9.140625" style="23"/>
    <col min="10509" max="10509" width="10.42578125" style="23" customWidth="1"/>
    <col min="10510" max="10510" width="10.7109375" style="23" customWidth="1"/>
    <col min="10511" max="10753" width="9.140625" style="23"/>
    <col min="10754" max="10754" width="10.28515625" style="23" customWidth="1"/>
    <col min="10755" max="10755" width="8.7109375" style="23" customWidth="1"/>
    <col min="10756" max="10756" width="3.7109375" style="23" customWidth="1"/>
    <col min="10757" max="10757" width="8.28515625" style="23" customWidth="1"/>
    <col min="10758" max="10758" width="9.85546875" style="23" customWidth="1"/>
    <col min="10759" max="10764" width="9.140625" style="23"/>
    <col min="10765" max="10765" width="10.42578125" style="23" customWidth="1"/>
    <col min="10766" max="10766" width="10.7109375" style="23" customWidth="1"/>
    <col min="10767" max="11009" width="9.140625" style="23"/>
    <col min="11010" max="11010" width="10.28515625" style="23" customWidth="1"/>
    <col min="11011" max="11011" width="8.7109375" style="23" customWidth="1"/>
    <col min="11012" max="11012" width="3.7109375" style="23" customWidth="1"/>
    <col min="11013" max="11013" width="8.28515625" style="23" customWidth="1"/>
    <col min="11014" max="11014" width="9.85546875" style="23" customWidth="1"/>
    <col min="11015" max="11020" width="9.140625" style="23"/>
    <col min="11021" max="11021" width="10.42578125" style="23" customWidth="1"/>
    <col min="11022" max="11022" width="10.7109375" style="23" customWidth="1"/>
    <col min="11023" max="11265" width="9.140625" style="23"/>
    <col min="11266" max="11266" width="10.28515625" style="23" customWidth="1"/>
    <col min="11267" max="11267" width="8.7109375" style="23" customWidth="1"/>
    <col min="11268" max="11268" width="3.7109375" style="23" customWidth="1"/>
    <col min="11269" max="11269" width="8.28515625" style="23" customWidth="1"/>
    <col min="11270" max="11270" width="9.85546875" style="23" customWidth="1"/>
    <col min="11271" max="11276" width="9.140625" style="23"/>
    <col min="11277" max="11277" width="10.42578125" style="23" customWidth="1"/>
    <col min="11278" max="11278" width="10.7109375" style="23" customWidth="1"/>
    <col min="11279" max="11521" width="9.140625" style="23"/>
    <col min="11522" max="11522" width="10.28515625" style="23" customWidth="1"/>
    <col min="11523" max="11523" width="8.7109375" style="23" customWidth="1"/>
    <col min="11524" max="11524" width="3.7109375" style="23" customWidth="1"/>
    <col min="11525" max="11525" width="8.28515625" style="23" customWidth="1"/>
    <col min="11526" max="11526" width="9.85546875" style="23" customWidth="1"/>
    <col min="11527" max="11532" width="9.140625" style="23"/>
    <col min="11533" max="11533" width="10.42578125" style="23" customWidth="1"/>
    <col min="11534" max="11534" width="10.7109375" style="23" customWidth="1"/>
    <col min="11535" max="11777" width="9.140625" style="23"/>
    <col min="11778" max="11778" width="10.28515625" style="23" customWidth="1"/>
    <col min="11779" max="11779" width="8.7109375" style="23" customWidth="1"/>
    <col min="11780" max="11780" width="3.7109375" style="23" customWidth="1"/>
    <col min="11781" max="11781" width="8.28515625" style="23" customWidth="1"/>
    <col min="11782" max="11782" width="9.85546875" style="23" customWidth="1"/>
    <col min="11783" max="11788" width="9.140625" style="23"/>
    <col min="11789" max="11789" width="10.42578125" style="23" customWidth="1"/>
    <col min="11790" max="11790" width="10.7109375" style="23" customWidth="1"/>
    <col min="11791" max="12033" width="9.140625" style="23"/>
    <col min="12034" max="12034" width="10.28515625" style="23" customWidth="1"/>
    <col min="12035" max="12035" width="8.7109375" style="23" customWidth="1"/>
    <col min="12036" max="12036" width="3.7109375" style="23" customWidth="1"/>
    <col min="12037" max="12037" width="8.28515625" style="23" customWidth="1"/>
    <col min="12038" max="12038" width="9.85546875" style="23" customWidth="1"/>
    <col min="12039" max="12044" width="9.140625" style="23"/>
    <col min="12045" max="12045" width="10.42578125" style="23" customWidth="1"/>
    <col min="12046" max="12046" width="10.7109375" style="23" customWidth="1"/>
    <col min="12047" max="12289" width="9.140625" style="23"/>
    <col min="12290" max="12290" width="10.28515625" style="23" customWidth="1"/>
    <col min="12291" max="12291" width="8.7109375" style="23" customWidth="1"/>
    <col min="12292" max="12292" width="3.7109375" style="23" customWidth="1"/>
    <col min="12293" max="12293" width="8.28515625" style="23" customWidth="1"/>
    <col min="12294" max="12294" width="9.85546875" style="23" customWidth="1"/>
    <col min="12295" max="12300" width="9.140625" style="23"/>
    <col min="12301" max="12301" width="10.42578125" style="23" customWidth="1"/>
    <col min="12302" max="12302" width="10.7109375" style="23" customWidth="1"/>
    <col min="12303" max="12545" width="9.140625" style="23"/>
    <col min="12546" max="12546" width="10.28515625" style="23" customWidth="1"/>
    <col min="12547" max="12547" width="8.7109375" style="23" customWidth="1"/>
    <col min="12548" max="12548" width="3.7109375" style="23" customWidth="1"/>
    <col min="12549" max="12549" width="8.28515625" style="23" customWidth="1"/>
    <col min="12550" max="12550" width="9.85546875" style="23" customWidth="1"/>
    <col min="12551" max="12556" width="9.140625" style="23"/>
    <col min="12557" max="12557" width="10.42578125" style="23" customWidth="1"/>
    <col min="12558" max="12558" width="10.7109375" style="23" customWidth="1"/>
    <col min="12559" max="12801" width="9.140625" style="23"/>
    <col min="12802" max="12802" width="10.28515625" style="23" customWidth="1"/>
    <col min="12803" max="12803" width="8.7109375" style="23" customWidth="1"/>
    <col min="12804" max="12804" width="3.7109375" style="23" customWidth="1"/>
    <col min="12805" max="12805" width="8.28515625" style="23" customWidth="1"/>
    <col min="12806" max="12806" width="9.85546875" style="23" customWidth="1"/>
    <col min="12807" max="12812" width="9.140625" style="23"/>
    <col min="12813" max="12813" width="10.42578125" style="23" customWidth="1"/>
    <col min="12814" max="12814" width="10.7109375" style="23" customWidth="1"/>
    <col min="12815" max="13057" width="9.140625" style="23"/>
    <col min="13058" max="13058" width="10.28515625" style="23" customWidth="1"/>
    <col min="13059" max="13059" width="8.7109375" style="23" customWidth="1"/>
    <col min="13060" max="13060" width="3.7109375" style="23" customWidth="1"/>
    <col min="13061" max="13061" width="8.28515625" style="23" customWidth="1"/>
    <col min="13062" max="13062" width="9.85546875" style="23" customWidth="1"/>
    <col min="13063" max="13068" width="9.140625" style="23"/>
    <col min="13069" max="13069" width="10.42578125" style="23" customWidth="1"/>
    <col min="13070" max="13070" width="10.7109375" style="23" customWidth="1"/>
    <col min="13071" max="13313" width="9.140625" style="23"/>
    <col min="13314" max="13314" width="10.28515625" style="23" customWidth="1"/>
    <col min="13315" max="13315" width="8.7109375" style="23" customWidth="1"/>
    <col min="13316" max="13316" width="3.7109375" style="23" customWidth="1"/>
    <col min="13317" max="13317" width="8.28515625" style="23" customWidth="1"/>
    <col min="13318" max="13318" width="9.85546875" style="23" customWidth="1"/>
    <col min="13319" max="13324" width="9.140625" style="23"/>
    <col min="13325" max="13325" width="10.42578125" style="23" customWidth="1"/>
    <col min="13326" max="13326" width="10.7109375" style="23" customWidth="1"/>
    <col min="13327" max="13569" width="9.140625" style="23"/>
    <col min="13570" max="13570" width="10.28515625" style="23" customWidth="1"/>
    <col min="13571" max="13571" width="8.7109375" style="23" customWidth="1"/>
    <col min="13572" max="13572" width="3.7109375" style="23" customWidth="1"/>
    <col min="13573" max="13573" width="8.28515625" style="23" customWidth="1"/>
    <col min="13574" max="13574" width="9.85546875" style="23" customWidth="1"/>
    <col min="13575" max="13580" width="9.140625" style="23"/>
    <col min="13581" max="13581" width="10.42578125" style="23" customWidth="1"/>
    <col min="13582" max="13582" width="10.7109375" style="23" customWidth="1"/>
    <col min="13583" max="13825" width="9.140625" style="23"/>
    <col min="13826" max="13826" width="10.28515625" style="23" customWidth="1"/>
    <col min="13827" max="13827" width="8.7109375" style="23" customWidth="1"/>
    <col min="13828" max="13828" width="3.7109375" style="23" customWidth="1"/>
    <col min="13829" max="13829" width="8.28515625" style="23" customWidth="1"/>
    <col min="13830" max="13830" width="9.85546875" style="23" customWidth="1"/>
    <col min="13831" max="13836" width="9.140625" style="23"/>
    <col min="13837" max="13837" width="10.42578125" style="23" customWidth="1"/>
    <col min="13838" max="13838" width="10.7109375" style="23" customWidth="1"/>
    <col min="13839" max="14081" width="9.140625" style="23"/>
    <col min="14082" max="14082" width="10.28515625" style="23" customWidth="1"/>
    <col min="14083" max="14083" width="8.7109375" style="23" customWidth="1"/>
    <col min="14084" max="14084" width="3.7109375" style="23" customWidth="1"/>
    <col min="14085" max="14085" width="8.28515625" style="23" customWidth="1"/>
    <col min="14086" max="14086" width="9.85546875" style="23" customWidth="1"/>
    <col min="14087" max="14092" width="9.140625" style="23"/>
    <col min="14093" max="14093" width="10.42578125" style="23" customWidth="1"/>
    <col min="14094" max="14094" width="10.7109375" style="23" customWidth="1"/>
    <col min="14095" max="14337" width="9.140625" style="23"/>
    <col min="14338" max="14338" width="10.28515625" style="23" customWidth="1"/>
    <col min="14339" max="14339" width="8.7109375" style="23" customWidth="1"/>
    <col min="14340" max="14340" width="3.7109375" style="23" customWidth="1"/>
    <col min="14341" max="14341" width="8.28515625" style="23" customWidth="1"/>
    <col min="14342" max="14342" width="9.85546875" style="23" customWidth="1"/>
    <col min="14343" max="14348" width="9.140625" style="23"/>
    <col min="14349" max="14349" width="10.42578125" style="23" customWidth="1"/>
    <col min="14350" max="14350" width="10.7109375" style="23" customWidth="1"/>
    <col min="14351" max="14593" width="9.140625" style="23"/>
    <col min="14594" max="14594" width="10.28515625" style="23" customWidth="1"/>
    <col min="14595" max="14595" width="8.7109375" style="23" customWidth="1"/>
    <col min="14596" max="14596" width="3.7109375" style="23" customWidth="1"/>
    <col min="14597" max="14597" width="8.28515625" style="23" customWidth="1"/>
    <col min="14598" max="14598" width="9.85546875" style="23" customWidth="1"/>
    <col min="14599" max="14604" width="9.140625" style="23"/>
    <col min="14605" max="14605" width="10.42578125" style="23" customWidth="1"/>
    <col min="14606" max="14606" width="10.7109375" style="23" customWidth="1"/>
    <col min="14607" max="14849" width="9.140625" style="23"/>
    <col min="14850" max="14850" width="10.28515625" style="23" customWidth="1"/>
    <col min="14851" max="14851" width="8.7109375" style="23" customWidth="1"/>
    <col min="14852" max="14852" width="3.7109375" style="23" customWidth="1"/>
    <col min="14853" max="14853" width="8.28515625" style="23" customWidth="1"/>
    <col min="14854" max="14854" width="9.85546875" style="23" customWidth="1"/>
    <col min="14855" max="14860" width="9.140625" style="23"/>
    <col min="14861" max="14861" width="10.42578125" style="23" customWidth="1"/>
    <col min="14862" max="14862" width="10.7109375" style="23" customWidth="1"/>
    <col min="14863" max="15105" width="9.140625" style="23"/>
    <col min="15106" max="15106" width="10.28515625" style="23" customWidth="1"/>
    <col min="15107" max="15107" width="8.7109375" style="23" customWidth="1"/>
    <col min="15108" max="15108" width="3.7109375" style="23" customWidth="1"/>
    <col min="15109" max="15109" width="8.28515625" style="23" customWidth="1"/>
    <col min="15110" max="15110" width="9.85546875" style="23" customWidth="1"/>
    <col min="15111" max="15116" width="9.140625" style="23"/>
    <col min="15117" max="15117" width="10.42578125" style="23" customWidth="1"/>
    <col min="15118" max="15118" width="10.7109375" style="23" customWidth="1"/>
    <col min="15119" max="15361" width="9.140625" style="23"/>
    <col min="15362" max="15362" width="10.28515625" style="23" customWidth="1"/>
    <col min="15363" max="15363" width="8.7109375" style="23" customWidth="1"/>
    <col min="15364" max="15364" width="3.7109375" style="23" customWidth="1"/>
    <col min="15365" max="15365" width="8.28515625" style="23" customWidth="1"/>
    <col min="15366" max="15366" width="9.85546875" style="23" customWidth="1"/>
    <col min="15367" max="15372" width="9.140625" style="23"/>
    <col min="15373" max="15373" width="10.42578125" style="23" customWidth="1"/>
    <col min="15374" max="15374" width="10.7109375" style="23" customWidth="1"/>
    <col min="15375" max="15617" width="9.140625" style="23"/>
    <col min="15618" max="15618" width="10.28515625" style="23" customWidth="1"/>
    <col min="15619" max="15619" width="8.7109375" style="23" customWidth="1"/>
    <col min="15620" max="15620" width="3.7109375" style="23" customWidth="1"/>
    <col min="15621" max="15621" width="8.28515625" style="23" customWidth="1"/>
    <col min="15622" max="15622" width="9.85546875" style="23" customWidth="1"/>
    <col min="15623" max="15628" width="9.140625" style="23"/>
    <col min="15629" max="15629" width="10.42578125" style="23" customWidth="1"/>
    <col min="15630" max="15630" width="10.7109375" style="23" customWidth="1"/>
    <col min="15631" max="15873" width="9.140625" style="23"/>
    <col min="15874" max="15874" width="10.28515625" style="23" customWidth="1"/>
    <col min="15875" max="15875" width="8.7109375" style="23" customWidth="1"/>
    <col min="15876" max="15876" width="3.7109375" style="23" customWidth="1"/>
    <col min="15877" max="15877" width="8.28515625" style="23" customWidth="1"/>
    <col min="15878" max="15878" width="9.85546875" style="23" customWidth="1"/>
    <col min="15879" max="15884" width="9.140625" style="23"/>
    <col min="15885" max="15885" width="10.42578125" style="23" customWidth="1"/>
    <col min="15886" max="15886" width="10.7109375" style="23" customWidth="1"/>
    <col min="15887" max="16129" width="9.140625" style="23"/>
    <col min="16130" max="16130" width="10.28515625" style="23" customWidth="1"/>
    <col min="16131" max="16131" width="8.7109375" style="23" customWidth="1"/>
    <col min="16132" max="16132" width="3.7109375" style="23" customWidth="1"/>
    <col min="16133" max="16133" width="8.28515625" style="23" customWidth="1"/>
    <col min="16134" max="16134" width="9.85546875" style="23" customWidth="1"/>
    <col min="16135" max="16140" width="9.140625" style="23"/>
    <col min="16141" max="16141" width="10.42578125" style="23" customWidth="1"/>
    <col min="16142" max="16142" width="10.7109375" style="23" customWidth="1"/>
    <col min="16143" max="16384" width="9.140625" style="23"/>
  </cols>
  <sheetData>
    <row r="1" spans="1:24" s="19" customFormat="1" ht="25.5" x14ac:dyDescent="0.2">
      <c r="A1" s="18" t="s">
        <v>9</v>
      </c>
      <c r="B1" s="59" t="s">
        <v>75</v>
      </c>
      <c r="C1" s="32"/>
      <c r="D1" s="18" t="s">
        <v>11</v>
      </c>
      <c r="E1" s="18" t="s">
        <v>12</v>
      </c>
      <c r="F1" s="18" t="s">
        <v>13</v>
      </c>
      <c r="G1" s="18" t="s">
        <v>14</v>
      </c>
      <c r="L1" s="31" t="s">
        <v>60</v>
      </c>
      <c r="M1" s="31" t="s">
        <v>9</v>
      </c>
      <c r="N1" s="31" t="s">
        <v>41</v>
      </c>
      <c r="O1" s="31" t="s">
        <v>15</v>
      </c>
      <c r="P1" s="31" t="s">
        <v>16</v>
      </c>
      <c r="Q1" s="31" t="s">
        <v>17</v>
      </c>
      <c r="V1" s="72" t="s">
        <v>33</v>
      </c>
      <c r="W1" s="35" t="s">
        <v>0</v>
      </c>
      <c r="X1" s="23"/>
    </row>
    <row r="2" spans="1:24" ht="15.75" thickBot="1" x14ac:dyDescent="0.3">
      <c r="A2" s="76">
        <f>M2</f>
        <v>3</v>
      </c>
      <c r="B2" s="77">
        <f>N2</f>
        <v>19</v>
      </c>
      <c r="C2" s="78"/>
      <c r="D2" s="21">
        <v>1</v>
      </c>
      <c r="E2" s="21">
        <v>1</v>
      </c>
      <c r="F2" s="22">
        <f>($B2/D2)</f>
        <v>19</v>
      </c>
      <c r="G2" s="22">
        <f>($B2/E2)</f>
        <v>19</v>
      </c>
      <c r="L2" s="24" t="s">
        <v>0</v>
      </c>
      <c r="M2" s="99">
        <f>'Log Tracker'!E28</f>
        <v>3</v>
      </c>
      <c r="N2" s="102">
        <f>'Log Tracker'!G28</f>
        <v>19</v>
      </c>
      <c r="O2" s="102">
        <f>'Log Tracker'!H28</f>
        <v>19</v>
      </c>
      <c r="P2" s="102">
        <f>'Log Tracker'!I28</f>
        <v>0</v>
      </c>
      <c r="Q2" s="102">
        <f>'Log Tracker'!J28</f>
        <v>0</v>
      </c>
      <c r="V2" s="104" t="s">
        <v>78</v>
      </c>
      <c r="W2" s="98">
        <f>'Lab Schedules'!L4</f>
        <v>0</v>
      </c>
    </row>
    <row r="3" spans="1:24" ht="15.75" thickTop="1" x14ac:dyDescent="0.25">
      <c r="B3" s="28"/>
      <c r="C3" s="28"/>
      <c r="E3" s="27" t="s">
        <v>0</v>
      </c>
      <c r="F3" s="29">
        <f>F2</f>
        <v>19</v>
      </c>
      <c r="G3" s="29">
        <f>G2</f>
        <v>19</v>
      </c>
      <c r="N3" s="30"/>
      <c r="O3" s="30"/>
      <c r="V3" s="104" t="s">
        <v>79</v>
      </c>
      <c r="W3" s="98">
        <f>'Lab Schedules'!L5</f>
        <v>0</v>
      </c>
    </row>
    <row r="4" spans="1:24" ht="15" x14ac:dyDescent="0.25">
      <c r="A4" s="80"/>
      <c r="B4" s="79"/>
      <c r="C4" s="79"/>
      <c r="D4" s="80"/>
      <c r="E4" s="79"/>
      <c r="F4" s="79"/>
      <c r="G4" s="33"/>
      <c r="H4" s="33"/>
      <c r="V4" s="104" t="s">
        <v>80</v>
      </c>
      <c r="W4" s="98">
        <f>'Lab Schedules'!L6</f>
        <v>0</v>
      </c>
    </row>
    <row r="5" spans="1:24" ht="15" x14ac:dyDescent="0.25">
      <c r="A5" s="79"/>
      <c r="B5" s="79"/>
      <c r="C5" s="79"/>
      <c r="D5" s="80"/>
      <c r="E5" s="79"/>
      <c r="F5" s="79"/>
      <c r="G5" s="33"/>
      <c r="H5" s="33"/>
      <c r="V5" s="105" t="s">
        <v>81</v>
      </c>
      <c r="W5" s="98">
        <f>'Lab Schedules'!L7</f>
        <v>0</v>
      </c>
    </row>
    <row r="6" spans="1:24" ht="25.5" customHeight="1" x14ac:dyDescent="0.25">
      <c r="H6" s="33"/>
      <c r="P6" s="32"/>
      <c r="Q6" s="32"/>
      <c r="R6" s="32"/>
      <c r="V6" s="105" t="s">
        <v>82</v>
      </c>
      <c r="W6" s="98">
        <f>'Lab Schedules'!L8</f>
        <v>0</v>
      </c>
    </row>
    <row r="7" spans="1:24" ht="28.5" customHeight="1" x14ac:dyDescent="0.25">
      <c r="A7" s="18" t="s">
        <v>9</v>
      </c>
      <c r="B7" s="59" t="s">
        <v>75</v>
      </c>
      <c r="C7" s="32"/>
      <c r="D7" s="18" t="s">
        <v>104</v>
      </c>
      <c r="E7" s="18" t="s">
        <v>105</v>
      </c>
      <c r="F7" s="18" t="s">
        <v>20</v>
      </c>
      <c r="G7" s="18" t="s">
        <v>21</v>
      </c>
      <c r="H7" s="33"/>
      <c r="L7" s="84"/>
      <c r="M7" s="31" t="s">
        <v>22</v>
      </c>
      <c r="N7" s="31" t="s">
        <v>41</v>
      </c>
      <c r="O7" s="31" t="s">
        <v>70</v>
      </c>
      <c r="P7" s="31" t="s">
        <v>15</v>
      </c>
      <c r="Q7" s="31" t="s">
        <v>16</v>
      </c>
      <c r="R7" s="31" t="s">
        <v>17</v>
      </c>
      <c r="V7" s="105" t="s">
        <v>83</v>
      </c>
      <c r="W7" s="98">
        <f>'Lab Schedules'!L9</f>
        <v>0</v>
      </c>
    </row>
    <row r="8" spans="1:24" ht="15.75" thickBot="1" x14ac:dyDescent="0.3">
      <c r="A8" s="76">
        <f>'Log Tracker'!E28</f>
        <v>3</v>
      </c>
      <c r="B8" s="101">
        <f>'Log Tracker'!G28</f>
        <v>19</v>
      </c>
      <c r="C8" s="78"/>
      <c r="D8" s="81"/>
      <c r="E8" s="81"/>
      <c r="F8" s="113"/>
      <c r="G8" s="113"/>
      <c r="H8" s="82"/>
      <c r="L8" s="83"/>
      <c r="M8" s="99">
        <f>'Log Tracker'!S28</f>
        <v>3</v>
      </c>
      <c r="N8" s="102">
        <f>'Log Tracker'!M28</f>
        <v>25</v>
      </c>
      <c r="O8" s="102">
        <f>'Log Tracker'!N28</f>
        <v>6</v>
      </c>
      <c r="P8" s="102">
        <f>'Log Tracker'!O28</f>
        <v>4</v>
      </c>
      <c r="Q8" s="102">
        <f>'Log Tracker'!P28</f>
        <v>2</v>
      </c>
      <c r="R8" s="102">
        <f>'Log Tracker'!Q28</f>
        <v>0</v>
      </c>
      <c r="V8" s="104" t="s">
        <v>84</v>
      </c>
      <c r="W8" s="98">
        <f>'Lab Schedules'!L10</f>
        <v>0</v>
      </c>
    </row>
    <row r="9" spans="1:24" ht="15.75" thickTop="1" x14ac:dyDescent="0.25">
      <c r="B9" s="30"/>
      <c r="C9" s="30"/>
      <c r="E9" s="27" t="s">
        <v>0</v>
      </c>
      <c r="F9" s="29">
        <f>F8</f>
        <v>0</v>
      </c>
      <c r="G9" s="74">
        <f>G8</f>
        <v>0</v>
      </c>
      <c r="H9" s="82"/>
      <c r="N9" s="30"/>
      <c r="O9" s="30"/>
      <c r="V9" s="104" t="s">
        <v>85</v>
      </c>
      <c r="W9" s="98">
        <f>'Lab Schedules'!L11</f>
        <v>0</v>
      </c>
    </row>
    <row r="10" spans="1:24" ht="15" x14ac:dyDescent="0.25">
      <c r="V10" s="104" t="s">
        <v>86</v>
      </c>
      <c r="W10" s="98">
        <f>'Lab Schedules'!L12</f>
        <v>0</v>
      </c>
    </row>
    <row r="11" spans="1:24" ht="15" x14ac:dyDescent="0.25">
      <c r="R11" s="32"/>
      <c r="S11" s="32"/>
      <c r="V11" s="104" t="s">
        <v>87</v>
      </c>
      <c r="W11" s="98">
        <f>'Lab Schedules'!L13</f>
        <v>0</v>
      </c>
    </row>
    <row r="12" spans="1:24" ht="51.75" x14ac:dyDescent="0.25">
      <c r="A12" s="31" t="s">
        <v>23</v>
      </c>
      <c r="B12" s="109" t="s">
        <v>75</v>
      </c>
      <c r="C12" s="31"/>
      <c r="D12" s="31" t="s">
        <v>24</v>
      </c>
      <c r="E12" s="31" t="s">
        <v>25</v>
      </c>
      <c r="F12" s="31" t="s">
        <v>26</v>
      </c>
      <c r="G12" s="31" t="s">
        <v>27</v>
      </c>
      <c r="H12" s="31" t="s">
        <v>28</v>
      </c>
      <c r="I12" s="31" t="s">
        <v>29</v>
      </c>
      <c r="L12" s="84"/>
      <c r="M12" s="31" t="s">
        <v>30</v>
      </c>
      <c r="N12" s="31" t="s">
        <v>41</v>
      </c>
      <c r="O12" s="31" t="s">
        <v>31</v>
      </c>
      <c r="P12" s="31" t="s">
        <v>32</v>
      </c>
      <c r="V12" s="105" t="s">
        <v>88</v>
      </c>
      <c r="W12" s="98">
        <f>'Lab Schedules'!L14</f>
        <v>0</v>
      </c>
    </row>
    <row r="13" spans="1:24" ht="30" x14ac:dyDescent="0.25">
      <c r="A13" s="99">
        <f>'Log Tracker'!E46</f>
        <v>1</v>
      </c>
      <c r="B13" s="112">
        <f>'Log Tracker'!G46</f>
        <v>2.8</v>
      </c>
      <c r="C13" s="25"/>
      <c r="D13" s="20">
        <v>1</v>
      </c>
      <c r="E13" s="20">
        <v>1</v>
      </c>
      <c r="F13" s="20">
        <v>10</v>
      </c>
      <c r="G13" s="74">
        <f>(B13/D13)</f>
        <v>2.8</v>
      </c>
      <c r="H13" s="74">
        <f>(B13/E13)</f>
        <v>2.8</v>
      </c>
      <c r="I13" s="74">
        <f>(B13/F13)</f>
        <v>0.27999999999999997</v>
      </c>
      <c r="J13" s="27" t="s">
        <v>0</v>
      </c>
      <c r="L13" s="83"/>
      <c r="M13" s="100">
        <f>'Log Tracker'!E46</f>
        <v>1</v>
      </c>
      <c r="N13" s="103">
        <f>'Log Tracker'!G46</f>
        <v>2.8</v>
      </c>
      <c r="O13" s="103">
        <f>'Log Tracker'!H46</f>
        <v>2.8</v>
      </c>
      <c r="P13" s="103">
        <f>'Log Tracker'!I46</f>
        <v>0</v>
      </c>
      <c r="V13" s="105" t="s">
        <v>89</v>
      </c>
      <c r="W13" s="98">
        <f>'Lab Schedules'!L15</f>
        <v>0</v>
      </c>
    </row>
    <row r="14" spans="1:24" ht="30" x14ac:dyDescent="0.25">
      <c r="B14" s="28"/>
      <c r="C14" s="28"/>
      <c r="L14" s="83"/>
      <c r="M14" s="80"/>
      <c r="N14" s="80"/>
      <c r="O14" s="80"/>
      <c r="P14" s="84"/>
      <c r="Q14" s="84"/>
      <c r="V14" s="105" t="s">
        <v>90</v>
      </c>
      <c r="W14" s="98">
        <f>'Lab Schedules'!L16</f>
        <v>0</v>
      </c>
    </row>
    <row r="15" spans="1:24" ht="30" x14ac:dyDescent="0.25">
      <c r="L15" s="83"/>
      <c r="M15" s="79"/>
      <c r="N15" s="79"/>
      <c r="O15" s="79"/>
      <c r="P15" s="79"/>
      <c r="Q15" s="79"/>
      <c r="V15" s="105" t="s">
        <v>91</v>
      </c>
      <c r="W15" s="98">
        <f>'Lab Schedules'!L17</f>
        <v>0</v>
      </c>
    </row>
    <row r="16" spans="1:24" ht="25.5" x14ac:dyDescent="0.25">
      <c r="A16" s="79"/>
      <c r="B16" s="79"/>
      <c r="C16" s="79"/>
      <c r="D16" s="80"/>
      <c r="E16" s="79"/>
      <c r="F16" s="79"/>
      <c r="G16" s="33"/>
      <c r="H16" s="33"/>
      <c r="V16" s="108" t="s">
        <v>92</v>
      </c>
      <c r="W16" s="98">
        <f>'Lab Schedules'!L18</f>
        <v>0</v>
      </c>
    </row>
    <row r="17" spans="1:24" ht="30" x14ac:dyDescent="0.25">
      <c r="A17" s="80"/>
      <c r="B17" s="79"/>
      <c r="C17" s="79"/>
      <c r="D17" s="80"/>
      <c r="E17" s="79"/>
      <c r="F17" s="79"/>
      <c r="G17" s="33"/>
      <c r="H17" s="33"/>
      <c r="N17" s="30"/>
      <c r="O17" s="30"/>
      <c r="V17" s="105" t="s">
        <v>99</v>
      </c>
      <c r="W17" s="98">
        <f>'Lab Schedules'!L19</f>
        <v>0</v>
      </c>
    </row>
    <row r="18" spans="1:24" ht="45" x14ac:dyDescent="0.25">
      <c r="V18" s="105" t="s">
        <v>100</v>
      </c>
      <c r="W18" s="98">
        <f>'Lab Schedules'!L20</f>
        <v>0</v>
      </c>
    </row>
    <row r="19" spans="1:24" ht="45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P19" s="79"/>
      <c r="Q19" s="79"/>
      <c r="R19" s="79"/>
      <c r="S19" s="79"/>
      <c r="V19" s="105" t="s">
        <v>101</v>
      </c>
      <c r="W19" s="98">
        <f>'Lab Schedules'!L21</f>
        <v>0</v>
      </c>
    </row>
    <row r="20" spans="1:24" ht="60" x14ac:dyDescent="0.25">
      <c r="A20" s="86" t="s">
        <v>35</v>
      </c>
      <c r="B20" s="87">
        <v>112</v>
      </c>
      <c r="C20" s="85"/>
      <c r="D20" s="85"/>
      <c r="E20" s="85"/>
      <c r="F20" s="85"/>
      <c r="G20" s="85"/>
      <c r="H20" s="85"/>
      <c r="I20" s="85"/>
      <c r="J20" s="85"/>
      <c r="L20" s="84"/>
      <c r="M20" s="31" t="s">
        <v>34</v>
      </c>
      <c r="N20" s="31" t="s">
        <v>41</v>
      </c>
      <c r="O20" s="31" t="s">
        <v>15</v>
      </c>
      <c r="P20" s="31" t="s">
        <v>16</v>
      </c>
      <c r="Q20" s="31" t="s">
        <v>17</v>
      </c>
      <c r="R20" s="31" t="s">
        <v>18</v>
      </c>
      <c r="V20" s="105" t="s">
        <v>102</v>
      </c>
      <c r="W20" s="98">
        <f>'Lab Schedules'!L22</f>
        <v>0</v>
      </c>
    </row>
    <row r="21" spans="1:24" ht="45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L21" s="83"/>
      <c r="M21" s="100">
        <f>'Log Tracker'!Z28</f>
        <v>3</v>
      </c>
      <c r="N21" s="100">
        <f>'Log Tracker'!U28</f>
        <v>31</v>
      </c>
      <c r="O21" s="100">
        <f>'Log Tracker'!V28</f>
        <v>21</v>
      </c>
      <c r="P21" s="100">
        <f>'Log Tracker'!W28</f>
        <v>10</v>
      </c>
      <c r="Q21" s="100">
        <f>'Log Tracker'!X28</f>
        <v>0</v>
      </c>
      <c r="R21" s="100"/>
      <c r="V21" s="105" t="s">
        <v>103</v>
      </c>
      <c r="W21" s="98">
        <f>'Lab Schedules'!L23</f>
        <v>0</v>
      </c>
    </row>
    <row r="22" spans="1:24" ht="51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30"/>
      <c r="L22" s="83"/>
      <c r="M22" s="80"/>
      <c r="N22" s="80"/>
      <c r="O22" s="80"/>
      <c r="V22" s="108" t="s">
        <v>93</v>
      </c>
      <c r="W22" s="98">
        <f>'Lab Schedules'!L24</f>
        <v>0</v>
      </c>
    </row>
    <row r="23" spans="1:24" s="32" customFormat="1" ht="51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L23" s="83"/>
      <c r="M23" s="28"/>
      <c r="N23" s="23"/>
      <c r="O23" s="23"/>
      <c r="P23" s="23"/>
      <c r="Q23" s="23"/>
      <c r="R23" s="23"/>
      <c r="S23" s="23"/>
      <c r="V23" s="108" t="s">
        <v>94</v>
      </c>
      <c r="W23" s="98">
        <f>'Lab Schedules'!L25</f>
        <v>0</v>
      </c>
      <c r="X23" s="23"/>
    </row>
    <row r="24" spans="1:24" ht="60" x14ac:dyDescent="0.25">
      <c r="A24" s="88" t="s">
        <v>36</v>
      </c>
      <c r="B24" s="127" t="s">
        <v>10</v>
      </c>
      <c r="C24" s="127"/>
      <c r="D24" s="127"/>
      <c r="E24" s="88" t="s">
        <v>37</v>
      </c>
      <c r="F24" s="88" t="s">
        <v>38</v>
      </c>
      <c r="G24" s="88" t="s">
        <v>39</v>
      </c>
      <c r="H24" s="88" t="s">
        <v>40</v>
      </c>
      <c r="I24" s="88" t="s">
        <v>41</v>
      </c>
      <c r="J24" s="85"/>
      <c r="K24" s="33"/>
      <c r="V24" s="105" t="s">
        <v>95</v>
      </c>
      <c r="W24" s="98">
        <f>'Lab Schedules'!L26</f>
        <v>0</v>
      </c>
    </row>
    <row r="25" spans="1:24" ht="60.75" thickBot="1" x14ac:dyDescent="0.3">
      <c r="A25" s="87">
        <v>15</v>
      </c>
      <c r="B25" s="89">
        <v>0</v>
      </c>
      <c r="C25" s="89" t="s">
        <v>19</v>
      </c>
      <c r="D25" s="87">
        <v>1.2</v>
      </c>
      <c r="E25" s="87">
        <v>1</v>
      </c>
      <c r="F25" s="87">
        <v>0.6</v>
      </c>
      <c r="G25" s="90">
        <f>A25*E25</f>
        <v>15</v>
      </c>
      <c r="H25" s="90">
        <f>A25*F25</f>
        <v>9</v>
      </c>
      <c r="I25" s="91">
        <f>A25*D25</f>
        <v>18</v>
      </c>
      <c r="J25" s="85"/>
      <c r="K25" s="34"/>
      <c r="V25" s="105" t="s">
        <v>96</v>
      </c>
      <c r="W25" s="98">
        <f>'Lab Schedules'!L27</f>
        <v>0</v>
      </c>
    </row>
    <row r="26" spans="1:24" ht="15" x14ac:dyDescent="0.25">
      <c r="A26" s="92" t="s">
        <v>0</v>
      </c>
      <c r="B26" s="93">
        <f>A25</f>
        <v>15</v>
      </c>
      <c r="C26" s="93" t="s">
        <v>42</v>
      </c>
      <c r="D26" s="93"/>
      <c r="E26" s="85"/>
      <c r="F26" s="85"/>
      <c r="G26" s="94"/>
      <c r="H26" s="95" t="s">
        <v>43</v>
      </c>
      <c r="I26" s="96">
        <f>G25*H25*I25</f>
        <v>2430</v>
      </c>
      <c r="J26" s="97" t="s">
        <v>44</v>
      </c>
      <c r="V26" s="108" t="s">
        <v>97</v>
      </c>
      <c r="W26" s="98">
        <f>'Lab Schedules'!L28</f>
        <v>0</v>
      </c>
    </row>
    <row r="27" spans="1:24" ht="25.5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N27" s="30"/>
      <c r="O27" s="30"/>
      <c r="V27" s="108" t="s">
        <v>98</v>
      </c>
      <c r="W27" s="98">
        <f>'Lab Schedules'!L29</f>
        <v>0</v>
      </c>
    </row>
    <row r="28" spans="1:24" ht="15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W28"/>
    </row>
  </sheetData>
  <mergeCells count="1">
    <mergeCell ref="B24:D24"/>
  </mergeCell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U175"/>
  <sheetViews>
    <sheetView workbookViewId="0">
      <selection activeCell="C22" sqref="C22"/>
    </sheetView>
  </sheetViews>
  <sheetFormatPr defaultRowHeight="15" x14ac:dyDescent="0.25"/>
  <cols>
    <col min="1" max="1" width="35.42578125" style="2" customWidth="1"/>
    <col min="2" max="2" width="12.140625" style="2" bestFit="1" customWidth="1"/>
    <col min="3" max="3" width="9.85546875" style="2" bestFit="1" customWidth="1"/>
    <col min="4" max="5" width="11" style="2" customWidth="1"/>
    <col min="6" max="6" width="13.140625" customWidth="1"/>
    <col min="7" max="7" width="13.7109375" customWidth="1"/>
    <col min="9" max="9" width="20.140625" customWidth="1"/>
    <col min="10" max="11" width="15.5703125" style="2" customWidth="1"/>
    <col min="12" max="12" width="10.7109375" style="2" customWidth="1"/>
    <col min="13" max="13" width="9.140625" style="2"/>
    <col min="14" max="14" width="9.85546875" style="2" customWidth="1"/>
    <col min="15" max="17" width="9.140625" style="2"/>
    <col min="18" max="18" width="11" customWidth="1"/>
    <col min="19" max="19" width="10.42578125" customWidth="1"/>
    <col min="20" max="20" width="10" customWidth="1"/>
  </cols>
  <sheetData>
    <row r="1" spans="1:47" ht="16.5" customHeight="1" thickTop="1" thickBot="1" x14ac:dyDescent="0.3">
      <c r="A1" s="13"/>
      <c r="B1" s="13"/>
      <c r="C1" s="13" t="s">
        <v>138</v>
      </c>
      <c r="D1" s="13"/>
      <c r="E1" s="13"/>
      <c r="F1" s="14"/>
      <c r="G1" s="14"/>
      <c r="H1" s="14"/>
      <c r="I1" s="14"/>
      <c r="J1" s="130" t="s">
        <v>133</v>
      </c>
      <c r="K1" s="131"/>
      <c r="L1" s="5"/>
      <c r="M1" s="5"/>
      <c r="N1" s="5"/>
      <c r="O1" s="5"/>
      <c r="P1" s="5"/>
      <c r="Q1" s="5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</row>
    <row r="2" spans="1:47" s="1" customFormat="1" ht="16.5" customHeight="1" thickTop="1" thickBot="1" x14ac:dyDescent="0.3">
      <c r="A2" s="15" t="s">
        <v>1</v>
      </c>
      <c r="B2" s="13"/>
      <c r="C2" s="13" t="s">
        <v>139</v>
      </c>
      <c r="D2" s="13"/>
      <c r="E2" s="15"/>
      <c r="F2" s="16"/>
      <c r="G2" s="16"/>
      <c r="H2" s="16"/>
      <c r="I2" s="16"/>
      <c r="J2" s="130"/>
      <c r="K2" s="131"/>
      <c r="L2" s="69" t="s">
        <v>53</v>
      </c>
      <c r="M2" s="7" t="s">
        <v>51</v>
      </c>
      <c r="N2" s="129" t="s">
        <v>117</v>
      </c>
      <c r="O2" s="129"/>
      <c r="P2" s="7"/>
      <c r="Q2" s="7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</row>
    <row r="3" spans="1:47" s="3" customFormat="1" ht="16.5" thickTop="1" thickBot="1" x14ac:dyDescent="0.3">
      <c r="A3" s="17" t="s">
        <v>2</v>
      </c>
      <c r="B3" s="15" t="s">
        <v>3</v>
      </c>
      <c r="C3" s="15" t="s">
        <v>45</v>
      </c>
      <c r="D3" s="15" t="s">
        <v>46</v>
      </c>
      <c r="E3" s="15" t="s">
        <v>47</v>
      </c>
      <c r="F3" s="15" t="s">
        <v>48</v>
      </c>
      <c r="G3" s="15" t="s">
        <v>49</v>
      </c>
      <c r="H3" s="15" t="s">
        <v>50</v>
      </c>
      <c r="I3" s="15" t="s">
        <v>69</v>
      </c>
      <c r="J3" s="122" t="s">
        <v>4</v>
      </c>
      <c r="K3" s="124" t="s">
        <v>137</v>
      </c>
      <c r="L3" s="69" t="s">
        <v>54</v>
      </c>
      <c r="M3" s="7" t="s">
        <v>52</v>
      </c>
      <c r="N3" s="129"/>
      <c r="O3" s="129"/>
      <c r="P3" s="9"/>
      <c r="Q3" s="9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</row>
    <row r="4" spans="1:47" s="3" customFormat="1" ht="15.75" thickTop="1" x14ac:dyDescent="0.25">
      <c r="A4" s="104" t="s">
        <v>78</v>
      </c>
      <c r="B4" s="70">
        <v>1</v>
      </c>
      <c r="C4" s="70"/>
      <c r="D4" s="70"/>
      <c r="E4" s="70"/>
      <c r="F4" s="20"/>
      <c r="G4" s="20"/>
      <c r="H4" s="20"/>
      <c r="I4" s="20"/>
      <c r="J4" s="121">
        <v>1</v>
      </c>
      <c r="K4" s="121">
        <v>1</v>
      </c>
      <c r="L4" s="71">
        <f t="shared" ref="L4:L29" si="0">SUM(C4:I4)</f>
        <v>0</v>
      </c>
      <c r="M4" s="116">
        <f t="shared" ref="M4:M29" si="1">L4/B4</f>
        <v>0</v>
      </c>
      <c r="N4" s="128">
        <f>('Log Tracker'!E28+'Log Tracker'!E46)/('Log Tracker'!C28+'Log Tracker'!C46)</f>
        <v>0.10810810810810811</v>
      </c>
      <c r="O4" s="128"/>
      <c r="P4" s="9"/>
      <c r="Q4" s="9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</row>
    <row r="5" spans="1:47" ht="25.5" x14ac:dyDescent="0.25">
      <c r="A5" s="104" t="s">
        <v>79</v>
      </c>
      <c r="B5" s="70">
        <v>1</v>
      </c>
      <c r="C5" s="70"/>
      <c r="D5" s="70"/>
      <c r="E5" s="70"/>
      <c r="F5" s="20"/>
      <c r="G5" s="20"/>
      <c r="H5" s="20"/>
      <c r="I5" s="20"/>
      <c r="J5" s="121">
        <v>0.25</v>
      </c>
      <c r="K5" s="121">
        <v>0.25</v>
      </c>
      <c r="L5" s="71">
        <f t="shared" si="0"/>
        <v>0</v>
      </c>
      <c r="M5" s="115">
        <f t="shared" si="1"/>
        <v>0</v>
      </c>
      <c r="N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</row>
    <row r="6" spans="1:47" x14ac:dyDescent="0.25">
      <c r="A6" s="104" t="s">
        <v>80</v>
      </c>
      <c r="B6" s="70">
        <v>1</v>
      </c>
      <c r="C6" s="70"/>
      <c r="D6" s="70"/>
      <c r="E6" s="70"/>
      <c r="F6" s="20"/>
      <c r="G6" s="20"/>
      <c r="H6" s="20"/>
      <c r="I6" s="20"/>
      <c r="J6" s="121">
        <v>0.25</v>
      </c>
      <c r="K6" s="121">
        <v>0.25</v>
      </c>
      <c r="L6" s="71">
        <f t="shared" si="0"/>
        <v>0</v>
      </c>
      <c r="M6" s="115">
        <f t="shared" si="1"/>
        <v>0</v>
      </c>
      <c r="N6"/>
      <c r="O6" s="5"/>
      <c r="P6" s="5"/>
      <c r="Q6" s="5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</row>
    <row r="7" spans="1:47" s="4" customFormat="1" x14ac:dyDescent="0.25">
      <c r="A7" s="105" t="s">
        <v>81</v>
      </c>
      <c r="B7" s="70">
        <v>1</v>
      </c>
      <c r="C7" s="70"/>
      <c r="D7" s="70"/>
      <c r="E7" s="70"/>
      <c r="F7" s="20"/>
      <c r="G7" s="20"/>
      <c r="H7" s="20"/>
      <c r="I7" s="20"/>
      <c r="J7" s="121">
        <v>0.25</v>
      </c>
      <c r="K7" s="121">
        <v>0.25</v>
      </c>
      <c r="L7" s="71">
        <f t="shared" si="0"/>
        <v>0</v>
      </c>
      <c r="M7" s="115">
        <f t="shared" si="1"/>
        <v>0</v>
      </c>
      <c r="N7"/>
      <c r="O7" s="11"/>
      <c r="P7" s="11"/>
      <c r="Q7" s="11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</row>
    <row r="8" spans="1:47" s="4" customFormat="1" x14ac:dyDescent="0.25">
      <c r="A8" s="105" t="s">
        <v>82</v>
      </c>
      <c r="B8" s="70">
        <v>1</v>
      </c>
      <c r="C8" s="70"/>
      <c r="D8" s="70"/>
      <c r="E8" s="70"/>
      <c r="F8" s="20"/>
      <c r="G8" s="20"/>
      <c r="H8" s="20"/>
      <c r="I8" s="20"/>
      <c r="J8" s="121"/>
      <c r="K8" s="121"/>
      <c r="L8" s="71">
        <f t="shared" si="0"/>
        <v>0</v>
      </c>
      <c r="M8" s="115">
        <f t="shared" si="1"/>
        <v>0</v>
      </c>
      <c r="N8"/>
      <c r="O8" s="11"/>
      <c r="P8" s="11"/>
      <c r="Q8" s="11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</row>
    <row r="9" spans="1:47" s="4" customFormat="1" ht="30" x14ac:dyDescent="0.25">
      <c r="A9" s="105" t="s">
        <v>83</v>
      </c>
      <c r="B9" s="70">
        <v>1</v>
      </c>
      <c r="C9" s="70"/>
      <c r="D9" s="70"/>
      <c r="E9" s="70"/>
      <c r="F9" s="20"/>
      <c r="G9" s="20"/>
      <c r="H9" s="20"/>
      <c r="I9" s="20"/>
      <c r="J9" s="121"/>
      <c r="K9" s="121"/>
      <c r="L9" s="71">
        <f t="shared" si="0"/>
        <v>0</v>
      </c>
      <c r="M9" s="115">
        <f t="shared" si="1"/>
        <v>0</v>
      </c>
      <c r="N9"/>
      <c r="O9" s="11"/>
      <c r="P9" s="11"/>
      <c r="Q9" s="11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</row>
    <row r="10" spans="1:47" ht="25.5" x14ac:dyDescent="0.25">
      <c r="A10" s="104" t="s">
        <v>84</v>
      </c>
      <c r="B10" s="70">
        <v>1</v>
      </c>
      <c r="C10" s="70"/>
      <c r="D10" s="70"/>
      <c r="E10" s="70"/>
      <c r="F10" s="20"/>
      <c r="G10" s="20"/>
      <c r="H10" s="20"/>
      <c r="I10" s="20"/>
      <c r="J10" s="121"/>
      <c r="K10" s="121"/>
      <c r="L10" s="71">
        <f t="shared" si="0"/>
        <v>0</v>
      </c>
      <c r="M10" s="115">
        <f t="shared" si="1"/>
        <v>0</v>
      </c>
      <c r="N10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</row>
    <row r="11" spans="1:47" x14ac:dyDescent="0.25">
      <c r="A11" s="104" t="s">
        <v>85</v>
      </c>
      <c r="B11" s="70">
        <v>1</v>
      </c>
      <c r="C11" s="70"/>
      <c r="D11" s="70"/>
      <c r="E11" s="70"/>
      <c r="F11" s="20"/>
      <c r="G11" s="20"/>
      <c r="H11" s="20"/>
      <c r="I11" s="20"/>
      <c r="J11" s="121"/>
      <c r="K11" s="121"/>
      <c r="L11" s="71">
        <f t="shared" si="0"/>
        <v>0</v>
      </c>
      <c r="M11" s="115">
        <f t="shared" si="1"/>
        <v>0</v>
      </c>
      <c r="N11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</row>
    <row r="12" spans="1:47" x14ac:dyDescent="0.25">
      <c r="A12" s="104" t="s">
        <v>86</v>
      </c>
      <c r="B12" s="70">
        <v>1</v>
      </c>
      <c r="C12" s="70"/>
      <c r="D12" s="70"/>
      <c r="E12" s="70"/>
      <c r="F12" s="20"/>
      <c r="G12" s="20"/>
      <c r="H12" s="70"/>
      <c r="I12" s="70"/>
      <c r="J12" s="121"/>
      <c r="K12" s="121"/>
      <c r="L12" s="71">
        <f t="shared" si="0"/>
        <v>0</v>
      </c>
      <c r="M12" s="115">
        <f t="shared" si="1"/>
        <v>0</v>
      </c>
      <c r="N12"/>
      <c r="O12" s="5"/>
      <c r="P12" s="5"/>
      <c r="Q12" s="5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</row>
    <row r="13" spans="1:47" x14ac:dyDescent="0.25">
      <c r="A13" s="104" t="s">
        <v>87</v>
      </c>
      <c r="B13" s="70">
        <v>1</v>
      </c>
      <c r="C13" s="70"/>
      <c r="D13" s="70"/>
      <c r="E13" s="70"/>
      <c r="F13" s="20"/>
      <c r="G13" s="20"/>
      <c r="H13" s="70"/>
      <c r="I13" s="70"/>
      <c r="J13" s="121"/>
      <c r="K13" s="121"/>
      <c r="L13" s="71">
        <f t="shared" si="0"/>
        <v>0</v>
      </c>
      <c r="M13" s="115">
        <f t="shared" si="1"/>
        <v>0</v>
      </c>
      <c r="N13"/>
      <c r="O13" s="5"/>
      <c r="P13" s="5"/>
      <c r="Q13" s="5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</row>
    <row r="14" spans="1:47" ht="30" x14ac:dyDescent="0.25">
      <c r="A14" s="105" t="s">
        <v>88</v>
      </c>
      <c r="B14" s="70">
        <v>1</v>
      </c>
      <c r="C14" s="70"/>
      <c r="D14" s="70"/>
      <c r="E14" s="70"/>
      <c r="F14" s="20"/>
      <c r="G14" s="20"/>
      <c r="H14" s="70"/>
      <c r="I14" s="70"/>
      <c r="J14" s="121">
        <v>1</v>
      </c>
      <c r="K14" s="121">
        <v>1</v>
      </c>
      <c r="L14" s="71">
        <f t="shared" si="0"/>
        <v>0</v>
      </c>
      <c r="M14" s="115">
        <f t="shared" si="1"/>
        <v>0</v>
      </c>
      <c r="N14"/>
      <c r="O14" s="5"/>
      <c r="P14" s="5"/>
      <c r="Q14" s="5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</row>
    <row r="15" spans="1:47" ht="30" x14ac:dyDescent="0.25">
      <c r="A15" s="105" t="s">
        <v>89</v>
      </c>
      <c r="B15" s="70">
        <v>1</v>
      </c>
      <c r="C15" s="70"/>
      <c r="D15" s="70"/>
      <c r="E15" s="70"/>
      <c r="F15" s="20"/>
      <c r="G15" s="20"/>
      <c r="H15" s="70"/>
      <c r="I15" s="70"/>
      <c r="J15" s="121"/>
      <c r="K15" s="121"/>
      <c r="L15" s="71">
        <f t="shared" si="0"/>
        <v>0</v>
      </c>
      <c r="M15" s="115">
        <f t="shared" si="1"/>
        <v>0</v>
      </c>
      <c r="N15"/>
      <c r="O15" s="5"/>
      <c r="P15" s="5"/>
      <c r="Q15" s="5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</row>
    <row r="16" spans="1:47" ht="30" x14ac:dyDescent="0.25">
      <c r="A16" s="105" t="s">
        <v>90</v>
      </c>
      <c r="B16" s="70">
        <v>1</v>
      </c>
      <c r="C16" s="70"/>
      <c r="D16" s="70"/>
      <c r="E16" s="70"/>
      <c r="F16" s="20"/>
      <c r="G16" s="20"/>
      <c r="H16" s="70"/>
      <c r="I16" s="70"/>
      <c r="J16" s="121"/>
      <c r="K16" s="121"/>
      <c r="L16" s="71">
        <f t="shared" si="0"/>
        <v>0</v>
      </c>
      <c r="M16" s="115">
        <f t="shared" si="1"/>
        <v>0</v>
      </c>
      <c r="N16"/>
      <c r="O16" s="5"/>
      <c r="P16" s="5"/>
      <c r="Q16" s="5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</row>
    <row r="17" spans="1:47" ht="30" x14ac:dyDescent="0.25">
      <c r="A17" s="105" t="s">
        <v>91</v>
      </c>
      <c r="B17" s="70">
        <v>1</v>
      </c>
      <c r="C17" s="70"/>
      <c r="D17" s="70"/>
      <c r="E17" s="70"/>
      <c r="F17" s="20"/>
      <c r="G17" s="20"/>
      <c r="H17" s="70"/>
      <c r="I17" s="70"/>
      <c r="J17" s="121"/>
      <c r="K17" s="121"/>
      <c r="L17" s="71">
        <f t="shared" si="0"/>
        <v>0</v>
      </c>
      <c r="M17" s="115">
        <f t="shared" si="1"/>
        <v>0</v>
      </c>
      <c r="N17"/>
      <c r="O17" s="5"/>
      <c r="P17" s="5"/>
      <c r="Q17" s="5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</row>
    <row r="18" spans="1:47" ht="25.5" x14ac:dyDescent="0.25">
      <c r="A18" s="108" t="s">
        <v>92</v>
      </c>
      <c r="B18" s="70">
        <v>1</v>
      </c>
      <c r="C18" s="70"/>
      <c r="D18" s="70"/>
      <c r="E18" s="70"/>
      <c r="F18" s="20"/>
      <c r="G18" s="20"/>
      <c r="H18" s="70"/>
      <c r="I18" s="70"/>
      <c r="J18" s="121"/>
      <c r="K18" s="121"/>
      <c r="L18" s="71">
        <f t="shared" si="0"/>
        <v>0</v>
      </c>
      <c r="M18" s="115">
        <f t="shared" si="1"/>
        <v>0</v>
      </c>
      <c r="N18"/>
      <c r="O18" s="5"/>
      <c r="P18" s="5"/>
      <c r="Q18" s="5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</row>
    <row r="19" spans="1:47" ht="30" x14ac:dyDescent="0.25">
      <c r="A19" s="105" t="s">
        <v>99</v>
      </c>
      <c r="B19" s="70">
        <v>1</v>
      </c>
      <c r="C19" s="70"/>
      <c r="D19" s="70"/>
      <c r="E19" s="70"/>
      <c r="F19" s="20"/>
      <c r="G19" s="20"/>
      <c r="H19" s="70"/>
      <c r="I19" s="70"/>
      <c r="J19" s="121"/>
      <c r="K19" s="121"/>
      <c r="L19" s="71">
        <f t="shared" si="0"/>
        <v>0</v>
      </c>
      <c r="M19" s="115">
        <f t="shared" si="1"/>
        <v>0</v>
      </c>
      <c r="N19"/>
      <c r="O19" s="5"/>
      <c r="P19" s="5"/>
      <c r="Q19" s="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</row>
    <row r="20" spans="1:47" ht="60" x14ac:dyDescent="0.25">
      <c r="A20" s="105" t="s">
        <v>100</v>
      </c>
      <c r="B20" s="70">
        <v>1</v>
      </c>
      <c r="C20" s="70"/>
      <c r="D20" s="70"/>
      <c r="E20" s="70"/>
      <c r="F20" s="20"/>
      <c r="G20" s="20"/>
      <c r="H20" s="20"/>
      <c r="I20" s="20"/>
      <c r="J20" s="121"/>
      <c r="K20" s="121"/>
      <c r="L20" s="71">
        <f t="shared" si="0"/>
        <v>0</v>
      </c>
      <c r="M20" s="115">
        <f t="shared" si="1"/>
        <v>0</v>
      </c>
      <c r="N20"/>
      <c r="O20" s="5"/>
      <c r="P20" s="5"/>
      <c r="Q20" s="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</row>
    <row r="21" spans="1:47" ht="60" x14ac:dyDescent="0.25">
      <c r="A21" s="105" t="s">
        <v>101</v>
      </c>
      <c r="B21" s="70">
        <v>1</v>
      </c>
      <c r="C21" s="70"/>
      <c r="D21" s="70"/>
      <c r="E21" s="70"/>
      <c r="F21" s="20"/>
      <c r="G21" s="20"/>
      <c r="H21" s="20"/>
      <c r="I21" s="20"/>
      <c r="J21" s="121"/>
      <c r="K21" s="121"/>
      <c r="L21" s="71">
        <f t="shared" si="0"/>
        <v>0</v>
      </c>
      <c r="M21" s="115">
        <f t="shared" si="1"/>
        <v>0</v>
      </c>
      <c r="N21"/>
      <c r="O21" s="5"/>
      <c r="P21" s="5"/>
      <c r="Q21" s="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</row>
    <row r="22" spans="1:47" ht="75" x14ac:dyDescent="0.25">
      <c r="A22" s="105" t="s">
        <v>102</v>
      </c>
      <c r="B22" s="70">
        <v>1</v>
      </c>
      <c r="C22" s="70"/>
      <c r="D22" s="70"/>
      <c r="E22" s="70"/>
      <c r="F22" s="20"/>
      <c r="G22" s="20"/>
      <c r="H22" s="20"/>
      <c r="I22" s="20"/>
      <c r="J22" s="121"/>
      <c r="K22" s="121"/>
      <c r="L22" s="71">
        <f t="shared" si="0"/>
        <v>0</v>
      </c>
      <c r="M22" s="115">
        <f t="shared" si="1"/>
        <v>0</v>
      </c>
      <c r="N22"/>
      <c r="O22" s="5"/>
      <c r="P22" s="5"/>
      <c r="Q22" s="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</row>
    <row r="23" spans="1:47" ht="45" x14ac:dyDescent="0.25">
      <c r="A23" s="105" t="s">
        <v>103</v>
      </c>
      <c r="B23" s="70">
        <v>1</v>
      </c>
      <c r="C23" s="70"/>
      <c r="D23" s="70"/>
      <c r="E23" s="70"/>
      <c r="F23" s="20"/>
      <c r="G23" s="20"/>
      <c r="H23" s="20"/>
      <c r="I23" s="20"/>
      <c r="J23" s="121"/>
      <c r="K23" s="121"/>
      <c r="L23" s="71">
        <f t="shared" si="0"/>
        <v>0</v>
      </c>
      <c r="M23" s="115">
        <f t="shared" si="1"/>
        <v>0</v>
      </c>
      <c r="N23"/>
      <c r="O23" s="5"/>
      <c r="P23" s="5"/>
      <c r="Q23" s="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</row>
    <row r="24" spans="1:47" ht="51" x14ac:dyDescent="0.25">
      <c r="A24" s="108" t="s">
        <v>93</v>
      </c>
      <c r="B24" s="70">
        <v>1</v>
      </c>
      <c r="C24" s="70"/>
      <c r="D24" s="70"/>
      <c r="E24" s="70"/>
      <c r="F24" s="20"/>
      <c r="G24" s="20"/>
      <c r="H24" s="20"/>
      <c r="I24" s="20"/>
      <c r="J24" s="121"/>
      <c r="K24" s="121"/>
      <c r="L24" s="71">
        <f t="shared" si="0"/>
        <v>0</v>
      </c>
      <c r="M24" s="115">
        <f t="shared" si="1"/>
        <v>0</v>
      </c>
      <c r="N24"/>
      <c r="O24" s="5"/>
      <c r="P24" s="5"/>
      <c r="Q24" s="5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</row>
    <row r="25" spans="1:47" ht="63.75" x14ac:dyDescent="0.25">
      <c r="A25" s="108" t="s">
        <v>94</v>
      </c>
      <c r="B25" s="70">
        <v>1</v>
      </c>
      <c r="C25" s="70"/>
      <c r="D25" s="70"/>
      <c r="E25" s="70"/>
      <c r="F25" s="20"/>
      <c r="G25" s="20"/>
      <c r="H25" s="20"/>
      <c r="I25" s="20"/>
      <c r="J25" s="121"/>
      <c r="K25" s="121"/>
      <c r="L25" s="71">
        <f t="shared" si="0"/>
        <v>0</v>
      </c>
      <c r="M25" s="115">
        <f t="shared" si="1"/>
        <v>0</v>
      </c>
      <c r="N25"/>
      <c r="O25" s="5"/>
      <c r="P25" s="5"/>
      <c r="Q25" s="5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</row>
    <row r="26" spans="1:47" ht="75" x14ac:dyDescent="0.25">
      <c r="A26" s="105" t="s">
        <v>95</v>
      </c>
      <c r="B26" s="70">
        <v>1</v>
      </c>
      <c r="C26" s="70"/>
      <c r="D26" s="70"/>
      <c r="E26" s="70"/>
      <c r="F26" s="20"/>
      <c r="G26" s="20"/>
      <c r="H26" s="20"/>
      <c r="I26" s="20"/>
      <c r="J26" s="121"/>
      <c r="K26" s="121"/>
      <c r="L26" s="71">
        <f t="shared" si="0"/>
        <v>0</v>
      </c>
      <c r="M26" s="115">
        <f t="shared" si="1"/>
        <v>0</v>
      </c>
      <c r="N26"/>
      <c r="O26" s="5"/>
      <c r="P26" s="5"/>
      <c r="Q26" s="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</row>
    <row r="27" spans="1:47" ht="75" x14ac:dyDescent="0.25">
      <c r="A27" s="105" t="s">
        <v>96</v>
      </c>
      <c r="B27" s="70">
        <v>1</v>
      </c>
      <c r="C27" s="70"/>
      <c r="D27" s="70"/>
      <c r="E27" s="70"/>
      <c r="F27" s="20"/>
      <c r="G27" s="20"/>
      <c r="H27" s="20"/>
      <c r="I27" s="20"/>
      <c r="J27" s="121"/>
      <c r="K27" s="121"/>
      <c r="L27" s="71">
        <f t="shared" si="0"/>
        <v>0</v>
      </c>
      <c r="M27" s="115">
        <f t="shared" si="1"/>
        <v>0</v>
      </c>
      <c r="N27"/>
      <c r="O27" s="5"/>
      <c r="P27" s="5"/>
      <c r="Q27" s="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</row>
    <row r="28" spans="1:47" x14ac:dyDescent="0.25">
      <c r="A28" s="108" t="s">
        <v>97</v>
      </c>
      <c r="B28" s="70">
        <v>1</v>
      </c>
      <c r="C28" s="70"/>
      <c r="D28" s="70"/>
      <c r="E28" s="70"/>
      <c r="F28" s="20"/>
      <c r="G28" s="20"/>
      <c r="H28" s="20"/>
      <c r="I28" s="20"/>
      <c r="J28" s="121">
        <v>0.05</v>
      </c>
      <c r="K28" s="121"/>
      <c r="L28" s="71">
        <f t="shared" si="0"/>
        <v>0</v>
      </c>
      <c r="M28" s="115">
        <f t="shared" si="1"/>
        <v>0</v>
      </c>
      <c r="N28"/>
      <c r="O28" s="7"/>
      <c r="P28" s="7"/>
      <c r="Q28" s="7"/>
      <c r="R28" s="7"/>
      <c r="S28" s="7"/>
      <c r="T28" s="7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</row>
    <row r="29" spans="1:47" ht="25.5" x14ac:dyDescent="0.25">
      <c r="A29" s="108" t="s">
        <v>98</v>
      </c>
      <c r="B29" s="70">
        <v>1</v>
      </c>
      <c r="C29" s="70"/>
      <c r="D29" s="70"/>
      <c r="E29" s="70"/>
      <c r="F29" s="20"/>
      <c r="G29" s="20"/>
      <c r="H29" s="20"/>
      <c r="I29" s="20"/>
      <c r="J29" s="121">
        <v>0.05</v>
      </c>
      <c r="K29" s="121"/>
      <c r="L29" s="71">
        <f t="shared" si="0"/>
        <v>0</v>
      </c>
      <c r="M29" s="115">
        <f t="shared" si="1"/>
        <v>0</v>
      </c>
      <c r="N29"/>
      <c r="O29" s="5"/>
      <c r="P29" s="5"/>
      <c r="Q29" s="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</row>
    <row r="30" spans="1:47" x14ac:dyDescent="0.25">
      <c r="B30" s="5"/>
      <c r="C30" s="5"/>
      <c r="D30" s="5"/>
      <c r="E30" s="5"/>
      <c r="F30" s="6"/>
      <c r="G30" s="6"/>
      <c r="H30" s="5"/>
      <c r="I30" s="5"/>
      <c r="J30" s="5"/>
      <c r="K30" s="5"/>
      <c r="L30" s="5"/>
      <c r="M30" s="5"/>
      <c r="N30"/>
      <c r="O30" s="5"/>
      <c r="P30" s="5"/>
      <c r="Q30" s="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</row>
    <row r="31" spans="1:47" x14ac:dyDescent="0.25">
      <c r="B31" s="5"/>
      <c r="C31" s="5"/>
      <c r="D31" s="5"/>
      <c r="E31" s="5"/>
      <c r="F31" s="6"/>
      <c r="G31" s="6"/>
      <c r="H31" s="5"/>
      <c r="I31" s="5"/>
      <c r="J31" s="5"/>
      <c r="K31" s="5"/>
      <c r="L31" s="5"/>
      <c r="M31" s="5"/>
      <c r="N31"/>
      <c r="O31" s="5"/>
      <c r="P31" s="5"/>
      <c r="Q31" s="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</row>
    <row r="32" spans="1:47" x14ac:dyDescent="0.25">
      <c r="B32" s="5"/>
      <c r="C32" s="5"/>
      <c r="D32" s="5"/>
      <c r="E32" s="5"/>
      <c r="F32" s="6"/>
      <c r="G32" s="6"/>
      <c r="H32" s="5"/>
      <c r="I32" s="5"/>
      <c r="J32" s="5"/>
      <c r="K32" s="5"/>
      <c r="L32" s="5"/>
      <c r="M32" s="5"/>
      <c r="N32" s="5"/>
      <c r="O32" s="5"/>
      <c r="P32" s="5"/>
      <c r="Q32" s="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</row>
    <row r="33" spans="2:47" x14ac:dyDescent="0.25">
      <c r="B33" s="5"/>
      <c r="C33" s="5"/>
      <c r="D33" s="5"/>
      <c r="E33" s="5"/>
      <c r="F33" s="6"/>
      <c r="G33" s="11"/>
      <c r="H33" s="5"/>
      <c r="I33" s="5"/>
      <c r="J33" s="5"/>
      <c r="K33" s="5"/>
      <c r="L33" s="5"/>
      <c r="M33" s="5"/>
      <c r="N33" s="5"/>
      <c r="O33" s="5"/>
      <c r="P33" s="5"/>
      <c r="Q33" s="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</row>
    <row r="34" spans="2:47" x14ac:dyDescent="0.25">
      <c r="B34" s="5"/>
      <c r="C34" s="5"/>
      <c r="D34" s="5"/>
      <c r="E34" s="5"/>
      <c r="F34" s="6"/>
      <c r="G34" s="6"/>
      <c r="H34" s="5"/>
      <c r="I34" s="5"/>
      <c r="J34" s="5"/>
      <c r="K34" s="5"/>
      <c r="L34" s="5"/>
      <c r="M34" s="5"/>
      <c r="N34" s="5"/>
      <c r="O34" s="5"/>
      <c r="P34" s="5"/>
      <c r="Q34" s="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</row>
    <row r="35" spans="2:47" x14ac:dyDescent="0.25">
      <c r="B35" s="5"/>
      <c r="C35" s="5"/>
      <c r="D35" s="5"/>
      <c r="E35" s="5"/>
      <c r="F35" s="6"/>
      <c r="G35" s="6"/>
      <c r="H35" s="5"/>
      <c r="I35" s="5"/>
      <c r="J35" s="5"/>
      <c r="K35" s="5"/>
      <c r="L35" s="5"/>
      <c r="M35" s="5"/>
      <c r="N35" s="5"/>
      <c r="O35" s="5"/>
      <c r="P35" s="5"/>
      <c r="Q35" s="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</row>
    <row r="36" spans="2:47" x14ac:dyDescent="0.25">
      <c r="B36" s="5"/>
      <c r="C36" s="5"/>
      <c r="D36" s="5"/>
      <c r="E36" s="5"/>
      <c r="F36" s="6"/>
      <c r="G36" s="6"/>
      <c r="H36" s="5"/>
      <c r="I36" s="5"/>
      <c r="J36" s="5"/>
      <c r="K36" s="5"/>
      <c r="L36" s="5"/>
      <c r="M36" s="5"/>
      <c r="N36" s="5"/>
      <c r="O36" s="5"/>
      <c r="P36" s="5"/>
      <c r="Q36" s="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</row>
    <row r="37" spans="2:47" x14ac:dyDescent="0.25">
      <c r="B37" s="5"/>
      <c r="C37" s="5"/>
      <c r="D37" s="5"/>
      <c r="E37" s="5"/>
      <c r="F37" s="6"/>
      <c r="G37" s="6"/>
      <c r="H37" s="5"/>
      <c r="I37" s="5"/>
      <c r="J37" s="5"/>
      <c r="K37" s="5"/>
      <c r="L37" s="5"/>
      <c r="M37" s="5"/>
      <c r="N37" s="5"/>
      <c r="O37" s="5"/>
      <c r="P37" s="5"/>
      <c r="Q37" s="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</row>
    <row r="38" spans="2:47" x14ac:dyDescent="0.25">
      <c r="B38" s="5"/>
      <c r="C38" s="5"/>
      <c r="D38" s="5"/>
      <c r="E38" s="5"/>
      <c r="F38" s="6"/>
      <c r="G38" s="6"/>
      <c r="H38" s="5"/>
      <c r="I38" s="5"/>
      <c r="J38" s="5"/>
      <c r="K38" s="5"/>
      <c r="L38" s="5"/>
      <c r="M38" s="5"/>
      <c r="N38" s="5"/>
      <c r="O38" s="5"/>
      <c r="P38" s="5"/>
      <c r="Q38" s="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</row>
    <row r="39" spans="2:47" x14ac:dyDescent="0.25">
      <c r="B39" s="5"/>
      <c r="C39" s="5"/>
      <c r="D39" s="5"/>
      <c r="E39" s="5"/>
      <c r="F39" s="6"/>
      <c r="G39" s="11"/>
      <c r="H39" s="5"/>
      <c r="I39" s="5"/>
      <c r="J39" s="5"/>
      <c r="K39" s="5"/>
      <c r="L39" s="5"/>
      <c r="M39" s="5"/>
      <c r="N39" s="5"/>
      <c r="O39" s="5"/>
      <c r="P39" s="5"/>
      <c r="Q39" s="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</row>
    <row r="40" spans="2:47" x14ac:dyDescent="0.25">
      <c r="B40" s="5"/>
      <c r="C40" s="5"/>
      <c r="D40" s="5"/>
      <c r="E40" s="5"/>
      <c r="F40" s="6"/>
      <c r="G40" s="6"/>
      <c r="H40" s="6"/>
      <c r="I40" s="6"/>
      <c r="J40" s="5"/>
      <c r="K40" s="5"/>
      <c r="L40" s="5"/>
      <c r="M40" s="5"/>
      <c r="N40" s="5"/>
      <c r="O40" s="5"/>
      <c r="P40" s="5"/>
      <c r="Q40" s="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</row>
    <row r="41" spans="2:47" x14ac:dyDescent="0.25">
      <c r="B41" s="5"/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</row>
    <row r="42" spans="2:47" x14ac:dyDescent="0.25">
      <c r="B42" s="5"/>
      <c r="C42" s="5"/>
      <c r="D42" s="5"/>
      <c r="E42" s="5"/>
      <c r="F42" s="6"/>
      <c r="G42" s="6"/>
      <c r="H42" s="6"/>
      <c r="I42" s="6"/>
      <c r="J42" s="5"/>
      <c r="K42" s="5"/>
      <c r="L42" s="5"/>
      <c r="M42" s="5"/>
      <c r="N42" s="5"/>
      <c r="O42" s="5"/>
      <c r="P42" s="5"/>
      <c r="Q42" s="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</row>
    <row r="43" spans="2:47" x14ac:dyDescent="0.25">
      <c r="B43" s="5"/>
      <c r="C43" s="5"/>
      <c r="D43" s="5"/>
      <c r="E43" s="5"/>
      <c r="F43" s="6"/>
      <c r="G43" s="6"/>
      <c r="H43" s="6"/>
      <c r="I43" s="6"/>
      <c r="J43" s="5"/>
      <c r="K43" s="5"/>
      <c r="L43" s="5"/>
      <c r="M43" s="5"/>
      <c r="N43" s="5"/>
      <c r="O43" s="5"/>
      <c r="P43" s="5"/>
      <c r="Q43" s="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</row>
    <row r="44" spans="2:47" x14ac:dyDescent="0.25">
      <c r="B44" s="5"/>
      <c r="C44" s="5"/>
      <c r="D44" s="5"/>
      <c r="E44" s="5"/>
      <c r="F44" s="6"/>
      <c r="G44" s="6"/>
      <c r="H44" s="6"/>
      <c r="I44" s="6"/>
      <c r="J44" s="5"/>
      <c r="K44" s="5"/>
      <c r="L44" s="5"/>
      <c r="M44" s="5"/>
      <c r="N44" s="5"/>
      <c r="O44" s="5"/>
      <c r="P44" s="5"/>
      <c r="Q44" s="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</row>
    <row r="45" spans="2:47" x14ac:dyDescent="0.25">
      <c r="B45" s="5"/>
      <c r="C45" s="5"/>
      <c r="D45" s="5"/>
      <c r="E45" s="5"/>
      <c r="F45" s="6"/>
      <c r="G45" s="6"/>
      <c r="H45" s="6"/>
      <c r="I45" s="6"/>
      <c r="J45" s="5"/>
      <c r="K45" s="5"/>
      <c r="L45" s="5"/>
      <c r="M45" s="5"/>
      <c r="N45" s="5"/>
      <c r="O45" s="5"/>
      <c r="P45" s="5"/>
      <c r="Q45" s="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</row>
    <row r="46" spans="2:47" x14ac:dyDescent="0.25">
      <c r="B46" s="5"/>
      <c r="C46" s="5"/>
      <c r="D46" s="5"/>
      <c r="E46" s="5"/>
      <c r="F46" s="6"/>
      <c r="G46" s="6"/>
      <c r="H46" s="6"/>
      <c r="I46" s="6"/>
      <c r="J46" s="5"/>
      <c r="K46" s="5"/>
      <c r="L46" s="5"/>
      <c r="M46" s="5"/>
      <c r="N46" s="5"/>
      <c r="O46" s="5"/>
      <c r="P46" s="5"/>
      <c r="Q46" s="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</row>
    <row r="47" spans="2:47" x14ac:dyDescent="0.25">
      <c r="B47" s="5"/>
      <c r="C47" s="5"/>
      <c r="D47" s="5"/>
      <c r="E47" s="5"/>
      <c r="F47" s="6"/>
      <c r="G47" s="6"/>
      <c r="H47" s="6"/>
      <c r="I47" s="6"/>
      <c r="J47" s="5"/>
      <c r="K47" s="5"/>
      <c r="L47" s="5"/>
      <c r="M47" s="5"/>
      <c r="N47" s="5"/>
      <c r="O47" s="5"/>
      <c r="P47" s="5"/>
      <c r="Q47" s="5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</row>
    <row r="48" spans="2:47" x14ac:dyDescent="0.25">
      <c r="B48" s="5"/>
      <c r="C48" s="5"/>
      <c r="D48" s="5"/>
      <c r="E48" s="5"/>
      <c r="F48" s="6"/>
      <c r="G48" s="6"/>
      <c r="H48" s="6"/>
      <c r="I48" s="6"/>
      <c r="J48" s="5"/>
      <c r="K48" s="5"/>
      <c r="L48" s="5"/>
      <c r="M48" s="5"/>
      <c r="N48" s="5"/>
      <c r="O48" s="5"/>
      <c r="P48" s="5"/>
      <c r="Q48" s="5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</row>
    <row r="49" spans="1:47" x14ac:dyDescent="0.25">
      <c r="B49" s="5"/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</row>
    <row r="50" spans="1:47" x14ac:dyDescent="0.25">
      <c r="B50" s="5"/>
      <c r="C50" s="5"/>
      <c r="D50" s="5"/>
      <c r="E50" s="5"/>
      <c r="F50" s="6"/>
      <c r="G50" s="6"/>
      <c r="H50" s="6"/>
      <c r="I50" s="6"/>
      <c r="J50" s="5"/>
      <c r="K50" s="5"/>
      <c r="L50" s="5"/>
      <c r="M50" s="5"/>
      <c r="N50" s="5"/>
      <c r="O50" s="5"/>
      <c r="P50" s="5"/>
      <c r="Q50" s="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</row>
    <row r="51" spans="1:47" x14ac:dyDescent="0.25">
      <c r="B51" s="5"/>
      <c r="C51" s="5"/>
      <c r="D51" s="5"/>
      <c r="E51" s="5"/>
      <c r="F51" s="6"/>
      <c r="G51" s="6"/>
      <c r="H51" s="6"/>
      <c r="I51" s="6"/>
      <c r="J51" s="5"/>
      <c r="K51" s="5"/>
      <c r="L51" s="5"/>
      <c r="M51" s="5"/>
      <c r="N51" s="5"/>
      <c r="O51" s="5"/>
      <c r="P51" s="5"/>
      <c r="Q51" s="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</row>
    <row r="52" spans="1:47" x14ac:dyDescent="0.25">
      <c r="A52" s="107"/>
      <c r="B52" s="5"/>
      <c r="C52" s="5"/>
      <c r="D52" s="5"/>
      <c r="E52" s="5"/>
      <c r="F52" s="6"/>
      <c r="G52" s="6"/>
      <c r="H52" s="6"/>
      <c r="I52" s="6"/>
      <c r="J52" s="5"/>
      <c r="K52" s="5"/>
      <c r="L52" s="5"/>
      <c r="M52" s="5"/>
      <c r="N52" s="5"/>
      <c r="O52" s="5"/>
      <c r="P52" s="5"/>
      <c r="Q52" s="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</row>
    <row r="53" spans="1:47" x14ac:dyDescent="0.25">
      <c r="A53" s="106"/>
      <c r="B53" s="5"/>
      <c r="C53" s="5"/>
      <c r="D53" s="5"/>
      <c r="E53" s="5"/>
      <c r="F53" s="6"/>
      <c r="G53" s="6"/>
      <c r="H53" s="6"/>
      <c r="I53" s="6"/>
      <c r="J53" s="5"/>
      <c r="K53" s="5"/>
      <c r="L53" s="5"/>
      <c r="M53" s="5"/>
      <c r="N53" s="5"/>
      <c r="O53" s="5"/>
      <c r="P53" s="5"/>
      <c r="Q53" s="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</row>
    <row r="54" spans="1:47" x14ac:dyDescent="0.25">
      <c r="B54" s="5"/>
      <c r="C54" s="5"/>
      <c r="D54" s="5"/>
      <c r="E54" s="5"/>
      <c r="F54" s="6"/>
      <c r="G54" s="6"/>
      <c r="H54" s="6"/>
      <c r="I54" s="6"/>
      <c r="J54" s="5"/>
      <c r="K54" s="5"/>
      <c r="L54" s="5"/>
      <c r="M54" s="5"/>
      <c r="N54" s="5"/>
      <c r="O54" s="5"/>
      <c r="P54" s="5"/>
      <c r="Q54" s="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</row>
    <row r="55" spans="1:47" x14ac:dyDescent="0.25">
      <c r="B55" s="5"/>
      <c r="C55" s="5"/>
      <c r="D55" s="5"/>
      <c r="E55" s="5"/>
      <c r="F55" s="6"/>
      <c r="G55" s="6"/>
      <c r="H55" s="6"/>
      <c r="I55" s="6"/>
      <c r="J55" s="5"/>
      <c r="K55" s="5"/>
      <c r="L55" s="5"/>
      <c r="M55" s="5"/>
      <c r="N55" s="5"/>
      <c r="O55" s="5"/>
      <c r="P55" s="5"/>
      <c r="Q55" s="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</row>
    <row r="56" spans="1:47" x14ac:dyDescent="0.25">
      <c r="B56" s="5"/>
      <c r="C56" s="5"/>
      <c r="D56" s="5"/>
      <c r="E56" s="5"/>
      <c r="F56" s="6"/>
      <c r="G56" s="6"/>
      <c r="H56" s="6"/>
      <c r="I56" s="6"/>
      <c r="J56" s="5"/>
      <c r="K56" s="5"/>
      <c r="L56" s="5"/>
      <c r="M56" s="5"/>
      <c r="N56" s="5"/>
      <c r="O56" s="5"/>
      <c r="P56" s="5"/>
      <c r="Q56" s="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</row>
    <row r="57" spans="1:47" x14ac:dyDescent="0.25">
      <c r="A57" s="105"/>
      <c r="B57" s="5"/>
      <c r="C57" s="5"/>
      <c r="D57" s="5"/>
      <c r="E57" s="5"/>
      <c r="F57" s="6"/>
      <c r="G57" s="6"/>
      <c r="H57" s="6"/>
      <c r="I57" s="6"/>
      <c r="J57" s="5"/>
      <c r="K57" s="5"/>
      <c r="L57" s="5"/>
      <c r="M57" s="5"/>
      <c r="N57" s="5"/>
      <c r="O57" s="5"/>
      <c r="P57" s="5"/>
      <c r="Q57" s="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</row>
    <row r="58" spans="1:47" x14ac:dyDescent="0.25">
      <c r="B58" s="5"/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</row>
    <row r="59" spans="1:47" x14ac:dyDescent="0.25">
      <c r="B59" s="5"/>
      <c r="C59" s="5"/>
      <c r="D59" s="5"/>
      <c r="E59" s="5"/>
      <c r="F59" s="6"/>
      <c r="G59" s="6"/>
      <c r="H59" s="6"/>
      <c r="I59" s="6"/>
      <c r="J59" s="5"/>
      <c r="K59" s="5"/>
      <c r="L59" s="5"/>
      <c r="M59" s="5"/>
      <c r="N59" s="5"/>
      <c r="O59" s="5"/>
      <c r="P59" s="5"/>
      <c r="Q59" s="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</row>
    <row r="60" spans="1:47" x14ac:dyDescent="0.25">
      <c r="B60" s="5"/>
      <c r="C60" s="5"/>
      <c r="D60" s="5"/>
      <c r="E60" s="5"/>
      <c r="F60" s="6"/>
      <c r="G60" s="6"/>
      <c r="H60" s="6"/>
      <c r="I60" s="6"/>
      <c r="J60" s="5"/>
      <c r="K60" s="5"/>
      <c r="L60" s="5"/>
      <c r="M60" s="5"/>
      <c r="N60" s="5"/>
      <c r="O60" s="5"/>
      <c r="P60" s="5"/>
      <c r="Q60" s="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</row>
    <row r="61" spans="1:47" x14ac:dyDescent="0.25">
      <c r="B61" s="5"/>
      <c r="C61" s="5"/>
      <c r="D61" s="5"/>
      <c r="E61" s="5"/>
      <c r="F61" s="6"/>
      <c r="G61" s="6"/>
      <c r="H61" s="6"/>
      <c r="I61" s="6"/>
      <c r="J61" s="5"/>
      <c r="K61" s="5"/>
      <c r="L61" s="5"/>
      <c r="M61" s="5"/>
      <c r="N61" s="5"/>
      <c r="O61" s="5"/>
      <c r="P61" s="5"/>
      <c r="Q61" s="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</row>
    <row r="62" spans="1:47" x14ac:dyDescent="0.25">
      <c r="B62" s="5"/>
      <c r="C62" s="5"/>
      <c r="D62" s="5"/>
      <c r="E62" s="5"/>
      <c r="F62" s="6"/>
      <c r="G62" s="6"/>
      <c r="H62" s="6"/>
      <c r="I62" s="6"/>
      <c r="J62" s="5"/>
      <c r="K62" s="5"/>
      <c r="L62" s="5"/>
      <c r="M62" s="5"/>
      <c r="N62" s="5"/>
      <c r="O62" s="5"/>
      <c r="P62" s="5"/>
      <c r="Q62" s="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</row>
    <row r="63" spans="1:47" x14ac:dyDescent="0.25">
      <c r="B63" s="5"/>
      <c r="C63" s="5"/>
      <c r="D63" s="5"/>
      <c r="E63" s="5"/>
      <c r="F63" s="6"/>
      <c r="G63" s="6"/>
      <c r="H63" s="6"/>
      <c r="I63" s="6"/>
      <c r="J63" s="5"/>
      <c r="K63" s="5"/>
      <c r="L63" s="5"/>
      <c r="M63" s="5"/>
      <c r="N63" s="5"/>
      <c r="O63" s="5"/>
      <c r="P63" s="5"/>
      <c r="Q63" s="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</row>
    <row r="64" spans="1:47" x14ac:dyDescent="0.25">
      <c r="B64" s="5"/>
      <c r="C64" s="5"/>
      <c r="D64" s="5"/>
      <c r="E64" s="5"/>
      <c r="F64" s="6"/>
      <c r="G64" s="6"/>
      <c r="H64" s="6"/>
      <c r="I64" s="6"/>
      <c r="J64" s="5"/>
      <c r="K64" s="5"/>
      <c r="L64" s="5"/>
      <c r="M64" s="5"/>
      <c r="N64" s="5"/>
      <c r="O64" s="5"/>
      <c r="P64" s="5"/>
      <c r="Q64" s="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</row>
    <row r="65" spans="2:47" x14ac:dyDescent="0.25">
      <c r="B65" s="5"/>
      <c r="C65" s="5"/>
      <c r="D65" s="5"/>
      <c r="E65" s="5"/>
      <c r="F65" s="6"/>
      <c r="G65" s="6"/>
      <c r="H65" s="6"/>
      <c r="I65" s="6"/>
      <c r="J65" s="5"/>
      <c r="K65" s="5"/>
      <c r="L65" s="5"/>
      <c r="M65" s="5"/>
      <c r="N65" s="5"/>
      <c r="O65" s="5"/>
      <c r="P65" s="5"/>
      <c r="Q65" s="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</row>
    <row r="66" spans="2:47" x14ac:dyDescent="0.25">
      <c r="B66" s="5"/>
      <c r="C66" s="5"/>
      <c r="D66" s="5"/>
      <c r="E66" s="5"/>
      <c r="F66" s="6"/>
      <c r="G66" s="6"/>
      <c r="H66" s="6"/>
      <c r="I66" s="6"/>
      <c r="J66" s="5"/>
      <c r="K66" s="5"/>
      <c r="L66" s="5"/>
      <c r="M66" s="5"/>
      <c r="N66" s="5"/>
      <c r="O66" s="5"/>
      <c r="P66" s="5"/>
      <c r="Q66" s="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</row>
    <row r="67" spans="2:47" x14ac:dyDescent="0.25">
      <c r="B67" s="5"/>
      <c r="C67" s="5"/>
      <c r="D67" s="5"/>
      <c r="E67" s="5"/>
      <c r="F67" s="6"/>
      <c r="G67" s="6"/>
      <c r="H67" s="6"/>
      <c r="I67" s="6"/>
      <c r="J67" s="5"/>
      <c r="K67" s="5"/>
      <c r="L67" s="5"/>
      <c r="M67" s="5"/>
      <c r="N67" s="5"/>
      <c r="O67" s="5"/>
      <c r="P67" s="5"/>
      <c r="Q67" s="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</row>
    <row r="68" spans="2:47" x14ac:dyDescent="0.25">
      <c r="B68" s="5"/>
      <c r="C68" s="5"/>
      <c r="D68" s="5"/>
      <c r="E68" s="5"/>
      <c r="F68" s="6"/>
      <c r="G68" s="6"/>
      <c r="H68" s="6"/>
      <c r="I68" s="6"/>
      <c r="J68" s="5"/>
      <c r="K68" s="5"/>
      <c r="L68" s="5"/>
      <c r="M68" s="5"/>
      <c r="N68" s="5"/>
      <c r="O68" s="5"/>
      <c r="P68" s="5"/>
      <c r="Q68" s="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</row>
    <row r="69" spans="2:47" x14ac:dyDescent="0.25">
      <c r="B69" s="5"/>
      <c r="C69" s="5"/>
      <c r="D69" s="5"/>
      <c r="E69" s="5"/>
      <c r="F69" s="6"/>
      <c r="G69" s="6"/>
      <c r="H69" s="6"/>
      <c r="I69" s="6"/>
      <c r="J69" s="5"/>
      <c r="K69" s="5"/>
      <c r="L69" s="5"/>
      <c r="M69" s="5"/>
      <c r="N69" s="5"/>
      <c r="O69" s="5"/>
      <c r="P69" s="5"/>
      <c r="Q69" s="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</row>
    <row r="70" spans="2:47" x14ac:dyDescent="0.25">
      <c r="B70" s="5"/>
      <c r="C70" s="5"/>
      <c r="D70" s="5"/>
      <c r="E70" s="5"/>
      <c r="F70" s="6"/>
      <c r="G70" s="6"/>
      <c r="H70" s="6"/>
      <c r="I70" s="6"/>
      <c r="J70" s="5"/>
      <c r="K70" s="5"/>
      <c r="L70" s="5"/>
      <c r="M70" s="5"/>
      <c r="N70" s="5"/>
      <c r="O70" s="5"/>
      <c r="P70" s="5"/>
      <c r="Q70" s="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</row>
    <row r="71" spans="2:47" x14ac:dyDescent="0.25">
      <c r="B71" s="5"/>
      <c r="C71" s="5"/>
      <c r="D71" s="5"/>
      <c r="E71" s="5"/>
      <c r="F71" s="6"/>
      <c r="G71" s="6"/>
      <c r="H71" s="6"/>
      <c r="I71" s="6"/>
      <c r="J71" s="5"/>
      <c r="K71" s="5"/>
      <c r="L71" s="5"/>
      <c r="M71" s="5"/>
      <c r="N71" s="5"/>
      <c r="O71" s="5"/>
      <c r="P71" s="5"/>
      <c r="Q71" s="5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</row>
    <row r="72" spans="2:47" x14ac:dyDescent="0.25">
      <c r="B72" s="5"/>
      <c r="C72" s="5"/>
      <c r="D72" s="5"/>
      <c r="E72" s="5"/>
      <c r="F72" s="6"/>
      <c r="G72" s="6"/>
      <c r="H72" s="6"/>
      <c r="I72" s="6"/>
      <c r="J72" s="5"/>
      <c r="K72" s="5"/>
      <c r="L72" s="5"/>
      <c r="M72" s="5"/>
      <c r="N72" s="5"/>
      <c r="O72" s="5"/>
      <c r="P72" s="5"/>
      <c r="Q72" s="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</row>
    <row r="73" spans="2:47" x14ac:dyDescent="0.25">
      <c r="B73" s="5"/>
      <c r="C73" s="5"/>
      <c r="D73" s="5"/>
      <c r="E73" s="5"/>
      <c r="F73" s="6"/>
      <c r="G73" s="6"/>
      <c r="H73" s="6"/>
      <c r="I73" s="6"/>
      <c r="J73" s="5"/>
      <c r="K73" s="5"/>
      <c r="L73" s="5"/>
      <c r="M73" s="5"/>
      <c r="N73" s="5"/>
      <c r="O73" s="5"/>
      <c r="P73" s="5"/>
      <c r="Q73" s="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</row>
    <row r="74" spans="2:47" x14ac:dyDescent="0.25">
      <c r="B74" s="5"/>
      <c r="C74" s="5"/>
      <c r="D74" s="5"/>
      <c r="E74" s="5"/>
      <c r="F74" s="6"/>
      <c r="G74" s="6"/>
      <c r="H74" s="6"/>
      <c r="I74" s="6"/>
      <c r="J74" s="5"/>
      <c r="K74" s="5"/>
      <c r="L74" s="5"/>
      <c r="M74" s="5"/>
      <c r="N74" s="5"/>
      <c r="O74" s="5"/>
      <c r="P74" s="5"/>
      <c r="Q74" s="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</row>
    <row r="75" spans="2:47" x14ac:dyDescent="0.25">
      <c r="B75" s="5"/>
      <c r="C75" s="5"/>
      <c r="D75" s="5"/>
      <c r="E75" s="5"/>
      <c r="F75" s="6"/>
      <c r="G75" s="6"/>
      <c r="H75" s="6"/>
      <c r="I75" s="6"/>
      <c r="J75" s="5"/>
      <c r="K75" s="5"/>
      <c r="L75" s="5"/>
      <c r="M75" s="5"/>
      <c r="N75" s="5"/>
      <c r="O75" s="5"/>
      <c r="P75" s="5"/>
      <c r="Q75" s="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</row>
    <row r="76" spans="2:47" x14ac:dyDescent="0.25">
      <c r="B76" s="5"/>
      <c r="C76" s="5"/>
      <c r="D76" s="5"/>
      <c r="E76" s="5"/>
      <c r="F76" s="6"/>
      <c r="G76" s="6"/>
      <c r="H76" s="6"/>
      <c r="I76" s="6"/>
      <c r="J76" s="5"/>
      <c r="K76" s="5"/>
      <c r="L76" s="5"/>
      <c r="M76" s="5"/>
      <c r="N76" s="5"/>
      <c r="O76" s="5"/>
      <c r="P76" s="5"/>
      <c r="Q76" s="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</row>
    <row r="77" spans="2:47" x14ac:dyDescent="0.25">
      <c r="B77" s="5"/>
      <c r="C77" s="5"/>
      <c r="D77" s="5"/>
      <c r="E77" s="5"/>
      <c r="F77" s="6"/>
      <c r="G77" s="6"/>
      <c r="H77" s="6"/>
      <c r="I77" s="6"/>
      <c r="J77" s="5"/>
      <c r="K77" s="5"/>
      <c r="L77" s="5"/>
      <c r="M77" s="5"/>
      <c r="N77" s="5"/>
      <c r="O77" s="5"/>
      <c r="P77" s="5"/>
      <c r="Q77" s="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</row>
    <row r="78" spans="2:47" x14ac:dyDescent="0.25">
      <c r="B78" s="5"/>
      <c r="C78" s="5"/>
      <c r="D78" s="5"/>
      <c r="E78" s="5"/>
      <c r="F78" s="6"/>
      <c r="G78" s="6"/>
      <c r="H78" s="6"/>
      <c r="I78" s="6"/>
      <c r="J78" s="5"/>
      <c r="K78" s="5"/>
      <c r="L78" s="5"/>
      <c r="M78" s="5"/>
      <c r="N78" s="5"/>
      <c r="O78" s="5"/>
      <c r="P78" s="5"/>
      <c r="Q78" s="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</row>
    <row r="79" spans="2:47" x14ac:dyDescent="0.25">
      <c r="B79" s="5"/>
      <c r="C79" s="5"/>
      <c r="D79" s="5"/>
      <c r="E79" s="5"/>
      <c r="F79" s="6"/>
      <c r="G79" s="6"/>
      <c r="H79" s="6"/>
      <c r="I79" s="6"/>
      <c r="J79" s="5"/>
      <c r="K79" s="5"/>
      <c r="L79" s="5"/>
      <c r="M79" s="5"/>
      <c r="N79" s="5"/>
      <c r="O79" s="5"/>
      <c r="P79" s="5"/>
      <c r="Q79" s="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</row>
    <row r="80" spans="2:47" x14ac:dyDescent="0.25">
      <c r="B80" s="5"/>
      <c r="C80" s="5"/>
      <c r="D80" s="5"/>
      <c r="E80" s="5"/>
      <c r="F80" s="6"/>
      <c r="G80" s="6"/>
      <c r="H80" s="6"/>
      <c r="I80" s="6"/>
      <c r="J80" s="5"/>
      <c r="K80" s="5"/>
      <c r="L80" s="5"/>
      <c r="M80" s="5"/>
      <c r="N80" s="5"/>
      <c r="O80" s="5"/>
      <c r="P80" s="5"/>
      <c r="Q80" s="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</row>
    <row r="81" spans="2:47" x14ac:dyDescent="0.25">
      <c r="B81" s="5"/>
      <c r="C81" s="5"/>
      <c r="D81" s="5"/>
      <c r="E81" s="5"/>
      <c r="F81" s="6"/>
      <c r="G81" s="6"/>
      <c r="H81" s="6"/>
      <c r="I81" s="6"/>
      <c r="J81" s="5"/>
      <c r="K81" s="5"/>
      <c r="L81" s="5"/>
      <c r="M81" s="5"/>
      <c r="N81" s="5"/>
      <c r="O81" s="5"/>
      <c r="P81" s="5"/>
      <c r="Q81" s="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</row>
    <row r="82" spans="2:47" x14ac:dyDescent="0.25">
      <c r="B82" s="5"/>
      <c r="C82" s="5"/>
      <c r="D82" s="5"/>
      <c r="E82" s="5"/>
      <c r="F82" s="6"/>
      <c r="G82" s="6"/>
      <c r="H82" s="6"/>
      <c r="I82" s="6"/>
      <c r="J82" s="5"/>
      <c r="K82" s="5"/>
      <c r="L82" s="5"/>
      <c r="M82" s="5"/>
      <c r="N82" s="5"/>
      <c r="O82" s="5"/>
      <c r="P82" s="5"/>
      <c r="Q82" s="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</row>
    <row r="83" spans="2:47" x14ac:dyDescent="0.25">
      <c r="B83" s="5"/>
      <c r="C83" s="5"/>
      <c r="D83" s="5"/>
      <c r="E83" s="5"/>
      <c r="F83" s="6"/>
      <c r="G83" s="6"/>
      <c r="H83" s="6"/>
      <c r="I83" s="6"/>
      <c r="J83" s="5"/>
      <c r="K83" s="5"/>
      <c r="L83" s="5"/>
      <c r="M83" s="5"/>
      <c r="N83" s="5"/>
      <c r="O83" s="5"/>
      <c r="P83" s="5"/>
      <c r="Q83" s="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</row>
    <row r="84" spans="2:47" x14ac:dyDescent="0.25">
      <c r="B84" s="5"/>
      <c r="C84" s="5"/>
      <c r="D84" s="5"/>
      <c r="E84" s="5"/>
      <c r="F84" s="6"/>
      <c r="G84" s="6"/>
      <c r="H84" s="6"/>
      <c r="I84" s="6"/>
      <c r="J84" s="5"/>
      <c r="K84" s="5"/>
      <c r="L84" s="5"/>
      <c r="M84" s="5"/>
      <c r="N84" s="5"/>
      <c r="O84" s="5"/>
      <c r="P84" s="5"/>
      <c r="Q84" s="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</row>
    <row r="85" spans="2:47" x14ac:dyDescent="0.25">
      <c r="B85" s="5"/>
      <c r="C85" s="5"/>
      <c r="D85" s="5"/>
      <c r="E85" s="5"/>
      <c r="F85" s="6"/>
      <c r="G85" s="6"/>
      <c r="H85" s="6"/>
      <c r="I85" s="6"/>
      <c r="J85" s="5"/>
      <c r="K85" s="5"/>
      <c r="L85" s="5"/>
      <c r="M85" s="5"/>
      <c r="N85" s="5"/>
      <c r="O85" s="5"/>
      <c r="P85" s="5"/>
      <c r="Q85" s="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</row>
    <row r="86" spans="2:47" x14ac:dyDescent="0.25">
      <c r="B86" s="5"/>
      <c r="C86" s="5"/>
      <c r="D86" s="5"/>
      <c r="E86" s="5"/>
      <c r="F86" s="6"/>
      <c r="G86" s="6"/>
      <c r="H86" s="6"/>
      <c r="I86" s="6"/>
      <c r="J86" s="5"/>
      <c r="K86" s="5"/>
      <c r="L86" s="5"/>
      <c r="M86" s="5"/>
      <c r="N86" s="5"/>
      <c r="O86" s="5"/>
      <c r="P86" s="5"/>
      <c r="Q86" s="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</row>
    <row r="87" spans="2:47" x14ac:dyDescent="0.25">
      <c r="B87" s="5"/>
      <c r="C87" s="5"/>
      <c r="D87" s="5"/>
      <c r="E87" s="5"/>
      <c r="F87" s="6"/>
      <c r="G87" s="6"/>
      <c r="H87" s="6"/>
      <c r="I87" s="6"/>
      <c r="J87" s="5"/>
      <c r="K87" s="5"/>
      <c r="L87" s="5"/>
      <c r="M87" s="5"/>
      <c r="N87" s="5"/>
      <c r="O87" s="5"/>
      <c r="P87" s="5"/>
      <c r="Q87" s="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</row>
    <row r="88" spans="2:47" x14ac:dyDescent="0.25">
      <c r="B88" s="5"/>
      <c r="C88" s="5"/>
      <c r="D88" s="5"/>
      <c r="E88" s="5"/>
      <c r="F88" s="6"/>
      <c r="G88" s="6"/>
      <c r="H88" s="6"/>
      <c r="I88" s="6"/>
      <c r="J88" s="5"/>
      <c r="K88" s="5"/>
      <c r="L88" s="5"/>
      <c r="M88" s="5"/>
      <c r="N88" s="5"/>
      <c r="O88" s="5"/>
      <c r="P88" s="5"/>
      <c r="Q88" s="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</row>
    <row r="89" spans="2:47" x14ac:dyDescent="0.25">
      <c r="B89" s="5"/>
      <c r="C89" s="5"/>
      <c r="D89" s="5"/>
      <c r="E89" s="5"/>
      <c r="F89" s="6"/>
      <c r="G89" s="6"/>
      <c r="H89" s="6"/>
      <c r="I89" s="6"/>
      <c r="J89" s="5"/>
      <c r="K89" s="5"/>
      <c r="L89" s="5"/>
      <c r="M89" s="5"/>
      <c r="N89" s="5"/>
      <c r="O89" s="5"/>
      <c r="P89" s="5"/>
      <c r="Q89" s="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</row>
    <row r="90" spans="2:47" x14ac:dyDescent="0.25">
      <c r="B90" s="5"/>
      <c r="C90" s="5"/>
      <c r="D90" s="5"/>
      <c r="E90" s="5"/>
      <c r="F90" s="6"/>
      <c r="G90" s="6"/>
      <c r="H90" s="6"/>
      <c r="I90" s="6"/>
      <c r="J90" s="5"/>
      <c r="K90" s="5"/>
      <c r="L90" s="5"/>
      <c r="M90" s="5"/>
      <c r="N90" s="5"/>
      <c r="O90" s="5"/>
      <c r="P90" s="5"/>
      <c r="Q90" s="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</row>
    <row r="91" spans="2:47" x14ac:dyDescent="0.25">
      <c r="B91" s="5"/>
      <c r="C91" s="5"/>
      <c r="D91" s="5"/>
      <c r="E91" s="5"/>
      <c r="F91" s="6"/>
      <c r="G91" s="6"/>
      <c r="H91" s="6"/>
      <c r="I91" s="6"/>
      <c r="J91" s="5"/>
      <c r="K91" s="5"/>
      <c r="L91" s="5"/>
      <c r="M91" s="5"/>
      <c r="N91" s="5"/>
      <c r="O91" s="5"/>
      <c r="P91" s="5"/>
      <c r="Q91" s="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</row>
    <row r="92" spans="2:47" x14ac:dyDescent="0.25">
      <c r="B92" s="5"/>
      <c r="C92" s="5"/>
      <c r="D92" s="5"/>
      <c r="E92" s="5"/>
      <c r="F92" s="6"/>
      <c r="G92" s="6"/>
      <c r="H92" s="6"/>
      <c r="I92" s="6"/>
      <c r="J92" s="5"/>
      <c r="K92" s="5"/>
      <c r="L92" s="5"/>
      <c r="M92" s="5"/>
      <c r="N92" s="5"/>
      <c r="O92" s="5"/>
      <c r="P92" s="5"/>
      <c r="Q92" s="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</row>
    <row r="93" spans="2:47" x14ac:dyDescent="0.25">
      <c r="B93" s="5"/>
      <c r="C93" s="5"/>
      <c r="D93" s="5"/>
      <c r="E93" s="5"/>
      <c r="F93" s="6"/>
      <c r="G93" s="6"/>
      <c r="H93" s="6"/>
      <c r="I93" s="6"/>
      <c r="J93" s="5"/>
      <c r="K93" s="5"/>
      <c r="L93" s="5"/>
      <c r="M93" s="5"/>
      <c r="N93" s="5"/>
      <c r="O93" s="5"/>
      <c r="P93" s="5"/>
      <c r="Q93" s="5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</row>
    <row r="94" spans="2:47" x14ac:dyDescent="0.25">
      <c r="B94" s="5"/>
      <c r="C94" s="5"/>
      <c r="D94" s="5"/>
      <c r="E94" s="5"/>
      <c r="F94" s="6"/>
      <c r="G94" s="6"/>
      <c r="H94" s="6"/>
      <c r="I94" s="6"/>
      <c r="J94" s="5"/>
      <c r="K94" s="5"/>
      <c r="L94" s="5"/>
      <c r="M94" s="5"/>
      <c r="N94" s="5"/>
      <c r="O94" s="5"/>
      <c r="P94" s="5"/>
      <c r="Q94" s="5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</row>
    <row r="95" spans="2:47" x14ac:dyDescent="0.25">
      <c r="B95" s="5"/>
      <c r="C95" s="5"/>
      <c r="D95" s="5"/>
      <c r="E95" s="5"/>
      <c r="F95" s="6"/>
      <c r="G95" s="6"/>
      <c r="H95" s="6"/>
      <c r="I95" s="6"/>
      <c r="J95" s="5"/>
      <c r="K95" s="5"/>
      <c r="L95" s="5"/>
      <c r="M95" s="5"/>
      <c r="N95" s="5"/>
      <c r="O95" s="5"/>
      <c r="P95" s="5"/>
      <c r="Q95" s="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</row>
    <row r="96" spans="2:47" x14ac:dyDescent="0.25">
      <c r="B96" s="5"/>
      <c r="C96" s="5"/>
      <c r="D96" s="5"/>
      <c r="E96" s="5"/>
      <c r="F96" s="6"/>
      <c r="G96" s="6"/>
      <c r="H96" s="6"/>
      <c r="I96" s="6"/>
      <c r="J96" s="5"/>
      <c r="K96" s="5"/>
      <c r="L96" s="5"/>
      <c r="M96" s="5"/>
      <c r="N96" s="5"/>
      <c r="O96" s="5"/>
      <c r="P96" s="5"/>
      <c r="Q96" s="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</row>
    <row r="97" spans="2:47" x14ac:dyDescent="0.25">
      <c r="B97" s="5"/>
      <c r="C97" s="5"/>
      <c r="D97" s="5"/>
      <c r="E97" s="5"/>
      <c r="F97" s="6"/>
      <c r="G97" s="6"/>
      <c r="H97" s="6"/>
      <c r="I97" s="6"/>
      <c r="J97" s="5"/>
      <c r="K97" s="5"/>
      <c r="L97" s="5"/>
      <c r="M97" s="5"/>
      <c r="N97" s="5"/>
      <c r="O97" s="5"/>
      <c r="P97" s="5"/>
      <c r="Q97" s="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</row>
    <row r="98" spans="2:47" x14ac:dyDescent="0.25">
      <c r="B98" s="5"/>
      <c r="C98" s="5"/>
      <c r="D98" s="5"/>
      <c r="E98" s="5"/>
      <c r="F98" s="6"/>
      <c r="G98" s="6"/>
      <c r="H98" s="6"/>
      <c r="I98" s="6"/>
      <c r="J98" s="5"/>
      <c r="K98" s="5"/>
      <c r="L98" s="5"/>
      <c r="M98" s="5"/>
      <c r="N98" s="5"/>
      <c r="O98" s="5"/>
      <c r="P98" s="5"/>
      <c r="Q98" s="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</row>
    <row r="99" spans="2:47" x14ac:dyDescent="0.25">
      <c r="B99" s="5"/>
      <c r="C99" s="5"/>
      <c r="D99" s="5"/>
      <c r="E99" s="5"/>
      <c r="F99" s="6"/>
      <c r="G99" s="6"/>
      <c r="H99" s="6"/>
      <c r="I99" s="6"/>
      <c r="J99" s="5"/>
      <c r="K99" s="5"/>
      <c r="L99" s="5"/>
      <c r="M99" s="5"/>
      <c r="N99" s="5"/>
      <c r="O99" s="5"/>
      <c r="P99" s="5"/>
      <c r="Q99" s="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</row>
    <row r="100" spans="2:47" x14ac:dyDescent="0.25">
      <c r="B100" s="5"/>
      <c r="C100" s="5"/>
      <c r="D100" s="5"/>
      <c r="E100" s="5"/>
      <c r="F100" s="6"/>
      <c r="G100" s="6"/>
      <c r="H100" s="6"/>
      <c r="I100" s="6"/>
      <c r="J100" s="5"/>
      <c r="K100" s="5"/>
      <c r="L100" s="5"/>
      <c r="M100" s="5"/>
      <c r="N100" s="5"/>
      <c r="O100" s="5"/>
      <c r="P100" s="5"/>
      <c r="Q100" s="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</row>
    <row r="101" spans="2:47" x14ac:dyDescent="0.25">
      <c r="B101" s="5"/>
      <c r="C101" s="5"/>
      <c r="D101" s="5"/>
      <c r="E101" s="5"/>
      <c r="F101" s="6"/>
      <c r="G101" s="6"/>
      <c r="H101" s="6"/>
      <c r="I101" s="6"/>
      <c r="J101" s="5"/>
      <c r="K101" s="5"/>
      <c r="L101" s="5"/>
      <c r="M101" s="5"/>
      <c r="N101" s="5"/>
      <c r="O101" s="5"/>
      <c r="P101" s="5"/>
      <c r="Q101" s="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</row>
    <row r="102" spans="2:47" x14ac:dyDescent="0.25">
      <c r="B102" s="5"/>
      <c r="C102" s="5"/>
      <c r="D102" s="5"/>
      <c r="E102" s="5"/>
      <c r="F102" s="6"/>
      <c r="G102" s="6"/>
      <c r="H102" s="6"/>
      <c r="I102" s="6"/>
      <c r="J102" s="5"/>
      <c r="K102" s="5"/>
      <c r="L102" s="5"/>
      <c r="M102" s="5"/>
      <c r="N102" s="5"/>
      <c r="O102" s="5"/>
      <c r="P102" s="5"/>
      <c r="Q102" s="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</row>
    <row r="103" spans="2:47" x14ac:dyDescent="0.25">
      <c r="B103" s="5"/>
      <c r="C103" s="5"/>
      <c r="D103" s="5"/>
      <c r="E103" s="5"/>
      <c r="F103" s="6"/>
      <c r="G103" s="6"/>
      <c r="H103" s="6"/>
      <c r="I103" s="6"/>
      <c r="J103" s="5"/>
      <c r="K103" s="5"/>
      <c r="L103" s="5"/>
      <c r="M103" s="5"/>
      <c r="N103" s="5"/>
      <c r="O103" s="5"/>
      <c r="P103" s="5"/>
      <c r="Q103" s="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</row>
    <row r="104" spans="2:47" x14ac:dyDescent="0.25">
      <c r="B104" s="5"/>
      <c r="C104" s="5"/>
      <c r="D104" s="5"/>
      <c r="E104" s="5"/>
      <c r="F104" s="6"/>
      <c r="G104" s="6"/>
      <c r="H104" s="6"/>
      <c r="I104" s="6"/>
      <c r="J104" s="5"/>
      <c r="K104" s="5"/>
      <c r="L104" s="5"/>
      <c r="M104" s="5"/>
      <c r="N104" s="5"/>
      <c r="O104" s="5"/>
      <c r="P104" s="5"/>
      <c r="Q104" s="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</row>
    <row r="105" spans="2:47" x14ac:dyDescent="0.25">
      <c r="B105" s="5"/>
      <c r="C105" s="5"/>
      <c r="D105" s="5"/>
      <c r="E105" s="5"/>
      <c r="F105" s="6"/>
      <c r="G105" s="6"/>
      <c r="H105" s="6"/>
      <c r="I105" s="6"/>
      <c r="J105" s="5"/>
      <c r="K105" s="5"/>
      <c r="L105" s="5"/>
      <c r="M105" s="5"/>
      <c r="N105" s="5"/>
      <c r="O105" s="5"/>
      <c r="P105" s="5"/>
      <c r="Q105" s="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</row>
    <row r="106" spans="2:47" x14ac:dyDescent="0.25">
      <c r="B106" s="5"/>
      <c r="C106" s="5"/>
      <c r="D106" s="5"/>
      <c r="E106" s="5"/>
      <c r="F106" s="6"/>
      <c r="G106" s="6"/>
      <c r="H106" s="6"/>
      <c r="I106" s="6"/>
      <c r="J106" s="5"/>
      <c r="K106" s="5"/>
      <c r="L106" s="5"/>
      <c r="M106" s="5"/>
      <c r="N106" s="5"/>
      <c r="O106" s="5"/>
      <c r="P106" s="5"/>
      <c r="Q106" s="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</row>
    <row r="107" spans="2:47" x14ac:dyDescent="0.25">
      <c r="B107" s="5"/>
      <c r="C107" s="5"/>
      <c r="D107" s="5"/>
      <c r="E107" s="5"/>
      <c r="F107" s="6"/>
      <c r="G107" s="6"/>
      <c r="H107" s="6"/>
      <c r="I107" s="6"/>
      <c r="J107" s="5"/>
      <c r="K107" s="5"/>
      <c r="L107" s="5"/>
      <c r="M107" s="5"/>
      <c r="N107" s="5"/>
      <c r="O107" s="5"/>
      <c r="P107" s="5"/>
      <c r="Q107" s="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</row>
    <row r="108" spans="2:47" x14ac:dyDescent="0.25">
      <c r="B108" s="5"/>
      <c r="C108" s="5"/>
      <c r="D108" s="5"/>
      <c r="E108" s="5"/>
      <c r="F108" s="6"/>
      <c r="G108" s="6"/>
      <c r="H108" s="6"/>
      <c r="I108" s="6"/>
      <c r="J108" s="5"/>
      <c r="K108" s="5"/>
      <c r="L108" s="5"/>
      <c r="M108" s="5"/>
      <c r="N108" s="5"/>
      <c r="O108" s="5"/>
      <c r="P108" s="5"/>
      <c r="Q108" s="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</row>
    <row r="109" spans="2:47" x14ac:dyDescent="0.25">
      <c r="B109" s="5"/>
      <c r="C109" s="5"/>
      <c r="D109" s="5"/>
      <c r="E109" s="5"/>
      <c r="F109" s="6"/>
      <c r="G109" s="6"/>
      <c r="H109" s="6"/>
      <c r="I109" s="6"/>
      <c r="J109" s="5"/>
      <c r="K109" s="5"/>
      <c r="L109" s="5"/>
      <c r="M109" s="5"/>
      <c r="N109" s="5"/>
      <c r="O109" s="5"/>
      <c r="P109" s="5"/>
      <c r="Q109" s="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</row>
    <row r="110" spans="2:47" x14ac:dyDescent="0.25">
      <c r="B110" s="5"/>
      <c r="C110" s="5"/>
      <c r="D110" s="5"/>
      <c r="E110" s="5"/>
      <c r="F110" s="6"/>
      <c r="G110" s="6"/>
      <c r="H110" s="6"/>
      <c r="I110" s="6"/>
      <c r="J110" s="5"/>
      <c r="K110" s="5"/>
      <c r="L110" s="5"/>
      <c r="M110" s="5"/>
      <c r="N110" s="5"/>
      <c r="O110" s="5"/>
      <c r="P110" s="5"/>
      <c r="Q110" s="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</row>
    <row r="111" spans="2:47" x14ac:dyDescent="0.25">
      <c r="B111" s="5"/>
      <c r="C111" s="5"/>
      <c r="D111" s="5"/>
      <c r="E111" s="5"/>
      <c r="F111" s="6"/>
      <c r="G111" s="6"/>
      <c r="H111" s="6"/>
      <c r="I111" s="6"/>
      <c r="J111" s="5"/>
      <c r="K111" s="5"/>
      <c r="L111" s="5"/>
      <c r="M111" s="5"/>
      <c r="N111" s="5"/>
      <c r="O111" s="5"/>
      <c r="P111" s="5"/>
      <c r="Q111" s="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</row>
    <row r="112" spans="2:47" x14ac:dyDescent="0.25">
      <c r="B112" s="5"/>
      <c r="C112" s="5"/>
      <c r="D112" s="5"/>
      <c r="E112" s="5"/>
      <c r="F112" s="6"/>
      <c r="G112" s="6"/>
      <c r="H112" s="6"/>
      <c r="I112" s="6"/>
      <c r="J112" s="5"/>
      <c r="K112" s="5"/>
      <c r="L112" s="5"/>
      <c r="M112" s="5"/>
      <c r="N112" s="5"/>
      <c r="O112" s="5"/>
      <c r="P112" s="5"/>
      <c r="Q112" s="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</row>
    <row r="113" spans="2:47" x14ac:dyDescent="0.25">
      <c r="B113" s="5"/>
      <c r="C113" s="5"/>
      <c r="D113" s="5"/>
      <c r="E113" s="5"/>
      <c r="F113" s="6"/>
      <c r="G113" s="6"/>
      <c r="H113" s="6"/>
      <c r="I113" s="6"/>
      <c r="J113" s="5"/>
      <c r="K113" s="5"/>
      <c r="L113" s="5"/>
      <c r="M113" s="5"/>
      <c r="N113" s="5"/>
      <c r="O113" s="5"/>
      <c r="P113" s="5"/>
      <c r="Q113" s="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</row>
    <row r="114" spans="2:47" x14ac:dyDescent="0.25">
      <c r="B114" s="5"/>
      <c r="C114" s="5"/>
      <c r="D114" s="5"/>
      <c r="E114" s="5"/>
      <c r="F114" s="6"/>
      <c r="G114" s="6"/>
      <c r="H114" s="6"/>
      <c r="I114" s="6"/>
      <c r="J114" s="5"/>
      <c r="K114" s="5"/>
      <c r="L114" s="5"/>
      <c r="M114" s="5"/>
      <c r="N114" s="5"/>
      <c r="O114" s="5"/>
      <c r="P114" s="5"/>
      <c r="Q114" s="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</row>
    <row r="115" spans="2:47" x14ac:dyDescent="0.25">
      <c r="B115" s="5"/>
      <c r="C115" s="5"/>
      <c r="D115" s="5"/>
      <c r="E115" s="5"/>
      <c r="F115" s="6"/>
      <c r="G115" s="6"/>
      <c r="H115" s="6"/>
      <c r="I115" s="6"/>
      <c r="J115" s="5"/>
      <c r="K115" s="5"/>
      <c r="L115" s="5"/>
      <c r="M115" s="5"/>
      <c r="N115" s="5"/>
      <c r="O115" s="5"/>
      <c r="P115" s="5"/>
      <c r="Q115" s="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</row>
    <row r="116" spans="2:47" x14ac:dyDescent="0.25">
      <c r="B116" s="5"/>
      <c r="C116" s="5"/>
      <c r="D116" s="5"/>
      <c r="E116" s="5"/>
      <c r="F116" s="6"/>
      <c r="G116" s="6"/>
      <c r="H116" s="6"/>
      <c r="I116" s="6"/>
      <c r="J116" s="5"/>
      <c r="K116" s="5"/>
      <c r="L116" s="5"/>
      <c r="M116" s="5"/>
      <c r="N116" s="5"/>
      <c r="O116" s="5"/>
      <c r="P116" s="5"/>
      <c r="Q116" s="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</row>
    <row r="117" spans="2:47" x14ac:dyDescent="0.25">
      <c r="B117" s="5"/>
      <c r="C117" s="5"/>
      <c r="D117" s="5"/>
      <c r="E117" s="5"/>
      <c r="F117" s="6"/>
      <c r="G117" s="6"/>
      <c r="H117" s="6"/>
      <c r="I117" s="6"/>
      <c r="J117" s="5"/>
      <c r="K117" s="5"/>
      <c r="L117" s="5"/>
      <c r="M117" s="5"/>
      <c r="N117" s="5"/>
      <c r="O117" s="5"/>
      <c r="P117" s="5"/>
      <c r="Q117" s="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</row>
    <row r="118" spans="2:47" x14ac:dyDescent="0.25">
      <c r="B118" s="5"/>
      <c r="C118" s="5"/>
      <c r="D118" s="5"/>
      <c r="E118" s="5"/>
      <c r="F118" s="6"/>
      <c r="G118" s="6"/>
      <c r="H118" s="6"/>
      <c r="I118" s="6"/>
      <c r="J118" s="5"/>
      <c r="K118" s="5"/>
      <c r="L118" s="5"/>
      <c r="M118" s="5"/>
      <c r="N118" s="5"/>
      <c r="O118" s="5"/>
      <c r="P118" s="5"/>
      <c r="Q118" s="5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</row>
    <row r="119" spans="2:47" x14ac:dyDescent="0.25">
      <c r="B119" s="5"/>
      <c r="C119" s="5"/>
      <c r="D119" s="5"/>
      <c r="E119" s="5"/>
      <c r="F119" s="6"/>
      <c r="G119" s="6"/>
      <c r="H119" s="6"/>
      <c r="I119" s="6"/>
      <c r="J119" s="5"/>
      <c r="K119" s="5"/>
      <c r="L119" s="5"/>
      <c r="M119" s="5"/>
      <c r="N119" s="5"/>
      <c r="O119" s="5"/>
      <c r="P119" s="5"/>
      <c r="Q119" s="5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</row>
    <row r="120" spans="2:47" x14ac:dyDescent="0.25">
      <c r="B120" s="5"/>
      <c r="C120" s="5"/>
      <c r="D120" s="5"/>
      <c r="E120" s="5"/>
      <c r="F120" s="6"/>
      <c r="G120" s="6"/>
      <c r="H120" s="6"/>
      <c r="I120" s="6"/>
      <c r="J120" s="5"/>
      <c r="K120" s="5"/>
      <c r="L120" s="5"/>
      <c r="M120" s="5"/>
      <c r="N120" s="5"/>
      <c r="O120" s="5"/>
      <c r="P120" s="5"/>
      <c r="Q120" s="5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</row>
    <row r="121" spans="2:47" x14ac:dyDescent="0.25">
      <c r="B121" s="5"/>
      <c r="C121" s="5"/>
      <c r="D121" s="5"/>
      <c r="E121" s="5"/>
      <c r="F121" s="6"/>
      <c r="G121" s="6"/>
      <c r="H121" s="6"/>
      <c r="I121" s="6"/>
      <c r="J121" s="5"/>
      <c r="K121" s="5"/>
      <c r="L121" s="5"/>
      <c r="M121" s="5"/>
      <c r="N121" s="5"/>
      <c r="O121" s="5"/>
      <c r="P121" s="5"/>
      <c r="Q121" s="5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</row>
    <row r="122" spans="2:47" x14ac:dyDescent="0.25">
      <c r="B122" s="5"/>
      <c r="C122" s="5"/>
      <c r="D122" s="5"/>
      <c r="E122" s="5"/>
      <c r="F122" s="6"/>
      <c r="G122" s="6"/>
      <c r="H122" s="6"/>
      <c r="I122" s="6"/>
      <c r="J122" s="5"/>
      <c r="K122" s="5"/>
      <c r="L122" s="5"/>
      <c r="M122" s="5"/>
      <c r="N122" s="5"/>
      <c r="O122" s="5"/>
      <c r="P122" s="5"/>
      <c r="Q122" s="5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</row>
    <row r="123" spans="2:47" x14ac:dyDescent="0.25">
      <c r="B123" s="5"/>
      <c r="C123" s="5"/>
      <c r="D123" s="5"/>
      <c r="E123" s="5"/>
      <c r="F123" s="6"/>
      <c r="G123" s="6"/>
      <c r="H123" s="6"/>
      <c r="I123" s="6"/>
      <c r="J123" s="5"/>
      <c r="K123" s="5"/>
      <c r="L123" s="5"/>
      <c r="M123" s="5"/>
      <c r="N123" s="5"/>
      <c r="O123" s="5"/>
      <c r="P123" s="5"/>
      <c r="Q123" s="5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</row>
    <row r="124" spans="2:47" x14ac:dyDescent="0.25">
      <c r="B124" s="5"/>
      <c r="C124" s="5"/>
      <c r="D124" s="5"/>
      <c r="E124" s="5"/>
      <c r="F124" s="6"/>
      <c r="G124" s="6"/>
      <c r="H124" s="6"/>
      <c r="I124" s="6"/>
      <c r="J124" s="5"/>
      <c r="K124" s="5"/>
      <c r="L124" s="5"/>
      <c r="M124" s="5"/>
      <c r="N124" s="5"/>
      <c r="O124" s="5"/>
      <c r="P124" s="5"/>
      <c r="Q124" s="5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</row>
    <row r="125" spans="2:47" x14ac:dyDescent="0.25">
      <c r="B125" s="5"/>
      <c r="C125" s="5"/>
      <c r="D125" s="5"/>
      <c r="E125" s="5"/>
      <c r="F125" s="6"/>
      <c r="G125" s="6"/>
      <c r="H125" s="6"/>
      <c r="I125" s="6"/>
      <c r="J125" s="5"/>
      <c r="K125" s="5"/>
      <c r="L125" s="5"/>
      <c r="M125" s="5"/>
      <c r="N125" s="5"/>
      <c r="O125" s="5"/>
      <c r="P125" s="5"/>
      <c r="Q125" s="5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</row>
    <row r="126" spans="2:47" x14ac:dyDescent="0.25">
      <c r="B126" s="5"/>
      <c r="C126" s="5"/>
      <c r="D126" s="5"/>
      <c r="E126" s="5"/>
      <c r="F126" s="6"/>
      <c r="G126" s="6"/>
      <c r="H126" s="6"/>
      <c r="I126" s="6"/>
      <c r="J126" s="5"/>
      <c r="K126" s="5"/>
      <c r="L126" s="5"/>
      <c r="M126" s="5"/>
      <c r="N126" s="5"/>
      <c r="O126" s="5"/>
      <c r="P126" s="5"/>
      <c r="Q126" s="5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</row>
    <row r="127" spans="2:47" x14ac:dyDescent="0.25">
      <c r="B127" s="5"/>
      <c r="C127" s="5"/>
      <c r="D127" s="5"/>
      <c r="E127" s="5"/>
      <c r="F127" s="6"/>
      <c r="G127" s="6"/>
      <c r="H127" s="6"/>
      <c r="I127" s="6"/>
      <c r="J127" s="5"/>
      <c r="K127" s="5"/>
      <c r="L127" s="5"/>
      <c r="M127" s="5"/>
      <c r="N127" s="5"/>
      <c r="O127" s="5"/>
      <c r="P127" s="5"/>
      <c r="Q127" s="5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</row>
    <row r="128" spans="2:47" x14ac:dyDescent="0.25">
      <c r="B128" s="5"/>
      <c r="C128" s="5"/>
      <c r="D128" s="5"/>
      <c r="E128" s="5"/>
      <c r="F128" s="6"/>
      <c r="G128" s="6"/>
      <c r="H128" s="6"/>
      <c r="I128" s="6"/>
      <c r="J128" s="5"/>
      <c r="K128" s="5"/>
      <c r="L128" s="5"/>
      <c r="M128" s="5"/>
      <c r="N128" s="5"/>
      <c r="O128" s="5"/>
      <c r="P128" s="5"/>
      <c r="Q128" s="5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</row>
    <row r="129" spans="2:47" x14ac:dyDescent="0.25">
      <c r="B129" s="5"/>
      <c r="C129" s="5"/>
      <c r="D129" s="5"/>
      <c r="E129" s="5"/>
      <c r="F129" s="6"/>
      <c r="G129" s="6"/>
      <c r="H129" s="6"/>
      <c r="I129" s="6"/>
      <c r="J129" s="5"/>
      <c r="K129" s="5"/>
      <c r="L129" s="5"/>
      <c r="M129" s="5"/>
      <c r="N129" s="5"/>
      <c r="O129" s="5"/>
      <c r="P129" s="5"/>
      <c r="Q129" s="5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</row>
    <row r="130" spans="2:47" x14ac:dyDescent="0.25">
      <c r="B130" s="5"/>
      <c r="C130" s="5"/>
      <c r="D130" s="5"/>
      <c r="E130" s="5"/>
      <c r="F130" s="6"/>
      <c r="G130" s="6"/>
      <c r="H130" s="6"/>
      <c r="I130" s="6"/>
      <c r="J130" s="5"/>
      <c r="K130" s="5"/>
      <c r="L130" s="5"/>
      <c r="M130" s="5"/>
      <c r="N130" s="5"/>
      <c r="O130" s="5"/>
      <c r="P130" s="5"/>
      <c r="Q130" s="5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</row>
    <row r="131" spans="2:47" x14ac:dyDescent="0.25">
      <c r="B131" s="5"/>
      <c r="C131" s="5"/>
      <c r="D131" s="5"/>
      <c r="E131" s="5"/>
      <c r="F131" s="6"/>
      <c r="G131" s="6"/>
      <c r="H131" s="6"/>
      <c r="I131" s="6"/>
      <c r="J131" s="5"/>
      <c r="K131" s="5"/>
      <c r="L131" s="5"/>
      <c r="M131" s="5"/>
      <c r="N131" s="5"/>
      <c r="O131" s="5"/>
      <c r="P131" s="5"/>
      <c r="Q131" s="5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</row>
    <row r="132" spans="2:47" x14ac:dyDescent="0.25">
      <c r="B132" s="5"/>
      <c r="C132" s="5"/>
      <c r="D132" s="5"/>
      <c r="E132" s="5"/>
      <c r="F132" s="6"/>
      <c r="G132" s="6"/>
      <c r="H132" s="6"/>
      <c r="I132" s="6"/>
      <c r="J132" s="5"/>
      <c r="K132" s="5"/>
      <c r="L132" s="5"/>
      <c r="M132" s="5"/>
      <c r="N132" s="5"/>
      <c r="O132" s="5"/>
      <c r="P132" s="5"/>
      <c r="Q132" s="5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</row>
    <row r="133" spans="2:47" x14ac:dyDescent="0.25">
      <c r="B133" s="5"/>
      <c r="C133" s="5"/>
      <c r="D133" s="5"/>
      <c r="E133" s="5"/>
      <c r="F133" s="6"/>
      <c r="G133" s="6"/>
      <c r="H133" s="6"/>
      <c r="I133" s="6"/>
      <c r="J133" s="5"/>
      <c r="K133" s="5"/>
      <c r="L133" s="5"/>
      <c r="M133" s="5"/>
      <c r="N133" s="5"/>
      <c r="O133" s="5"/>
      <c r="P133" s="5"/>
      <c r="Q133" s="5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</row>
    <row r="134" spans="2:47" x14ac:dyDescent="0.25">
      <c r="B134" s="5"/>
      <c r="C134" s="5"/>
      <c r="D134" s="5"/>
      <c r="E134" s="5"/>
      <c r="F134" s="6"/>
      <c r="G134" s="6"/>
      <c r="H134" s="6"/>
      <c r="I134" s="6"/>
      <c r="J134" s="5"/>
      <c r="K134" s="5"/>
      <c r="L134" s="5"/>
      <c r="M134" s="5"/>
      <c r="N134" s="5"/>
      <c r="O134" s="5"/>
      <c r="P134" s="5"/>
      <c r="Q134" s="5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</row>
    <row r="135" spans="2:47" x14ac:dyDescent="0.25">
      <c r="B135" s="5"/>
      <c r="C135" s="5"/>
      <c r="D135" s="5"/>
      <c r="E135" s="5"/>
      <c r="F135" s="6"/>
      <c r="G135" s="6"/>
      <c r="H135" s="6"/>
      <c r="I135" s="6"/>
      <c r="J135" s="5"/>
      <c r="K135" s="5"/>
      <c r="L135" s="5"/>
      <c r="M135" s="5"/>
      <c r="N135" s="5"/>
      <c r="O135" s="5"/>
      <c r="P135" s="5"/>
      <c r="Q135" s="5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</row>
    <row r="136" spans="2:47" x14ac:dyDescent="0.25">
      <c r="B136" s="5"/>
      <c r="C136" s="5"/>
      <c r="D136" s="5"/>
      <c r="E136" s="5"/>
      <c r="F136" s="6"/>
      <c r="G136" s="6"/>
      <c r="H136" s="6"/>
      <c r="I136" s="6"/>
      <c r="J136" s="5"/>
      <c r="K136" s="5"/>
      <c r="L136" s="5"/>
      <c r="M136" s="5"/>
      <c r="N136" s="5"/>
      <c r="O136" s="5"/>
      <c r="P136" s="5"/>
      <c r="Q136" s="5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</row>
    <row r="137" spans="2:47" x14ac:dyDescent="0.25">
      <c r="B137" s="5"/>
      <c r="C137" s="5"/>
      <c r="D137" s="5"/>
      <c r="E137" s="5"/>
      <c r="F137" s="6"/>
      <c r="G137" s="6"/>
      <c r="H137" s="6"/>
      <c r="I137" s="6"/>
      <c r="J137" s="5"/>
      <c r="K137" s="5"/>
      <c r="L137" s="5"/>
      <c r="M137" s="5"/>
      <c r="N137" s="5"/>
      <c r="O137" s="5"/>
      <c r="P137" s="5"/>
      <c r="Q137" s="5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</row>
    <row r="138" spans="2:47" x14ac:dyDescent="0.25">
      <c r="B138" s="5"/>
      <c r="C138" s="5"/>
      <c r="D138" s="5"/>
      <c r="E138" s="5"/>
      <c r="F138" s="6"/>
      <c r="G138" s="6"/>
      <c r="H138" s="6"/>
      <c r="I138" s="6"/>
      <c r="J138" s="5"/>
      <c r="K138" s="5"/>
      <c r="L138" s="5"/>
      <c r="M138" s="5"/>
      <c r="N138" s="5"/>
      <c r="O138" s="5"/>
      <c r="P138" s="5"/>
      <c r="Q138" s="5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</row>
    <row r="139" spans="2:47" x14ac:dyDescent="0.25">
      <c r="B139" s="5"/>
      <c r="C139" s="5"/>
      <c r="D139" s="5"/>
      <c r="E139" s="5"/>
      <c r="F139" s="6"/>
      <c r="G139" s="6"/>
      <c r="H139" s="6"/>
      <c r="I139" s="6"/>
      <c r="J139" s="5"/>
      <c r="K139" s="5"/>
      <c r="L139" s="5"/>
      <c r="M139" s="5"/>
      <c r="N139" s="5"/>
      <c r="O139" s="5"/>
      <c r="P139" s="5"/>
      <c r="Q139" s="5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</row>
    <row r="140" spans="2:47" x14ac:dyDescent="0.25">
      <c r="B140" s="5"/>
      <c r="C140" s="5"/>
      <c r="D140" s="5"/>
      <c r="E140" s="5"/>
      <c r="F140" s="6"/>
      <c r="G140" s="6"/>
      <c r="H140" s="6"/>
      <c r="I140" s="6"/>
      <c r="J140" s="5"/>
      <c r="K140" s="5"/>
      <c r="L140" s="5"/>
      <c r="M140" s="5"/>
      <c r="N140" s="5"/>
      <c r="O140" s="5"/>
      <c r="P140" s="5"/>
      <c r="Q140" s="5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</row>
    <row r="141" spans="2:47" x14ac:dyDescent="0.25">
      <c r="B141" s="5"/>
      <c r="C141" s="5"/>
      <c r="D141" s="5"/>
      <c r="E141" s="5"/>
      <c r="F141" s="6"/>
      <c r="G141" s="6"/>
      <c r="H141" s="6"/>
      <c r="I141" s="6"/>
      <c r="J141" s="5"/>
      <c r="K141" s="5"/>
      <c r="L141" s="5"/>
      <c r="M141" s="5"/>
      <c r="N141" s="5"/>
      <c r="O141" s="5"/>
      <c r="P141" s="5"/>
      <c r="Q141" s="5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</row>
    <row r="142" spans="2:47" x14ac:dyDescent="0.25">
      <c r="B142" s="5"/>
      <c r="C142" s="5"/>
      <c r="D142" s="5"/>
      <c r="E142" s="5"/>
      <c r="F142" s="6"/>
      <c r="G142" s="6"/>
      <c r="H142" s="6"/>
      <c r="I142" s="6"/>
      <c r="J142" s="5"/>
      <c r="K142" s="5"/>
      <c r="L142" s="5"/>
      <c r="M142" s="5"/>
      <c r="N142" s="5"/>
      <c r="O142" s="5"/>
      <c r="P142" s="5"/>
      <c r="Q142" s="5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</row>
    <row r="143" spans="2:47" x14ac:dyDescent="0.25">
      <c r="B143" s="5"/>
      <c r="C143" s="5"/>
      <c r="D143" s="5"/>
      <c r="E143" s="5"/>
      <c r="F143" s="6"/>
      <c r="G143" s="6"/>
      <c r="H143" s="6"/>
      <c r="I143" s="6"/>
      <c r="J143" s="5"/>
      <c r="K143" s="5"/>
      <c r="L143" s="5"/>
      <c r="M143" s="5"/>
      <c r="N143" s="5"/>
      <c r="O143" s="5"/>
      <c r="P143" s="5"/>
      <c r="Q143" s="5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</row>
    <row r="144" spans="2:47" x14ac:dyDescent="0.25">
      <c r="B144" s="5"/>
      <c r="C144" s="5"/>
      <c r="D144" s="5"/>
      <c r="E144" s="5"/>
      <c r="F144" s="6"/>
      <c r="G144" s="6"/>
      <c r="H144" s="6"/>
      <c r="I144" s="6"/>
      <c r="J144" s="5"/>
      <c r="K144" s="5"/>
      <c r="L144" s="5"/>
      <c r="M144" s="5"/>
      <c r="N144" s="5"/>
      <c r="O144" s="5"/>
      <c r="P144" s="5"/>
      <c r="Q144" s="5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</row>
    <row r="145" spans="2:47" x14ac:dyDescent="0.25">
      <c r="B145" s="5"/>
      <c r="C145" s="5"/>
      <c r="D145" s="5"/>
      <c r="E145" s="5"/>
      <c r="F145" s="6"/>
      <c r="G145" s="6"/>
      <c r="H145" s="6"/>
      <c r="I145" s="6"/>
      <c r="J145" s="5"/>
      <c r="K145" s="5"/>
      <c r="L145" s="5"/>
      <c r="M145" s="5"/>
      <c r="N145" s="5"/>
      <c r="O145" s="5"/>
      <c r="P145" s="5"/>
      <c r="Q145" s="5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</row>
    <row r="146" spans="2:47" x14ac:dyDescent="0.25">
      <c r="B146" s="5"/>
      <c r="C146" s="5"/>
      <c r="D146" s="5"/>
      <c r="E146" s="5"/>
      <c r="F146" s="6"/>
      <c r="G146" s="6"/>
      <c r="H146" s="6"/>
      <c r="I146" s="6"/>
      <c r="J146" s="5"/>
      <c r="K146" s="5"/>
      <c r="L146" s="5"/>
      <c r="M146" s="5"/>
      <c r="N146" s="5"/>
      <c r="O146" s="5"/>
      <c r="P146" s="5"/>
      <c r="Q146" s="5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</row>
    <row r="147" spans="2:47" x14ac:dyDescent="0.25">
      <c r="B147" s="5"/>
      <c r="C147" s="5"/>
      <c r="D147" s="5"/>
      <c r="E147" s="5"/>
      <c r="F147" s="6"/>
      <c r="G147" s="6"/>
      <c r="H147" s="6"/>
      <c r="I147" s="6"/>
      <c r="J147" s="5"/>
      <c r="K147" s="5"/>
      <c r="L147" s="5"/>
      <c r="M147" s="5"/>
      <c r="N147" s="5"/>
      <c r="O147" s="5"/>
      <c r="P147" s="5"/>
      <c r="Q147" s="5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</row>
    <row r="148" spans="2:47" x14ac:dyDescent="0.25">
      <c r="B148" s="5"/>
      <c r="C148" s="5"/>
      <c r="D148" s="5"/>
      <c r="E148" s="5"/>
      <c r="F148" s="6"/>
      <c r="G148" s="6"/>
      <c r="H148" s="6"/>
      <c r="I148" s="6"/>
      <c r="J148" s="5"/>
      <c r="K148" s="5"/>
      <c r="L148" s="5"/>
      <c r="M148" s="5"/>
      <c r="N148" s="5"/>
      <c r="O148" s="5"/>
      <c r="P148" s="5"/>
      <c r="Q148" s="5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</row>
    <row r="149" spans="2:47" x14ac:dyDescent="0.25">
      <c r="B149" s="5"/>
      <c r="C149" s="5"/>
      <c r="D149" s="5"/>
      <c r="E149" s="5"/>
      <c r="F149" s="6"/>
      <c r="G149" s="6"/>
      <c r="H149" s="6"/>
      <c r="I149" s="6"/>
      <c r="J149" s="5"/>
      <c r="K149" s="5"/>
      <c r="L149" s="5"/>
      <c r="M149" s="5"/>
      <c r="N149" s="5"/>
      <c r="O149" s="5"/>
      <c r="P149" s="5"/>
      <c r="Q149" s="5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</row>
    <row r="150" spans="2:47" x14ac:dyDescent="0.25">
      <c r="B150" s="5"/>
      <c r="C150" s="5"/>
      <c r="D150" s="5"/>
      <c r="E150" s="5"/>
      <c r="F150" s="6"/>
      <c r="G150" s="6"/>
      <c r="H150" s="6"/>
      <c r="I150" s="6"/>
      <c r="J150" s="5"/>
      <c r="K150" s="5"/>
      <c r="L150" s="5"/>
      <c r="M150" s="5"/>
      <c r="N150" s="5"/>
      <c r="O150" s="5"/>
      <c r="P150" s="5"/>
      <c r="Q150" s="5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</row>
    <row r="151" spans="2:47" x14ac:dyDescent="0.25">
      <c r="B151" s="5"/>
      <c r="C151" s="5"/>
      <c r="D151" s="5"/>
      <c r="E151" s="5"/>
      <c r="F151" s="6"/>
      <c r="G151" s="6"/>
      <c r="H151" s="6"/>
      <c r="I151" s="6"/>
      <c r="J151" s="5"/>
      <c r="K151" s="5"/>
      <c r="L151" s="5"/>
      <c r="M151" s="5"/>
      <c r="N151" s="5"/>
      <c r="O151" s="5"/>
      <c r="P151" s="5"/>
      <c r="Q151" s="5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</row>
    <row r="152" spans="2:47" x14ac:dyDescent="0.25">
      <c r="B152" s="5"/>
      <c r="C152" s="5"/>
      <c r="D152" s="5"/>
      <c r="E152" s="5"/>
      <c r="F152" s="6"/>
      <c r="G152" s="6"/>
      <c r="H152" s="6"/>
      <c r="I152" s="6"/>
      <c r="J152" s="5"/>
      <c r="K152" s="5"/>
      <c r="L152" s="5"/>
      <c r="M152" s="5"/>
      <c r="N152" s="5"/>
      <c r="O152" s="5"/>
      <c r="P152" s="5"/>
      <c r="Q152" s="5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</row>
    <row r="153" spans="2:47" x14ac:dyDescent="0.25">
      <c r="B153" s="5"/>
      <c r="C153" s="5"/>
      <c r="D153" s="5"/>
      <c r="E153" s="5"/>
      <c r="F153" s="6"/>
      <c r="G153" s="6"/>
      <c r="H153" s="6"/>
      <c r="I153" s="6"/>
      <c r="J153" s="5"/>
      <c r="K153" s="5"/>
      <c r="L153" s="5"/>
      <c r="M153" s="5"/>
      <c r="N153" s="5"/>
      <c r="O153" s="5"/>
      <c r="P153" s="5"/>
      <c r="Q153" s="5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</row>
    <row r="154" spans="2:47" x14ac:dyDescent="0.25">
      <c r="B154" s="5"/>
      <c r="C154" s="5"/>
      <c r="D154" s="5"/>
      <c r="E154" s="5"/>
      <c r="F154" s="6"/>
      <c r="G154" s="6"/>
      <c r="H154" s="6"/>
      <c r="I154" s="6"/>
      <c r="J154" s="5"/>
      <c r="K154" s="5"/>
      <c r="L154" s="5"/>
      <c r="M154" s="5"/>
      <c r="N154" s="5"/>
      <c r="O154" s="5"/>
      <c r="P154" s="5"/>
      <c r="Q154" s="5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</row>
    <row r="155" spans="2:47" x14ac:dyDescent="0.25">
      <c r="B155" s="5"/>
      <c r="C155" s="5"/>
      <c r="D155" s="5"/>
      <c r="E155" s="5"/>
      <c r="F155" s="6"/>
      <c r="G155" s="6"/>
      <c r="H155" s="6"/>
      <c r="I155" s="6"/>
      <c r="J155" s="5"/>
      <c r="K155" s="5"/>
      <c r="L155" s="5"/>
      <c r="M155" s="5"/>
      <c r="N155" s="5"/>
      <c r="O155" s="5"/>
      <c r="P155" s="5"/>
      <c r="Q155" s="5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</row>
    <row r="156" spans="2:47" x14ac:dyDescent="0.25">
      <c r="B156" s="5"/>
      <c r="C156" s="5"/>
      <c r="D156" s="5"/>
      <c r="E156" s="5"/>
      <c r="F156" s="6"/>
      <c r="G156" s="6"/>
      <c r="H156" s="6"/>
      <c r="I156" s="6"/>
      <c r="J156" s="5"/>
      <c r="K156" s="5"/>
      <c r="L156" s="5"/>
      <c r="M156" s="5"/>
      <c r="N156" s="5"/>
      <c r="O156" s="5"/>
      <c r="P156" s="5"/>
      <c r="Q156" s="5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</row>
    <row r="157" spans="2:47" x14ac:dyDescent="0.25">
      <c r="B157" s="5"/>
      <c r="C157" s="5"/>
      <c r="D157" s="5"/>
      <c r="E157" s="5"/>
      <c r="F157" s="6"/>
      <c r="G157" s="6"/>
      <c r="H157" s="6"/>
      <c r="I157" s="6"/>
      <c r="J157" s="5"/>
      <c r="K157" s="5"/>
      <c r="L157" s="5"/>
      <c r="M157" s="5"/>
      <c r="N157" s="5"/>
      <c r="O157" s="5"/>
      <c r="P157" s="5"/>
      <c r="Q157" s="5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</row>
    <row r="158" spans="2:47" x14ac:dyDescent="0.25">
      <c r="B158" s="5"/>
      <c r="C158" s="5"/>
      <c r="D158" s="5"/>
      <c r="E158" s="5"/>
      <c r="F158" s="6"/>
      <c r="G158" s="6"/>
      <c r="H158" s="6"/>
      <c r="I158" s="6"/>
      <c r="J158" s="5"/>
      <c r="K158" s="5"/>
      <c r="L158" s="5"/>
      <c r="M158" s="5"/>
      <c r="N158" s="5"/>
      <c r="O158" s="5"/>
      <c r="P158" s="5"/>
      <c r="Q158" s="5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</row>
    <row r="159" spans="2:47" x14ac:dyDescent="0.25">
      <c r="B159" s="5"/>
      <c r="C159" s="5"/>
      <c r="D159" s="5"/>
      <c r="E159" s="5"/>
      <c r="F159" s="6"/>
      <c r="G159" s="6"/>
      <c r="H159" s="6"/>
      <c r="I159" s="6"/>
      <c r="J159" s="5"/>
      <c r="K159" s="5"/>
      <c r="L159" s="5"/>
      <c r="M159" s="5"/>
      <c r="N159" s="5"/>
      <c r="O159" s="5"/>
      <c r="P159" s="5"/>
      <c r="Q159" s="5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</row>
    <row r="160" spans="2:47" x14ac:dyDescent="0.25">
      <c r="B160" s="5"/>
      <c r="C160" s="5"/>
      <c r="D160" s="5"/>
      <c r="E160" s="5"/>
      <c r="F160" s="6"/>
      <c r="G160" s="6"/>
      <c r="H160" s="6"/>
      <c r="I160" s="6"/>
      <c r="J160" s="5"/>
      <c r="K160" s="5"/>
      <c r="L160" s="5"/>
      <c r="M160" s="5"/>
      <c r="N160" s="5"/>
      <c r="O160" s="5"/>
      <c r="P160" s="5"/>
      <c r="Q160" s="5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</row>
    <row r="161" spans="2:47" x14ac:dyDescent="0.25">
      <c r="B161" s="5"/>
      <c r="C161" s="5"/>
      <c r="D161" s="5"/>
      <c r="E161" s="5"/>
      <c r="F161" s="6"/>
      <c r="G161" s="6"/>
      <c r="H161" s="6"/>
      <c r="I161" s="6"/>
      <c r="J161" s="5"/>
      <c r="K161" s="5"/>
      <c r="L161" s="5"/>
      <c r="M161" s="5"/>
      <c r="N161" s="5"/>
      <c r="O161" s="5"/>
      <c r="P161" s="5"/>
      <c r="Q161" s="5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</row>
    <row r="162" spans="2:47" x14ac:dyDescent="0.25">
      <c r="B162" s="5"/>
      <c r="C162" s="5"/>
      <c r="D162" s="5"/>
      <c r="E162" s="5"/>
      <c r="F162" s="6"/>
      <c r="G162" s="6"/>
      <c r="H162" s="6"/>
      <c r="I162" s="6"/>
      <c r="J162" s="5"/>
      <c r="K162" s="5"/>
      <c r="L162" s="5"/>
      <c r="M162" s="5"/>
      <c r="N162" s="5"/>
      <c r="O162" s="5"/>
      <c r="P162" s="5"/>
      <c r="Q162" s="5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</row>
    <row r="163" spans="2:47" x14ac:dyDescent="0.25">
      <c r="B163" s="5"/>
      <c r="C163" s="5"/>
      <c r="D163" s="5"/>
      <c r="E163" s="5"/>
      <c r="F163" s="6"/>
      <c r="G163" s="6"/>
      <c r="H163" s="6"/>
      <c r="I163" s="6"/>
      <c r="J163" s="5"/>
      <c r="K163" s="5"/>
      <c r="L163" s="5"/>
      <c r="M163" s="5"/>
      <c r="N163" s="5"/>
      <c r="O163" s="5"/>
      <c r="P163" s="5"/>
      <c r="Q163" s="5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</row>
    <row r="164" spans="2:47" x14ac:dyDescent="0.25">
      <c r="B164" s="5"/>
      <c r="C164" s="5"/>
      <c r="D164" s="5"/>
      <c r="E164" s="5"/>
      <c r="F164" s="6"/>
      <c r="G164" s="6"/>
      <c r="H164" s="6"/>
      <c r="I164" s="6"/>
      <c r="J164" s="5"/>
      <c r="K164" s="5"/>
      <c r="L164" s="5"/>
      <c r="M164" s="5"/>
      <c r="N164" s="5"/>
      <c r="O164" s="5"/>
      <c r="P164" s="5"/>
      <c r="Q164" s="5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</row>
    <row r="165" spans="2:47" x14ac:dyDescent="0.25">
      <c r="B165" s="5"/>
      <c r="C165" s="5"/>
      <c r="D165" s="5"/>
      <c r="E165" s="5"/>
      <c r="F165" s="6"/>
      <c r="G165" s="6"/>
      <c r="H165" s="6"/>
      <c r="I165" s="6"/>
      <c r="J165" s="5"/>
      <c r="K165" s="5"/>
      <c r="L165" s="5"/>
      <c r="M165" s="5"/>
      <c r="N165" s="5"/>
      <c r="O165" s="5"/>
      <c r="P165" s="5"/>
      <c r="Q165" s="5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</row>
    <row r="166" spans="2:47" x14ac:dyDescent="0.25">
      <c r="B166" s="5"/>
      <c r="C166" s="5"/>
      <c r="D166" s="5"/>
      <c r="E166" s="5"/>
      <c r="F166" s="6"/>
      <c r="G166" s="6"/>
      <c r="H166" s="6"/>
      <c r="I166" s="6"/>
      <c r="J166" s="5"/>
      <c r="K166" s="5"/>
      <c r="L166" s="5"/>
      <c r="M166" s="5"/>
      <c r="N166" s="5"/>
      <c r="O166" s="5"/>
      <c r="P166" s="5"/>
      <c r="Q166" s="5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</row>
    <row r="167" spans="2:47" x14ac:dyDescent="0.25">
      <c r="B167" s="5"/>
      <c r="C167" s="5"/>
      <c r="D167" s="5"/>
      <c r="E167" s="5"/>
      <c r="F167" s="6"/>
      <c r="G167" s="6"/>
      <c r="H167" s="6"/>
      <c r="I167" s="6"/>
      <c r="J167" s="5"/>
      <c r="K167" s="5"/>
      <c r="L167" s="5"/>
      <c r="M167" s="5"/>
      <c r="N167" s="5"/>
      <c r="O167" s="5"/>
      <c r="P167" s="5"/>
      <c r="Q167" s="5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</row>
    <row r="168" spans="2:47" x14ac:dyDescent="0.25">
      <c r="B168" s="5"/>
      <c r="C168" s="5"/>
      <c r="D168" s="5"/>
      <c r="E168" s="5"/>
      <c r="F168" s="6"/>
      <c r="G168" s="6"/>
      <c r="H168" s="6"/>
      <c r="I168" s="6"/>
      <c r="J168" s="5"/>
      <c r="K168" s="5"/>
      <c r="L168" s="5"/>
      <c r="M168" s="5"/>
      <c r="N168" s="5"/>
      <c r="O168" s="5"/>
      <c r="P168" s="5"/>
      <c r="Q168" s="5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</row>
    <row r="169" spans="2:47" x14ac:dyDescent="0.25">
      <c r="B169" s="5"/>
      <c r="C169" s="5"/>
      <c r="D169" s="5"/>
      <c r="E169" s="5"/>
      <c r="F169" s="6"/>
      <c r="G169" s="6"/>
      <c r="H169" s="6"/>
      <c r="I169" s="6"/>
      <c r="J169" s="5"/>
      <c r="K169" s="5"/>
      <c r="L169" s="5"/>
      <c r="M169" s="5"/>
      <c r="N169" s="5"/>
      <c r="O169" s="5"/>
      <c r="P169" s="5"/>
      <c r="Q169" s="5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</row>
    <row r="170" spans="2:47" x14ac:dyDescent="0.25">
      <c r="B170" s="5"/>
      <c r="C170" s="5"/>
      <c r="D170" s="5"/>
      <c r="E170" s="5"/>
      <c r="F170" s="6"/>
      <c r="G170" s="6"/>
      <c r="H170" s="6"/>
      <c r="I170" s="6"/>
      <c r="J170" s="5"/>
      <c r="K170" s="5"/>
      <c r="L170" s="5"/>
      <c r="M170" s="5"/>
      <c r="N170" s="5"/>
      <c r="O170" s="5"/>
      <c r="P170" s="5"/>
      <c r="Q170" s="5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</row>
    <row r="171" spans="2:47" x14ac:dyDescent="0.25">
      <c r="B171" s="5"/>
      <c r="C171" s="5"/>
      <c r="D171" s="5"/>
      <c r="E171" s="5"/>
      <c r="F171" s="6"/>
      <c r="G171" s="6"/>
      <c r="H171" s="6"/>
      <c r="I171" s="6"/>
      <c r="J171" s="5"/>
      <c r="K171" s="5"/>
      <c r="L171" s="5"/>
      <c r="M171" s="5"/>
      <c r="N171" s="5"/>
      <c r="O171" s="5"/>
      <c r="P171" s="5"/>
      <c r="Q171" s="5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</row>
    <row r="172" spans="2:47" x14ac:dyDescent="0.25">
      <c r="B172" s="5"/>
      <c r="C172" s="5"/>
      <c r="D172" s="5"/>
      <c r="E172" s="5"/>
      <c r="F172" s="6"/>
      <c r="G172" s="6"/>
      <c r="H172" s="6"/>
      <c r="I172" s="6"/>
      <c r="J172" s="5"/>
      <c r="K172" s="5"/>
      <c r="L172" s="5"/>
      <c r="M172" s="5"/>
      <c r="N172" s="5"/>
      <c r="O172" s="5"/>
      <c r="P172" s="5"/>
      <c r="Q172" s="5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</row>
    <row r="173" spans="2:47" x14ac:dyDescent="0.25">
      <c r="B173" s="5"/>
      <c r="C173" s="5"/>
      <c r="D173" s="5"/>
      <c r="E173" s="5"/>
      <c r="F173" s="6"/>
      <c r="G173" s="6"/>
      <c r="H173" s="6"/>
      <c r="I173" s="6"/>
      <c r="J173" s="5"/>
      <c r="K173" s="5"/>
      <c r="L173" s="5"/>
      <c r="M173" s="5"/>
      <c r="N173" s="5"/>
      <c r="O173" s="5"/>
      <c r="P173" s="5"/>
      <c r="Q173" s="5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</row>
    <row r="174" spans="2:47" x14ac:dyDescent="0.25">
      <c r="B174" s="5"/>
      <c r="C174" s="5"/>
      <c r="D174" s="5"/>
      <c r="E174" s="5"/>
      <c r="F174" s="6"/>
      <c r="G174" s="6"/>
      <c r="H174" s="6"/>
      <c r="I174" s="6"/>
      <c r="J174" s="5"/>
      <c r="K174" s="5"/>
      <c r="L174" s="5"/>
      <c r="M174" s="5"/>
      <c r="N174" s="5"/>
      <c r="O174" s="5"/>
      <c r="P174" s="5"/>
      <c r="Q174" s="5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</row>
    <row r="175" spans="2:47" x14ac:dyDescent="0.25">
      <c r="J175" s="5"/>
      <c r="K175" s="5"/>
      <c r="L175" s="5"/>
      <c r="M175" s="5"/>
      <c r="N175" s="5"/>
      <c r="O175" s="5"/>
      <c r="P175" s="5"/>
      <c r="Q175" s="5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</row>
  </sheetData>
  <mergeCells count="3">
    <mergeCell ref="N4:O4"/>
    <mergeCell ref="N2:O3"/>
    <mergeCell ref="J1:K2"/>
  </mergeCells>
  <conditionalFormatting sqref="M4:N29">
    <cfRule type="cellIs" dxfId="25" priority="1" operator="greaterThanOrEqual">
      <formula>1</formula>
    </cfRule>
    <cfRule type="cellIs" dxfId="24" priority="2" operator="greaterThanOrEqual">
      <formula>0.8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3B8AC-C0D1-4CE1-8635-F8406A70B894}">
  <dimension ref="A1:BB71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16" sqref="L16"/>
    </sheetView>
  </sheetViews>
  <sheetFormatPr defaultRowHeight="15" x14ac:dyDescent="0.25"/>
  <cols>
    <col min="1" max="1" width="12.140625" style="41" customWidth="1"/>
    <col min="2" max="2" width="11.7109375" style="41" customWidth="1"/>
    <col min="3" max="3" width="11.7109375" style="41" hidden="1" customWidth="1"/>
    <col min="4" max="4" width="12.140625" style="41" customWidth="1"/>
    <col min="5" max="5" width="10.85546875" style="41" bestFit="1" customWidth="1"/>
    <col min="6" max="6" width="14.42578125" style="41" customWidth="1"/>
    <col min="7" max="7" width="10.140625" style="41" customWidth="1"/>
    <col min="8" max="10" width="8.7109375" style="41" customWidth="1"/>
    <col min="11" max="11" width="10.85546875" style="41" customWidth="1"/>
    <col min="12" max="12" width="13.85546875" style="41" customWidth="1"/>
    <col min="13" max="13" width="13.42578125" style="41" customWidth="1"/>
    <col min="14" max="14" width="13.42578125" style="41" hidden="1" customWidth="1"/>
    <col min="15" max="15" width="11.85546875" style="41" hidden="1" customWidth="1"/>
    <col min="16" max="18" width="9.140625" style="41" hidden="1" customWidth="1"/>
    <col min="19" max="19" width="11.85546875" style="41" hidden="1" customWidth="1"/>
    <col min="20" max="20" width="9.140625" style="41"/>
    <col min="21" max="21" width="13.42578125" style="41" customWidth="1"/>
    <col min="22" max="22" width="11.85546875" style="41" hidden="1" customWidth="1"/>
    <col min="23" max="25" width="0" style="41" hidden="1" customWidth="1"/>
    <col min="26" max="26" width="11.85546875" style="41" hidden="1" customWidth="1"/>
    <col min="27" max="27" width="9.140625" style="41"/>
    <col min="28" max="28" width="12.140625" style="41" customWidth="1"/>
    <col min="29" max="29" width="8.7109375" style="41" customWidth="1"/>
    <col min="30" max="30" width="18" style="41" customWidth="1"/>
    <col min="31" max="31" width="12.5703125" style="41" bestFit="1" customWidth="1"/>
    <col min="32" max="32" width="12.5703125" style="41" customWidth="1"/>
    <col min="33" max="33" width="12.85546875" style="41" customWidth="1"/>
    <col min="34" max="34" width="10.7109375" style="41" customWidth="1"/>
    <col min="35" max="35" width="45.42578125" style="41" customWidth="1"/>
    <col min="36" max="36" width="26.5703125" style="41" customWidth="1"/>
    <col min="37" max="37" width="27.28515625" style="41" customWidth="1"/>
  </cols>
  <sheetData>
    <row r="1" spans="1:54" ht="30.75" thickBot="1" x14ac:dyDescent="0.3">
      <c r="A1" s="61" t="s">
        <v>120</v>
      </c>
      <c r="B1" s="36" t="s">
        <v>58</v>
      </c>
      <c r="C1" s="36" t="s">
        <v>54</v>
      </c>
      <c r="D1" s="61" t="s">
        <v>55</v>
      </c>
      <c r="E1" s="61" t="s">
        <v>106</v>
      </c>
      <c r="F1" s="50"/>
      <c r="G1" s="61" t="s">
        <v>71</v>
      </c>
      <c r="H1" s="36" t="s">
        <v>61</v>
      </c>
      <c r="I1" s="44" t="s">
        <v>63</v>
      </c>
      <c r="J1" s="36" t="s">
        <v>62</v>
      </c>
      <c r="K1" s="54"/>
      <c r="L1" s="55"/>
      <c r="M1" s="63" t="s">
        <v>72</v>
      </c>
      <c r="N1" s="60" t="s">
        <v>67</v>
      </c>
      <c r="O1" s="50" t="s">
        <v>61</v>
      </c>
      <c r="P1" s="44" t="s">
        <v>68</v>
      </c>
      <c r="Q1" s="36" t="s">
        <v>62</v>
      </c>
      <c r="R1" s="36"/>
      <c r="S1" s="61" t="s">
        <v>107</v>
      </c>
      <c r="T1" s="36"/>
      <c r="U1" s="63" t="s">
        <v>140</v>
      </c>
      <c r="V1" s="50" t="s">
        <v>61</v>
      </c>
      <c r="W1" s="44" t="s">
        <v>68</v>
      </c>
      <c r="X1" s="36" t="s">
        <v>62</v>
      </c>
      <c r="Y1" s="36"/>
      <c r="Z1" s="61" t="s">
        <v>141</v>
      </c>
      <c r="AA1" s="126"/>
      <c r="AB1" s="132" t="s">
        <v>124</v>
      </c>
      <c r="AC1" s="133"/>
      <c r="AD1" s="62" t="s">
        <v>110</v>
      </c>
      <c r="AE1" s="134" t="s">
        <v>125</v>
      </c>
      <c r="AF1" s="133"/>
      <c r="AG1" s="132" t="s">
        <v>126</v>
      </c>
      <c r="AH1" s="133"/>
      <c r="AI1" s="36" t="s">
        <v>57</v>
      </c>
      <c r="AJ1"/>
      <c r="AK1"/>
    </row>
    <row r="2" spans="1:54" ht="15.75" thickTop="1" x14ac:dyDescent="0.25">
      <c r="A2" s="45" t="s">
        <v>108</v>
      </c>
      <c r="B2" s="45" t="s">
        <v>58</v>
      </c>
      <c r="C2" s="2">
        <v>1</v>
      </c>
      <c r="D2" s="45">
        <v>10</v>
      </c>
      <c r="E2" s="125">
        <f>IF(D2&gt;0, 1, 0)</f>
        <v>1</v>
      </c>
      <c r="F2" s="51"/>
      <c r="G2" s="45">
        <v>8</v>
      </c>
      <c r="H2" s="46">
        <f>IF(G2&gt;10, 10, G2)</f>
        <v>8</v>
      </c>
      <c r="I2" s="46">
        <f>IF(G2&gt;20,10,MAX(0,G2-10))</f>
        <v>0</v>
      </c>
      <c r="J2" s="46">
        <f>IF(G2&gt;30,10,MAX(0,G2-20))</f>
        <v>0</v>
      </c>
      <c r="K2" s="52"/>
      <c r="L2" s="56"/>
      <c r="M2" s="45">
        <v>11</v>
      </c>
      <c r="N2" s="46">
        <f>MAX(0,M2-G2)</f>
        <v>3</v>
      </c>
      <c r="O2" s="46">
        <f t="shared" ref="O2:O11" si="0">MAX(0,IF(M2&lt;10,M2-G2,IF(M2&gt;0, IF(G2&gt;10, 0,(10-G2)))))</f>
        <v>2</v>
      </c>
      <c r="P2" s="46">
        <f>IF(G2&gt;20,0,IF(G2&gt;10,IF(20&gt;=G2&gt;=10,MIN(20-G2,M2-G2),MIN(10,MIN(0,M2-G2))),IF(M2&gt;20,10,MAX(0,M2-10))))</f>
        <v>1</v>
      </c>
      <c r="Q2" s="46">
        <f>IF(G2&gt;20, IF(M2&gt;30,10,MAX(0,M2-20)+20-G2),IF(M2&gt;30,10,MAX(0,M2-20) ))</f>
        <v>0</v>
      </c>
      <c r="R2" s="46"/>
      <c r="S2" s="46">
        <f>IF(M2&gt;0, 1, 0)</f>
        <v>1</v>
      </c>
      <c r="T2" s="37"/>
      <c r="U2" s="45">
        <v>15</v>
      </c>
      <c r="V2" s="46">
        <f>IF(U2&gt;10, 10, U2)</f>
        <v>10</v>
      </c>
      <c r="W2" s="46">
        <f>IF(U2&gt;20,10,MAX(0,U2-10))</f>
        <v>5</v>
      </c>
      <c r="X2" s="46">
        <f>IF(U2&gt;30,10,MAX(0,U2-20))</f>
        <v>0</v>
      </c>
      <c r="Y2" s="46"/>
      <c r="Z2" s="46">
        <f>IF(U2&gt;0, 1, 0)</f>
        <v>1</v>
      </c>
      <c r="AA2" s="40"/>
      <c r="AB2" s="45" t="s">
        <v>127</v>
      </c>
      <c r="AC2" s="45" t="s">
        <v>5</v>
      </c>
      <c r="AD2" s="45" t="s">
        <v>59</v>
      </c>
      <c r="AE2" s="45" t="s">
        <v>59</v>
      </c>
      <c r="AF2" s="45" t="s">
        <v>127</v>
      </c>
      <c r="AG2" s="45" t="s">
        <v>59</v>
      </c>
      <c r="AH2" s="45"/>
      <c r="AI2" s="45"/>
      <c r="AJ2"/>
      <c r="AK2"/>
      <c r="BB2" s="46">
        <f>IF(10&lt;G2&lt;20,20-G2,(IF(G2&lt;10,10,0)))</f>
        <v>10</v>
      </c>
    </row>
    <row r="3" spans="1:54" x14ac:dyDescent="0.25">
      <c r="A3" s="45" t="s">
        <v>116</v>
      </c>
      <c r="B3" s="45" t="s">
        <v>58</v>
      </c>
      <c r="C3" s="2">
        <v>1</v>
      </c>
      <c r="D3" s="45">
        <v>5</v>
      </c>
      <c r="E3" s="125">
        <f t="shared" ref="E3:E27" si="1">IF(D3&gt;0, 1, 0)</f>
        <v>1</v>
      </c>
      <c r="F3" s="48"/>
      <c r="G3" s="45">
        <v>3</v>
      </c>
      <c r="H3" s="46">
        <f t="shared" ref="H3:H27" si="2">IF(G3&gt;10, 10, G3)</f>
        <v>3</v>
      </c>
      <c r="I3" s="46">
        <f t="shared" ref="I3:I27" si="3">IF(G3&gt;20,10,MAX(0,G3-10))</f>
        <v>0</v>
      </c>
      <c r="J3" s="46">
        <f t="shared" ref="J3:J27" si="4">IF(G3&gt;30,10,MAX(0,G3-20))</f>
        <v>0</v>
      </c>
      <c r="K3" s="25"/>
      <c r="L3" s="25"/>
      <c r="M3" s="45">
        <v>3</v>
      </c>
      <c r="N3" s="46">
        <f t="shared" ref="N3:N27" si="5">MAX(0,M3-G3)</f>
        <v>0</v>
      </c>
      <c r="O3" s="46">
        <f t="shared" si="0"/>
        <v>0</v>
      </c>
      <c r="P3" s="46">
        <f>IF(G3&gt;20,0,IF(G3&gt;10,IF(20&gt;=G3&gt;=10,MIN(20-G3,M3-G3),MIN(10,MIN(0,M3-G3))),IF(M3&gt;20,10,MAX(0,M3-10))))</f>
        <v>0</v>
      </c>
      <c r="Q3" s="46">
        <f t="shared" ref="Q3:Q27" si="6">IF(G3&gt;20, IF(M3&gt;30,10,MAX(0,M3-20)+20-G3),IF(M3&gt;30,10,MAX(0,M3-20) ))</f>
        <v>0</v>
      </c>
      <c r="R3" s="46"/>
      <c r="S3" s="46">
        <f t="shared" ref="S3:S27" si="7">IF(M3&gt;0, 1, 0)</f>
        <v>1</v>
      </c>
      <c r="T3" s="38"/>
      <c r="U3" s="45">
        <v>1</v>
      </c>
      <c r="V3" s="46">
        <f t="shared" ref="V3:V27" si="8">IF(U3&gt;10, 10, U3)</f>
        <v>1</v>
      </c>
      <c r="W3" s="46">
        <f t="shared" ref="W3:W27" si="9">IF(U3&gt;20,10,MAX(0,U3-10))</f>
        <v>0</v>
      </c>
      <c r="X3" s="46">
        <f t="shared" ref="X3:X27" si="10">IF(U3&gt;30,10,MAX(0,U3-20))</f>
        <v>0</v>
      </c>
      <c r="Y3" s="46"/>
      <c r="Z3" s="46">
        <f t="shared" ref="Z3:Z27" si="11">IF(U3&gt;0, 1, 0)</f>
        <v>1</v>
      </c>
      <c r="AA3" s="40"/>
      <c r="AB3" s="45" t="s">
        <v>59</v>
      </c>
      <c r="AC3" s="45" t="s">
        <v>127</v>
      </c>
      <c r="AD3" s="45"/>
      <c r="AE3" s="45" t="s">
        <v>127</v>
      </c>
      <c r="AF3" s="45"/>
      <c r="AG3" s="45"/>
      <c r="AH3" s="45" t="s">
        <v>5</v>
      </c>
      <c r="AI3" s="45"/>
      <c r="AJ3"/>
      <c r="AK3"/>
      <c r="BB3" s="114" t="s">
        <v>115</v>
      </c>
    </row>
    <row r="4" spans="1:54" x14ac:dyDescent="0.25">
      <c r="A4" s="45" t="str">
        <f>'[1]Section B'!$K$2</f>
        <v>BH 1</v>
      </c>
      <c r="B4" s="45"/>
      <c r="C4" s="2">
        <v>1</v>
      </c>
      <c r="D4" s="45">
        <f>'[1]Section B'!$K$3</f>
        <v>19</v>
      </c>
      <c r="E4" s="125">
        <f t="shared" si="1"/>
        <v>1</v>
      </c>
      <c r="F4" s="48"/>
      <c r="G4" s="45">
        <f>'[1]Section B'!$K$4</f>
        <v>8</v>
      </c>
      <c r="H4" s="46">
        <f t="shared" si="2"/>
        <v>8</v>
      </c>
      <c r="I4" s="46">
        <f t="shared" si="3"/>
        <v>0</v>
      </c>
      <c r="J4" s="46">
        <f t="shared" si="4"/>
        <v>0</v>
      </c>
      <c r="K4" s="25"/>
      <c r="L4" s="25"/>
      <c r="M4" s="45">
        <f>'[1]Section B'!$K$5</f>
        <v>11</v>
      </c>
      <c r="N4" s="46">
        <f t="shared" si="5"/>
        <v>3</v>
      </c>
      <c r="O4" s="46">
        <f t="shared" si="0"/>
        <v>2</v>
      </c>
      <c r="P4" s="46">
        <f t="shared" ref="P4:P27" si="12">IF(G4&gt;20,0,IF(G4&gt;10,IF(20&gt;=G4&gt;=10,MIN(20-G4,M4-G4),MIN(10,MIN(0,M4-G4))),IF(M4&gt;20,10,MAX(0,M4-10))))</f>
        <v>1</v>
      </c>
      <c r="Q4" s="46">
        <f t="shared" si="6"/>
        <v>0</v>
      </c>
      <c r="R4" s="46"/>
      <c r="S4" s="46">
        <f t="shared" si="7"/>
        <v>1</v>
      </c>
      <c r="T4" s="38"/>
      <c r="U4" s="45">
        <v>15</v>
      </c>
      <c r="V4" s="46">
        <f t="shared" si="8"/>
        <v>10</v>
      </c>
      <c r="W4" s="46">
        <f t="shared" si="9"/>
        <v>5</v>
      </c>
      <c r="X4" s="46">
        <f t="shared" si="10"/>
        <v>0</v>
      </c>
      <c r="Y4" s="46"/>
      <c r="Z4" s="46">
        <f t="shared" si="11"/>
        <v>1</v>
      </c>
      <c r="AA4" s="40"/>
      <c r="AB4" s="45"/>
      <c r="AC4" s="45"/>
      <c r="AD4" s="45"/>
      <c r="AE4" s="45"/>
      <c r="AF4" s="45" t="s">
        <v>5</v>
      </c>
      <c r="AG4" s="45" t="s">
        <v>127</v>
      </c>
      <c r="AH4" s="45"/>
      <c r="AI4" s="45"/>
      <c r="AJ4"/>
      <c r="AK4"/>
    </row>
    <row r="5" spans="1:54" x14ac:dyDescent="0.25">
      <c r="A5" s="45"/>
      <c r="B5" s="45"/>
      <c r="C5" s="2">
        <v>1</v>
      </c>
      <c r="D5" s="45"/>
      <c r="E5" s="125">
        <f t="shared" si="1"/>
        <v>0</v>
      </c>
      <c r="F5" s="48"/>
      <c r="G5" s="45"/>
      <c r="H5" s="46">
        <f t="shared" si="2"/>
        <v>0</v>
      </c>
      <c r="I5" s="46">
        <f t="shared" si="3"/>
        <v>0</v>
      </c>
      <c r="J5" s="46">
        <f t="shared" si="4"/>
        <v>0</v>
      </c>
      <c r="K5" s="25"/>
      <c r="L5" s="25"/>
      <c r="M5" s="45"/>
      <c r="N5" s="46">
        <f t="shared" si="5"/>
        <v>0</v>
      </c>
      <c r="O5" s="46">
        <f t="shared" si="0"/>
        <v>0</v>
      </c>
      <c r="P5" s="46">
        <f t="shared" si="12"/>
        <v>0</v>
      </c>
      <c r="Q5" s="46">
        <f t="shared" si="6"/>
        <v>0</v>
      </c>
      <c r="R5" s="46"/>
      <c r="S5" s="46">
        <f t="shared" si="7"/>
        <v>0</v>
      </c>
      <c r="T5" s="38"/>
      <c r="U5" s="45"/>
      <c r="V5" s="46">
        <f t="shared" si="8"/>
        <v>0</v>
      </c>
      <c r="W5" s="46">
        <f t="shared" si="9"/>
        <v>0</v>
      </c>
      <c r="X5" s="46">
        <f t="shared" si="10"/>
        <v>0</v>
      </c>
      <c r="Y5" s="46"/>
      <c r="Z5" s="46">
        <f t="shared" si="11"/>
        <v>0</v>
      </c>
      <c r="AA5" s="40"/>
      <c r="AB5" s="45" t="s">
        <v>59</v>
      </c>
      <c r="AC5" s="45"/>
      <c r="AD5" s="45"/>
      <c r="AE5" s="45"/>
      <c r="AF5" s="45"/>
      <c r="AG5" s="45"/>
      <c r="AH5" s="45"/>
      <c r="AI5" s="45"/>
      <c r="AJ5"/>
      <c r="AK5"/>
    </row>
    <row r="6" spans="1:54" x14ac:dyDescent="0.25">
      <c r="A6" s="45"/>
      <c r="B6" s="45"/>
      <c r="C6" s="2">
        <v>1</v>
      </c>
      <c r="D6" s="45"/>
      <c r="E6" s="125">
        <f t="shared" si="1"/>
        <v>0</v>
      </c>
      <c r="F6" s="48"/>
      <c r="G6" s="45"/>
      <c r="H6" s="46">
        <f t="shared" si="2"/>
        <v>0</v>
      </c>
      <c r="I6" s="46">
        <f t="shared" si="3"/>
        <v>0</v>
      </c>
      <c r="J6" s="46">
        <f t="shared" si="4"/>
        <v>0</v>
      </c>
      <c r="K6" s="25"/>
      <c r="L6" s="53"/>
      <c r="M6" s="45"/>
      <c r="N6" s="46">
        <f t="shared" si="5"/>
        <v>0</v>
      </c>
      <c r="O6" s="46">
        <f t="shared" si="0"/>
        <v>0</v>
      </c>
      <c r="P6" s="46">
        <f t="shared" si="12"/>
        <v>0</v>
      </c>
      <c r="Q6" s="46">
        <f t="shared" si="6"/>
        <v>0</v>
      </c>
      <c r="R6" s="46"/>
      <c r="S6" s="46">
        <f t="shared" si="7"/>
        <v>0</v>
      </c>
      <c r="T6" s="38"/>
      <c r="U6" s="45"/>
      <c r="V6" s="46">
        <f t="shared" si="8"/>
        <v>0</v>
      </c>
      <c r="W6" s="46">
        <f t="shared" si="9"/>
        <v>0</v>
      </c>
      <c r="X6" s="46">
        <f t="shared" si="10"/>
        <v>0</v>
      </c>
      <c r="Y6" s="46"/>
      <c r="Z6" s="46">
        <f t="shared" si="11"/>
        <v>0</v>
      </c>
      <c r="AA6" s="40"/>
      <c r="AB6" s="45"/>
      <c r="AC6" s="45" t="s">
        <v>5</v>
      </c>
      <c r="AD6" s="45"/>
      <c r="AE6" s="45"/>
      <c r="AF6" s="45"/>
      <c r="AG6" s="45"/>
      <c r="AH6" s="45" t="s">
        <v>127</v>
      </c>
      <c r="AI6" s="45"/>
      <c r="AJ6"/>
      <c r="AK6"/>
    </row>
    <row r="7" spans="1:54" x14ac:dyDescent="0.25">
      <c r="A7" s="45"/>
      <c r="B7" s="45"/>
      <c r="C7" s="2">
        <v>1</v>
      </c>
      <c r="D7" s="45"/>
      <c r="E7" s="125">
        <f t="shared" si="1"/>
        <v>0</v>
      </c>
      <c r="F7" s="48"/>
      <c r="G7" s="45"/>
      <c r="H7" s="46">
        <f t="shared" si="2"/>
        <v>0</v>
      </c>
      <c r="I7" s="46">
        <f t="shared" si="3"/>
        <v>0</v>
      </c>
      <c r="J7" s="46">
        <f t="shared" si="4"/>
        <v>0</v>
      </c>
      <c r="K7" s="25"/>
      <c r="L7" s="53"/>
      <c r="M7" s="45"/>
      <c r="N7" s="46">
        <f t="shared" si="5"/>
        <v>0</v>
      </c>
      <c r="O7" s="46">
        <f t="shared" si="0"/>
        <v>0</v>
      </c>
      <c r="P7" s="46">
        <f t="shared" si="12"/>
        <v>0</v>
      </c>
      <c r="Q7" s="46">
        <f t="shared" si="6"/>
        <v>0</v>
      </c>
      <c r="R7" s="46"/>
      <c r="S7" s="46">
        <f t="shared" si="7"/>
        <v>0</v>
      </c>
      <c r="T7" s="38"/>
      <c r="U7" s="45"/>
      <c r="V7" s="46">
        <f t="shared" si="8"/>
        <v>0</v>
      </c>
      <c r="W7" s="46">
        <f t="shared" si="9"/>
        <v>0</v>
      </c>
      <c r="X7" s="46">
        <f t="shared" si="10"/>
        <v>0</v>
      </c>
      <c r="Y7" s="46"/>
      <c r="Z7" s="46">
        <f t="shared" si="11"/>
        <v>0</v>
      </c>
      <c r="AA7" s="40"/>
      <c r="AB7" s="45"/>
      <c r="AC7" s="45" t="s">
        <v>5</v>
      </c>
      <c r="AD7" s="45"/>
      <c r="AE7" s="45"/>
      <c r="AF7" s="45"/>
      <c r="AG7" s="45"/>
      <c r="AH7" s="45"/>
      <c r="AI7" s="45"/>
      <c r="AJ7"/>
      <c r="AK7"/>
    </row>
    <row r="8" spans="1:54" x14ac:dyDescent="0.25">
      <c r="A8" s="45"/>
      <c r="B8" s="45"/>
      <c r="C8" s="2">
        <v>1</v>
      </c>
      <c r="D8" s="45"/>
      <c r="E8" s="125">
        <f t="shared" si="1"/>
        <v>0</v>
      </c>
      <c r="F8" s="48"/>
      <c r="G8" s="45"/>
      <c r="H8" s="46">
        <f t="shared" si="2"/>
        <v>0</v>
      </c>
      <c r="I8" s="46">
        <f t="shared" si="3"/>
        <v>0</v>
      </c>
      <c r="J8" s="46">
        <f t="shared" si="4"/>
        <v>0</v>
      </c>
      <c r="K8" s="25"/>
      <c r="L8" s="57"/>
      <c r="M8" s="45"/>
      <c r="N8" s="46">
        <f t="shared" si="5"/>
        <v>0</v>
      </c>
      <c r="O8" s="46">
        <f t="shared" si="0"/>
        <v>0</v>
      </c>
      <c r="P8" s="46">
        <f t="shared" si="12"/>
        <v>0</v>
      </c>
      <c r="Q8" s="46">
        <f t="shared" si="6"/>
        <v>0</v>
      </c>
      <c r="R8" s="46"/>
      <c r="S8" s="46">
        <f t="shared" si="7"/>
        <v>0</v>
      </c>
      <c r="T8" s="38"/>
      <c r="U8" s="45"/>
      <c r="V8" s="46">
        <f t="shared" si="8"/>
        <v>0</v>
      </c>
      <c r="W8" s="46">
        <f t="shared" si="9"/>
        <v>0</v>
      </c>
      <c r="X8" s="46">
        <f t="shared" si="10"/>
        <v>0</v>
      </c>
      <c r="Y8" s="46"/>
      <c r="Z8" s="46">
        <f t="shared" si="11"/>
        <v>0</v>
      </c>
      <c r="AA8" s="40"/>
      <c r="AB8" s="45"/>
      <c r="AC8" s="45" t="s">
        <v>5</v>
      </c>
      <c r="AD8" s="45"/>
      <c r="AE8" s="45"/>
      <c r="AF8" s="45"/>
      <c r="AG8" s="45"/>
      <c r="AH8" s="45"/>
      <c r="AI8" s="45"/>
      <c r="AJ8"/>
      <c r="AK8"/>
    </row>
    <row r="9" spans="1:54" x14ac:dyDescent="0.25">
      <c r="A9" s="45"/>
      <c r="B9" s="45"/>
      <c r="C9" s="2">
        <v>1</v>
      </c>
      <c r="D9" s="45"/>
      <c r="E9" s="125">
        <f t="shared" si="1"/>
        <v>0</v>
      </c>
      <c r="F9" s="48"/>
      <c r="G9" s="45"/>
      <c r="H9" s="46">
        <f t="shared" si="2"/>
        <v>0</v>
      </c>
      <c r="I9" s="46">
        <f t="shared" si="3"/>
        <v>0</v>
      </c>
      <c r="J9" s="46">
        <f t="shared" si="4"/>
        <v>0</v>
      </c>
      <c r="K9" s="25"/>
      <c r="L9" s="25"/>
      <c r="M9" s="45"/>
      <c r="N9" s="46">
        <f t="shared" si="5"/>
        <v>0</v>
      </c>
      <c r="O9" s="46">
        <f t="shared" si="0"/>
        <v>0</v>
      </c>
      <c r="P9" s="46">
        <f t="shared" si="12"/>
        <v>0</v>
      </c>
      <c r="Q9" s="46">
        <f t="shared" si="6"/>
        <v>0</v>
      </c>
      <c r="R9" s="46"/>
      <c r="S9" s="46">
        <f t="shared" si="7"/>
        <v>0</v>
      </c>
      <c r="T9" s="38"/>
      <c r="U9" s="45"/>
      <c r="V9" s="46">
        <f t="shared" si="8"/>
        <v>0</v>
      </c>
      <c r="W9" s="46">
        <f t="shared" si="9"/>
        <v>0</v>
      </c>
      <c r="X9" s="46">
        <f t="shared" si="10"/>
        <v>0</v>
      </c>
      <c r="Y9" s="46"/>
      <c r="Z9" s="46">
        <f t="shared" si="11"/>
        <v>0</v>
      </c>
      <c r="AA9" s="40"/>
      <c r="AB9" s="45" t="s">
        <v>59</v>
      </c>
      <c r="AC9" s="45" t="s">
        <v>5</v>
      </c>
      <c r="AD9" s="45"/>
      <c r="AE9" s="45"/>
      <c r="AF9" s="45"/>
      <c r="AG9" s="45"/>
      <c r="AH9" s="45"/>
      <c r="AI9" s="45"/>
      <c r="AJ9"/>
      <c r="AK9"/>
    </row>
    <row r="10" spans="1:54" x14ac:dyDescent="0.25">
      <c r="A10" s="45"/>
      <c r="B10" s="45"/>
      <c r="C10" s="2">
        <v>1</v>
      </c>
      <c r="D10" s="45"/>
      <c r="E10" s="125">
        <f t="shared" si="1"/>
        <v>0</v>
      </c>
      <c r="F10" s="48"/>
      <c r="G10" s="45"/>
      <c r="H10" s="46">
        <f t="shared" si="2"/>
        <v>0</v>
      </c>
      <c r="I10" s="46">
        <f t="shared" si="3"/>
        <v>0</v>
      </c>
      <c r="J10" s="46">
        <f t="shared" si="4"/>
        <v>0</v>
      </c>
      <c r="K10" s="25"/>
      <c r="L10" s="53"/>
      <c r="M10" s="45"/>
      <c r="N10" s="46">
        <f t="shared" si="5"/>
        <v>0</v>
      </c>
      <c r="O10" s="46">
        <f t="shared" si="0"/>
        <v>0</v>
      </c>
      <c r="P10" s="46">
        <f t="shared" si="12"/>
        <v>0</v>
      </c>
      <c r="Q10" s="46">
        <f t="shared" si="6"/>
        <v>0</v>
      </c>
      <c r="R10" s="46"/>
      <c r="S10" s="46">
        <f t="shared" si="7"/>
        <v>0</v>
      </c>
      <c r="T10" s="38"/>
      <c r="U10" s="45"/>
      <c r="V10" s="46">
        <f t="shared" si="8"/>
        <v>0</v>
      </c>
      <c r="W10" s="46">
        <f t="shared" si="9"/>
        <v>0</v>
      </c>
      <c r="X10" s="46">
        <f t="shared" si="10"/>
        <v>0</v>
      </c>
      <c r="Y10" s="46"/>
      <c r="Z10" s="46">
        <f t="shared" si="11"/>
        <v>0</v>
      </c>
      <c r="AA10" s="40"/>
      <c r="AB10" s="45"/>
      <c r="AC10" s="45" t="s">
        <v>5</v>
      </c>
      <c r="AD10" s="45"/>
      <c r="AE10" s="45"/>
      <c r="AF10" s="45"/>
      <c r="AG10" s="45"/>
      <c r="AH10" s="45"/>
      <c r="AI10" s="45"/>
      <c r="AJ10"/>
      <c r="AK10"/>
    </row>
    <row r="11" spans="1:54" x14ac:dyDescent="0.25">
      <c r="A11" s="45"/>
      <c r="B11" s="45"/>
      <c r="C11" s="2">
        <v>1</v>
      </c>
      <c r="D11" s="45"/>
      <c r="E11" s="125">
        <f t="shared" si="1"/>
        <v>0</v>
      </c>
      <c r="F11" s="48"/>
      <c r="G11" s="45"/>
      <c r="H11" s="46">
        <f t="shared" si="2"/>
        <v>0</v>
      </c>
      <c r="I11" s="46">
        <f t="shared" si="3"/>
        <v>0</v>
      </c>
      <c r="J11" s="46">
        <f t="shared" si="4"/>
        <v>0</v>
      </c>
      <c r="K11" s="25"/>
      <c r="L11" s="57"/>
      <c r="M11" s="45"/>
      <c r="N11" s="46">
        <f t="shared" si="5"/>
        <v>0</v>
      </c>
      <c r="O11" s="46">
        <f t="shared" si="0"/>
        <v>0</v>
      </c>
      <c r="P11" s="46">
        <f t="shared" si="12"/>
        <v>0</v>
      </c>
      <c r="Q11" s="46">
        <f t="shared" si="6"/>
        <v>0</v>
      </c>
      <c r="R11" s="46"/>
      <c r="S11" s="46">
        <f t="shared" si="7"/>
        <v>0</v>
      </c>
      <c r="T11" s="38"/>
      <c r="U11" s="45"/>
      <c r="V11" s="46">
        <f t="shared" si="8"/>
        <v>0</v>
      </c>
      <c r="W11" s="46">
        <f t="shared" si="9"/>
        <v>0</v>
      </c>
      <c r="X11" s="46">
        <f t="shared" si="10"/>
        <v>0</v>
      </c>
      <c r="Y11" s="46"/>
      <c r="Z11" s="46">
        <f t="shared" si="11"/>
        <v>0</v>
      </c>
      <c r="AA11" s="40"/>
      <c r="AB11" s="45"/>
      <c r="AC11" s="45" t="s">
        <v>5</v>
      </c>
      <c r="AD11" s="45"/>
      <c r="AE11" s="45"/>
      <c r="AF11" s="45"/>
      <c r="AG11" s="45"/>
      <c r="AH11" s="45"/>
      <c r="AI11" s="45"/>
      <c r="AJ11"/>
      <c r="AK11"/>
    </row>
    <row r="12" spans="1:54" x14ac:dyDescent="0.25">
      <c r="A12" s="45"/>
      <c r="B12" s="45"/>
      <c r="C12" s="2">
        <v>1</v>
      </c>
      <c r="D12" s="45"/>
      <c r="E12" s="125">
        <f t="shared" si="1"/>
        <v>0</v>
      </c>
      <c r="F12" s="48"/>
      <c r="G12" s="45"/>
      <c r="H12" s="46">
        <f t="shared" si="2"/>
        <v>0</v>
      </c>
      <c r="I12" s="46">
        <f t="shared" si="3"/>
        <v>0</v>
      </c>
      <c r="J12" s="46">
        <f t="shared" si="4"/>
        <v>0</v>
      </c>
      <c r="K12" s="25"/>
      <c r="L12" s="58"/>
      <c r="M12" s="45"/>
      <c r="N12" s="46">
        <f t="shared" si="5"/>
        <v>0</v>
      </c>
      <c r="O12" s="46">
        <f>MAX(0,IF(M12&lt;10,M12-G12,IF(M12&gt;0, IF(G12&gt;10, 0,(10-G12)))))</f>
        <v>0</v>
      </c>
      <c r="P12" s="46">
        <f t="shared" si="12"/>
        <v>0</v>
      </c>
      <c r="Q12" s="46">
        <f t="shared" si="6"/>
        <v>0</v>
      </c>
      <c r="R12" s="46"/>
      <c r="S12" s="46">
        <f t="shared" si="7"/>
        <v>0</v>
      </c>
      <c r="T12" s="38"/>
      <c r="U12" s="45"/>
      <c r="V12" s="46">
        <f t="shared" si="8"/>
        <v>0</v>
      </c>
      <c r="W12" s="46">
        <f t="shared" si="9"/>
        <v>0</v>
      </c>
      <c r="X12" s="46">
        <f t="shared" si="10"/>
        <v>0</v>
      </c>
      <c r="Y12" s="46"/>
      <c r="Z12" s="46">
        <f t="shared" si="11"/>
        <v>0</v>
      </c>
      <c r="AA12" s="40"/>
      <c r="AB12" s="45" t="s">
        <v>59</v>
      </c>
      <c r="AC12" s="45" t="s">
        <v>5</v>
      </c>
      <c r="AD12" s="45"/>
      <c r="AE12" s="45"/>
      <c r="AF12" s="45"/>
      <c r="AG12" s="45"/>
      <c r="AH12" s="45"/>
      <c r="AI12" s="45"/>
      <c r="AJ12"/>
      <c r="AK12"/>
    </row>
    <row r="13" spans="1:54" x14ac:dyDescent="0.25">
      <c r="A13" s="45"/>
      <c r="B13" s="45"/>
      <c r="C13" s="2">
        <v>1</v>
      </c>
      <c r="D13" s="45"/>
      <c r="E13" s="125">
        <f t="shared" si="1"/>
        <v>0</v>
      </c>
      <c r="F13" s="48"/>
      <c r="G13" s="45"/>
      <c r="H13" s="46">
        <f t="shared" si="2"/>
        <v>0</v>
      </c>
      <c r="I13" s="46">
        <f t="shared" si="3"/>
        <v>0</v>
      </c>
      <c r="J13" s="46">
        <f t="shared" si="4"/>
        <v>0</v>
      </c>
      <c r="K13" s="25"/>
      <c r="L13" s="57"/>
      <c r="M13" s="45"/>
      <c r="N13" s="46">
        <f t="shared" si="5"/>
        <v>0</v>
      </c>
      <c r="O13" s="46">
        <f t="shared" ref="O13:O27" si="13">MAX(0,IF(M13&lt;10,M13-G13,IF(M13&gt;0, IF(G13&gt;10, 0,(10-G13)))))</f>
        <v>0</v>
      </c>
      <c r="P13" s="46">
        <f t="shared" si="12"/>
        <v>0</v>
      </c>
      <c r="Q13" s="46">
        <f t="shared" si="6"/>
        <v>0</v>
      </c>
      <c r="R13" s="46"/>
      <c r="S13" s="46">
        <f t="shared" si="7"/>
        <v>0</v>
      </c>
      <c r="T13" s="38"/>
      <c r="U13" s="45"/>
      <c r="V13" s="46">
        <f t="shared" si="8"/>
        <v>0</v>
      </c>
      <c r="W13" s="46">
        <f t="shared" si="9"/>
        <v>0</v>
      </c>
      <c r="X13" s="46">
        <f t="shared" si="10"/>
        <v>0</v>
      </c>
      <c r="Y13" s="46"/>
      <c r="Z13" s="46">
        <f t="shared" si="11"/>
        <v>0</v>
      </c>
      <c r="AA13" s="40"/>
      <c r="AB13" s="45"/>
      <c r="AC13" s="45" t="s">
        <v>5</v>
      </c>
      <c r="AD13" s="45"/>
      <c r="AE13" s="45"/>
      <c r="AF13" s="45"/>
      <c r="AG13" s="45"/>
      <c r="AH13" s="45"/>
      <c r="AI13" s="45"/>
      <c r="AJ13"/>
      <c r="AK13"/>
    </row>
    <row r="14" spans="1:54" x14ac:dyDescent="0.25">
      <c r="A14" s="45"/>
      <c r="B14" s="45"/>
      <c r="C14" s="2">
        <v>1</v>
      </c>
      <c r="D14" s="45"/>
      <c r="E14" s="125">
        <f t="shared" si="1"/>
        <v>0</v>
      </c>
      <c r="F14" s="48"/>
      <c r="G14" s="45"/>
      <c r="H14" s="46">
        <f t="shared" si="2"/>
        <v>0</v>
      </c>
      <c r="I14" s="46">
        <f t="shared" si="3"/>
        <v>0</v>
      </c>
      <c r="J14" s="46">
        <f t="shared" si="4"/>
        <v>0</v>
      </c>
      <c r="K14" s="25"/>
      <c r="L14" s="57"/>
      <c r="M14" s="45"/>
      <c r="N14" s="46">
        <f t="shared" si="5"/>
        <v>0</v>
      </c>
      <c r="O14" s="46">
        <f t="shared" si="13"/>
        <v>0</v>
      </c>
      <c r="P14" s="46">
        <f t="shared" si="12"/>
        <v>0</v>
      </c>
      <c r="Q14" s="46">
        <f t="shared" si="6"/>
        <v>0</v>
      </c>
      <c r="R14" s="46"/>
      <c r="S14" s="46">
        <f t="shared" si="7"/>
        <v>0</v>
      </c>
      <c r="T14" s="38"/>
      <c r="U14" s="45"/>
      <c r="V14" s="46">
        <f t="shared" si="8"/>
        <v>0</v>
      </c>
      <c r="W14" s="46">
        <f t="shared" si="9"/>
        <v>0</v>
      </c>
      <c r="X14" s="46">
        <f t="shared" si="10"/>
        <v>0</v>
      </c>
      <c r="Y14" s="46"/>
      <c r="Z14" s="46">
        <f t="shared" si="11"/>
        <v>0</v>
      </c>
      <c r="AA14" s="40"/>
      <c r="AB14" s="45"/>
      <c r="AC14" s="45" t="s">
        <v>5</v>
      </c>
      <c r="AD14" s="45"/>
      <c r="AE14" s="45"/>
      <c r="AF14" s="45"/>
      <c r="AG14" s="45"/>
      <c r="AH14" s="45"/>
      <c r="AI14" s="45"/>
      <c r="AJ14"/>
      <c r="AK14"/>
    </row>
    <row r="15" spans="1:54" x14ac:dyDescent="0.25">
      <c r="A15" s="45"/>
      <c r="B15" s="45"/>
      <c r="C15" s="2">
        <v>1</v>
      </c>
      <c r="D15" s="45"/>
      <c r="E15" s="125">
        <f t="shared" si="1"/>
        <v>0</v>
      </c>
      <c r="F15" s="48"/>
      <c r="G15" s="45"/>
      <c r="H15" s="46">
        <f t="shared" si="2"/>
        <v>0</v>
      </c>
      <c r="I15" s="46">
        <f t="shared" si="3"/>
        <v>0</v>
      </c>
      <c r="J15" s="46">
        <f t="shared" si="4"/>
        <v>0</v>
      </c>
      <c r="K15" s="25"/>
      <c r="L15" s="57"/>
      <c r="M15" s="45"/>
      <c r="N15" s="46">
        <f t="shared" si="5"/>
        <v>0</v>
      </c>
      <c r="O15" s="46">
        <f t="shared" si="13"/>
        <v>0</v>
      </c>
      <c r="P15" s="46">
        <f t="shared" si="12"/>
        <v>0</v>
      </c>
      <c r="Q15" s="46">
        <f t="shared" si="6"/>
        <v>0</v>
      </c>
      <c r="R15" s="46"/>
      <c r="S15" s="46">
        <f t="shared" si="7"/>
        <v>0</v>
      </c>
      <c r="T15" s="38"/>
      <c r="U15" s="45"/>
      <c r="V15" s="46">
        <f t="shared" si="8"/>
        <v>0</v>
      </c>
      <c r="W15" s="46">
        <f t="shared" si="9"/>
        <v>0</v>
      </c>
      <c r="X15" s="46">
        <f t="shared" si="10"/>
        <v>0</v>
      </c>
      <c r="Y15" s="46"/>
      <c r="Z15" s="46">
        <f t="shared" si="11"/>
        <v>0</v>
      </c>
      <c r="AA15" s="40"/>
      <c r="AB15" s="45"/>
      <c r="AC15" s="45" t="s">
        <v>5</v>
      </c>
      <c r="AD15" s="45"/>
      <c r="AE15" s="45"/>
      <c r="AF15" s="45"/>
      <c r="AG15" s="45"/>
      <c r="AH15" s="45"/>
      <c r="AI15" s="45"/>
      <c r="AJ15"/>
      <c r="AK15"/>
    </row>
    <row r="16" spans="1:54" x14ac:dyDescent="0.25">
      <c r="A16" s="45"/>
      <c r="B16" s="45"/>
      <c r="C16" s="2">
        <v>1</v>
      </c>
      <c r="D16" s="45"/>
      <c r="E16" s="125">
        <f t="shared" si="1"/>
        <v>0</v>
      </c>
      <c r="F16" s="48"/>
      <c r="G16" s="45"/>
      <c r="H16" s="46">
        <f t="shared" si="2"/>
        <v>0</v>
      </c>
      <c r="I16" s="46">
        <f t="shared" si="3"/>
        <v>0</v>
      </c>
      <c r="J16" s="46">
        <f t="shared" si="4"/>
        <v>0</v>
      </c>
      <c r="K16" s="25"/>
      <c r="L16" s="57"/>
      <c r="M16" s="45"/>
      <c r="N16" s="46">
        <f t="shared" si="5"/>
        <v>0</v>
      </c>
      <c r="O16" s="46">
        <f t="shared" si="13"/>
        <v>0</v>
      </c>
      <c r="P16" s="46">
        <f t="shared" si="12"/>
        <v>0</v>
      </c>
      <c r="Q16" s="46">
        <f t="shared" si="6"/>
        <v>0</v>
      </c>
      <c r="R16" s="46"/>
      <c r="S16" s="46">
        <f t="shared" si="7"/>
        <v>0</v>
      </c>
      <c r="T16" s="38"/>
      <c r="U16" s="45"/>
      <c r="V16" s="46">
        <f t="shared" si="8"/>
        <v>0</v>
      </c>
      <c r="W16" s="46">
        <f t="shared" si="9"/>
        <v>0</v>
      </c>
      <c r="X16" s="46">
        <f t="shared" si="10"/>
        <v>0</v>
      </c>
      <c r="Y16" s="46"/>
      <c r="Z16" s="46">
        <f t="shared" si="11"/>
        <v>0</v>
      </c>
      <c r="AA16" s="40"/>
      <c r="AB16" s="45"/>
      <c r="AC16" s="45" t="s">
        <v>5</v>
      </c>
      <c r="AD16" s="45"/>
      <c r="AE16" s="45"/>
      <c r="AF16" s="45"/>
      <c r="AG16" s="45"/>
      <c r="AH16" s="45"/>
      <c r="AI16" s="45"/>
      <c r="AJ16"/>
      <c r="AK16"/>
    </row>
    <row r="17" spans="1:37" x14ac:dyDescent="0.25">
      <c r="A17" s="45"/>
      <c r="B17" s="45"/>
      <c r="C17" s="2">
        <v>1</v>
      </c>
      <c r="D17" s="45"/>
      <c r="E17" s="125">
        <f t="shared" si="1"/>
        <v>0</v>
      </c>
      <c r="F17" s="48"/>
      <c r="G17" s="45"/>
      <c r="H17" s="46">
        <f t="shared" si="2"/>
        <v>0</v>
      </c>
      <c r="I17" s="46">
        <f t="shared" si="3"/>
        <v>0</v>
      </c>
      <c r="J17" s="46">
        <f t="shared" si="4"/>
        <v>0</v>
      </c>
      <c r="K17" s="25"/>
      <c r="L17" s="57"/>
      <c r="M17" s="45"/>
      <c r="N17" s="46">
        <f t="shared" si="5"/>
        <v>0</v>
      </c>
      <c r="O17" s="46">
        <f t="shared" si="13"/>
        <v>0</v>
      </c>
      <c r="P17" s="46">
        <f t="shared" si="12"/>
        <v>0</v>
      </c>
      <c r="Q17" s="46">
        <f t="shared" si="6"/>
        <v>0</v>
      </c>
      <c r="R17" s="46"/>
      <c r="S17" s="46">
        <f t="shared" si="7"/>
        <v>0</v>
      </c>
      <c r="T17" s="38"/>
      <c r="U17" s="45"/>
      <c r="V17" s="46">
        <f t="shared" si="8"/>
        <v>0</v>
      </c>
      <c r="W17" s="46">
        <f t="shared" si="9"/>
        <v>0</v>
      </c>
      <c r="X17" s="46">
        <f t="shared" si="10"/>
        <v>0</v>
      </c>
      <c r="Y17" s="46"/>
      <c r="Z17" s="46">
        <f t="shared" si="11"/>
        <v>0</v>
      </c>
      <c r="AA17" s="40"/>
      <c r="AB17" s="45"/>
      <c r="AC17" s="45"/>
      <c r="AD17" s="45"/>
      <c r="AE17" s="45"/>
      <c r="AF17" s="45"/>
      <c r="AG17" s="45"/>
      <c r="AH17" s="45"/>
      <c r="AI17" s="45"/>
      <c r="AJ17"/>
      <c r="AK17"/>
    </row>
    <row r="18" spans="1:37" x14ac:dyDescent="0.25">
      <c r="A18" s="45"/>
      <c r="B18" s="45"/>
      <c r="C18" s="2">
        <v>1</v>
      </c>
      <c r="D18" s="45"/>
      <c r="E18" s="125">
        <f t="shared" si="1"/>
        <v>0</v>
      </c>
      <c r="F18" s="48"/>
      <c r="G18" s="45"/>
      <c r="H18" s="46">
        <f t="shared" si="2"/>
        <v>0</v>
      </c>
      <c r="I18" s="46">
        <f t="shared" si="3"/>
        <v>0</v>
      </c>
      <c r="J18" s="46">
        <f t="shared" si="4"/>
        <v>0</v>
      </c>
      <c r="K18" s="25"/>
      <c r="L18" s="57"/>
      <c r="M18" s="45"/>
      <c r="N18" s="46">
        <f t="shared" si="5"/>
        <v>0</v>
      </c>
      <c r="O18" s="46">
        <f t="shared" si="13"/>
        <v>0</v>
      </c>
      <c r="P18" s="46">
        <f t="shared" si="12"/>
        <v>0</v>
      </c>
      <c r="Q18" s="46">
        <f t="shared" si="6"/>
        <v>0</v>
      </c>
      <c r="R18" s="46"/>
      <c r="S18" s="46">
        <f t="shared" si="7"/>
        <v>0</v>
      </c>
      <c r="T18" s="38"/>
      <c r="U18" s="45"/>
      <c r="V18" s="46">
        <f t="shared" si="8"/>
        <v>0</v>
      </c>
      <c r="W18" s="46">
        <f t="shared" si="9"/>
        <v>0</v>
      </c>
      <c r="X18" s="46">
        <f t="shared" si="10"/>
        <v>0</v>
      </c>
      <c r="Y18" s="46"/>
      <c r="Z18" s="46">
        <f t="shared" si="11"/>
        <v>0</v>
      </c>
      <c r="AA18" s="40"/>
      <c r="AB18" s="45"/>
      <c r="AC18" s="45"/>
      <c r="AD18" s="45"/>
      <c r="AE18" s="45"/>
      <c r="AF18" s="45"/>
      <c r="AG18" s="45"/>
      <c r="AH18" s="45"/>
      <c r="AI18" s="45"/>
      <c r="AJ18"/>
      <c r="AK18"/>
    </row>
    <row r="19" spans="1:37" x14ac:dyDescent="0.25">
      <c r="A19" s="45"/>
      <c r="B19" s="45"/>
      <c r="C19" s="2">
        <v>1</v>
      </c>
      <c r="D19" s="45"/>
      <c r="E19" s="125">
        <f t="shared" si="1"/>
        <v>0</v>
      </c>
      <c r="F19" s="48"/>
      <c r="G19" s="45"/>
      <c r="H19" s="46">
        <f t="shared" si="2"/>
        <v>0</v>
      </c>
      <c r="I19" s="46">
        <f t="shared" si="3"/>
        <v>0</v>
      </c>
      <c r="J19" s="46">
        <f t="shared" si="4"/>
        <v>0</v>
      </c>
      <c r="K19" s="25"/>
      <c r="L19" s="25"/>
      <c r="M19" s="45"/>
      <c r="N19" s="46">
        <f t="shared" si="5"/>
        <v>0</v>
      </c>
      <c r="O19" s="46">
        <f t="shared" si="13"/>
        <v>0</v>
      </c>
      <c r="P19" s="46">
        <f t="shared" si="12"/>
        <v>0</v>
      </c>
      <c r="Q19" s="46">
        <f t="shared" si="6"/>
        <v>0</v>
      </c>
      <c r="R19" s="46"/>
      <c r="S19" s="46">
        <f t="shared" si="7"/>
        <v>0</v>
      </c>
      <c r="T19" s="38"/>
      <c r="U19" s="45"/>
      <c r="V19" s="46">
        <f t="shared" si="8"/>
        <v>0</v>
      </c>
      <c r="W19" s="46">
        <f t="shared" si="9"/>
        <v>0</v>
      </c>
      <c r="X19" s="46">
        <f t="shared" si="10"/>
        <v>0</v>
      </c>
      <c r="Y19" s="46"/>
      <c r="Z19" s="46">
        <f t="shared" si="11"/>
        <v>0</v>
      </c>
      <c r="AA19" s="40"/>
      <c r="AB19" s="45"/>
      <c r="AC19" s="45"/>
      <c r="AD19" s="45"/>
      <c r="AE19" s="45"/>
      <c r="AF19" s="45"/>
      <c r="AG19" s="45"/>
      <c r="AH19" s="45"/>
      <c r="AI19" s="45"/>
      <c r="AJ19"/>
      <c r="AK19"/>
    </row>
    <row r="20" spans="1:37" x14ac:dyDescent="0.25">
      <c r="A20" s="45"/>
      <c r="B20" s="45"/>
      <c r="C20" s="2">
        <v>1</v>
      </c>
      <c r="D20" s="45"/>
      <c r="E20" s="125">
        <f t="shared" si="1"/>
        <v>0</v>
      </c>
      <c r="F20" s="48"/>
      <c r="G20" s="45"/>
      <c r="H20" s="46">
        <f t="shared" si="2"/>
        <v>0</v>
      </c>
      <c r="I20" s="46">
        <f t="shared" si="3"/>
        <v>0</v>
      </c>
      <c r="J20" s="46">
        <f t="shared" si="4"/>
        <v>0</v>
      </c>
      <c r="K20" s="25"/>
      <c r="L20" s="53"/>
      <c r="M20" s="45"/>
      <c r="N20" s="46">
        <f t="shared" si="5"/>
        <v>0</v>
      </c>
      <c r="O20" s="46">
        <f t="shared" si="13"/>
        <v>0</v>
      </c>
      <c r="P20" s="46">
        <f t="shared" si="12"/>
        <v>0</v>
      </c>
      <c r="Q20" s="46">
        <f t="shared" si="6"/>
        <v>0</v>
      </c>
      <c r="R20" s="46"/>
      <c r="S20" s="46">
        <f t="shared" si="7"/>
        <v>0</v>
      </c>
      <c r="T20" s="38"/>
      <c r="U20" s="45"/>
      <c r="V20" s="46">
        <f t="shared" si="8"/>
        <v>0</v>
      </c>
      <c r="W20" s="46">
        <f t="shared" si="9"/>
        <v>0</v>
      </c>
      <c r="X20" s="46">
        <f t="shared" si="10"/>
        <v>0</v>
      </c>
      <c r="Y20" s="46"/>
      <c r="Z20" s="46">
        <f t="shared" si="11"/>
        <v>0</v>
      </c>
      <c r="AA20" s="40"/>
      <c r="AB20" s="45"/>
      <c r="AC20" s="45"/>
      <c r="AD20" s="45"/>
      <c r="AE20" s="45"/>
      <c r="AF20" s="45"/>
      <c r="AG20" s="45"/>
      <c r="AH20" s="45"/>
      <c r="AI20" s="45"/>
      <c r="AJ20"/>
      <c r="AK20"/>
    </row>
    <row r="21" spans="1:37" x14ac:dyDescent="0.25">
      <c r="A21" s="45"/>
      <c r="B21" s="45"/>
      <c r="C21" s="2">
        <v>1</v>
      </c>
      <c r="D21" s="45"/>
      <c r="E21" s="125">
        <f t="shared" si="1"/>
        <v>0</v>
      </c>
      <c r="F21" s="48"/>
      <c r="G21" s="45"/>
      <c r="H21" s="46">
        <f t="shared" si="2"/>
        <v>0</v>
      </c>
      <c r="I21" s="46">
        <f t="shared" si="3"/>
        <v>0</v>
      </c>
      <c r="J21" s="46">
        <f t="shared" si="4"/>
        <v>0</v>
      </c>
      <c r="K21" s="53"/>
      <c r="L21" s="53"/>
      <c r="M21" s="45"/>
      <c r="N21" s="46">
        <f t="shared" si="5"/>
        <v>0</v>
      </c>
      <c r="O21" s="46">
        <f t="shared" si="13"/>
        <v>0</v>
      </c>
      <c r="P21" s="46">
        <f t="shared" si="12"/>
        <v>0</v>
      </c>
      <c r="Q21" s="46">
        <f t="shared" si="6"/>
        <v>0</v>
      </c>
      <c r="R21" s="46"/>
      <c r="S21" s="46">
        <f t="shared" si="7"/>
        <v>0</v>
      </c>
      <c r="T21" s="38"/>
      <c r="U21" s="45"/>
      <c r="V21" s="46">
        <f t="shared" si="8"/>
        <v>0</v>
      </c>
      <c r="W21" s="46">
        <f t="shared" si="9"/>
        <v>0</v>
      </c>
      <c r="X21" s="46">
        <f t="shared" si="10"/>
        <v>0</v>
      </c>
      <c r="Y21" s="46"/>
      <c r="Z21" s="46">
        <f t="shared" si="11"/>
        <v>0</v>
      </c>
      <c r="AA21" s="40"/>
      <c r="AB21" s="45"/>
      <c r="AC21" s="45"/>
      <c r="AD21" s="45"/>
      <c r="AE21" s="45"/>
      <c r="AF21" s="45"/>
      <c r="AG21" s="45"/>
      <c r="AH21" s="45"/>
      <c r="AI21" s="45"/>
      <c r="AJ21"/>
      <c r="AK21"/>
    </row>
    <row r="22" spans="1:37" x14ac:dyDescent="0.25">
      <c r="A22" s="45"/>
      <c r="B22" s="45"/>
      <c r="C22" s="2">
        <v>1</v>
      </c>
      <c r="D22" s="45"/>
      <c r="E22" s="125">
        <f t="shared" si="1"/>
        <v>0</v>
      </c>
      <c r="F22" s="48"/>
      <c r="G22" s="45"/>
      <c r="H22" s="46">
        <f t="shared" si="2"/>
        <v>0</v>
      </c>
      <c r="I22" s="46">
        <f t="shared" si="3"/>
        <v>0</v>
      </c>
      <c r="J22" s="46">
        <f t="shared" si="4"/>
        <v>0</v>
      </c>
      <c r="K22" s="53"/>
      <c r="L22" s="53"/>
      <c r="M22" s="45"/>
      <c r="N22" s="46">
        <f t="shared" si="5"/>
        <v>0</v>
      </c>
      <c r="O22" s="46">
        <f t="shared" si="13"/>
        <v>0</v>
      </c>
      <c r="P22" s="46">
        <f t="shared" si="12"/>
        <v>0</v>
      </c>
      <c r="Q22" s="46">
        <f t="shared" si="6"/>
        <v>0</v>
      </c>
      <c r="R22" s="46"/>
      <c r="S22" s="46">
        <f t="shared" si="7"/>
        <v>0</v>
      </c>
      <c r="T22" s="38"/>
      <c r="U22" s="45"/>
      <c r="V22" s="46">
        <f t="shared" si="8"/>
        <v>0</v>
      </c>
      <c r="W22" s="46">
        <f t="shared" si="9"/>
        <v>0</v>
      </c>
      <c r="X22" s="46">
        <f t="shared" si="10"/>
        <v>0</v>
      </c>
      <c r="Y22" s="46"/>
      <c r="Z22" s="46">
        <f t="shared" si="11"/>
        <v>0</v>
      </c>
      <c r="AA22" s="40"/>
      <c r="AB22" s="45"/>
      <c r="AC22" s="45"/>
      <c r="AD22" s="45"/>
      <c r="AE22" s="45"/>
      <c r="AF22" s="45"/>
      <c r="AG22" s="45"/>
      <c r="AH22" s="45"/>
      <c r="AI22" s="45"/>
      <c r="AJ22"/>
      <c r="AK22"/>
    </row>
    <row r="23" spans="1:37" x14ac:dyDescent="0.25">
      <c r="A23" s="45"/>
      <c r="B23" s="45"/>
      <c r="C23" s="2">
        <v>1</v>
      </c>
      <c r="D23" s="45"/>
      <c r="E23" s="125">
        <f t="shared" si="1"/>
        <v>0</v>
      </c>
      <c r="F23" s="48"/>
      <c r="G23" s="45"/>
      <c r="H23" s="46">
        <f t="shared" si="2"/>
        <v>0</v>
      </c>
      <c r="I23" s="46">
        <f t="shared" si="3"/>
        <v>0</v>
      </c>
      <c r="J23" s="46">
        <f t="shared" si="4"/>
        <v>0</v>
      </c>
      <c r="K23" s="53"/>
      <c r="L23" s="53"/>
      <c r="M23" s="45"/>
      <c r="N23" s="46">
        <f t="shared" si="5"/>
        <v>0</v>
      </c>
      <c r="O23" s="46">
        <f t="shared" si="13"/>
        <v>0</v>
      </c>
      <c r="P23" s="46">
        <f t="shared" si="12"/>
        <v>0</v>
      </c>
      <c r="Q23" s="46">
        <f t="shared" si="6"/>
        <v>0</v>
      </c>
      <c r="R23" s="46"/>
      <c r="S23" s="46">
        <f t="shared" si="7"/>
        <v>0</v>
      </c>
      <c r="T23" s="38"/>
      <c r="U23" s="45"/>
      <c r="V23" s="46">
        <f t="shared" si="8"/>
        <v>0</v>
      </c>
      <c r="W23" s="46">
        <f t="shared" si="9"/>
        <v>0</v>
      </c>
      <c r="X23" s="46">
        <f t="shared" si="10"/>
        <v>0</v>
      </c>
      <c r="Y23" s="46"/>
      <c r="Z23" s="46">
        <f t="shared" si="11"/>
        <v>0</v>
      </c>
      <c r="AA23" s="40"/>
      <c r="AB23" s="45"/>
      <c r="AC23" s="45"/>
      <c r="AD23" s="45"/>
      <c r="AE23" s="45"/>
      <c r="AF23" s="45"/>
      <c r="AG23" s="45"/>
      <c r="AH23" s="45"/>
      <c r="AI23" s="45"/>
      <c r="AJ23"/>
      <c r="AK23"/>
    </row>
    <row r="24" spans="1:37" x14ac:dyDescent="0.25">
      <c r="A24" s="45"/>
      <c r="B24" s="45"/>
      <c r="C24" s="2">
        <v>1</v>
      </c>
      <c r="D24" s="45"/>
      <c r="E24" s="125">
        <f t="shared" si="1"/>
        <v>0</v>
      </c>
      <c r="F24" s="48"/>
      <c r="G24" s="45"/>
      <c r="H24" s="46">
        <f t="shared" si="2"/>
        <v>0</v>
      </c>
      <c r="I24" s="46">
        <f t="shared" si="3"/>
        <v>0</v>
      </c>
      <c r="J24" s="46">
        <f t="shared" si="4"/>
        <v>0</v>
      </c>
      <c r="K24" s="53"/>
      <c r="L24" s="25"/>
      <c r="M24" s="45"/>
      <c r="N24" s="46">
        <f t="shared" si="5"/>
        <v>0</v>
      </c>
      <c r="O24" s="46">
        <f t="shared" si="13"/>
        <v>0</v>
      </c>
      <c r="P24" s="46">
        <f t="shared" si="12"/>
        <v>0</v>
      </c>
      <c r="Q24" s="46">
        <f t="shared" si="6"/>
        <v>0</v>
      </c>
      <c r="R24" s="46"/>
      <c r="S24" s="46">
        <f t="shared" si="7"/>
        <v>0</v>
      </c>
      <c r="T24" s="38"/>
      <c r="U24" s="45"/>
      <c r="V24" s="46">
        <f t="shared" si="8"/>
        <v>0</v>
      </c>
      <c r="W24" s="46">
        <f t="shared" si="9"/>
        <v>0</v>
      </c>
      <c r="X24" s="46">
        <f t="shared" si="10"/>
        <v>0</v>
      </c>
      <c r="Y24" s="46"/>
      <c r="Z24" s="46">
        <f t="shared" si="11"/>
        <v>0</v>
      </c>
      <c r="AA24" s="40"/>
      <c r="AB24" s="45"/>
      <c r="AC24" s="45"/>
      <c r="AD24" s="45"/>
      <c r="AE24" s="45"/>
      <c r="AF24" s="45"/>
      <c r="AG24" s="45"/>
      <c r="AH24" s="45"/>
      <c r="AI24" s="45"/>
      <c r="AJ24"/>
      <c r="AK24"/>
    </row>
    <row r="25" spans="1:37" x14ac:dyDescent="0.25">
      <c r="A25" s="45"/>
      <c r="B25" s="45"/>
      <c r="C25" s="2">
        <v>1</v>
      </c>
      <c r="D25" s="45"/>
      <c r="E25" s="125">
        <f t="shared" si="1"/>
        <v>0</v>
      </c>
      <c r="F25" s="48"/>
      <c r="G25" s="45"/>
      <c r="H25" s="46">
        <f t="shared" si="2"/>
        <v>0</v>
      </c>
      <c r="I25" s="46">
        <f t="shared" si="3"/>
        <v>0</v>
      </c>
      <c r="J25" s="46">
        <f t="shared" si="4"/>
        <v>0</v>
      </c>
      <c r="K25" s="26"/>
      <c r="L25" s="53"/>
      <c r="M25" s="45"/>
      <c r="N25" s="46">
        <f t="shared" si="5"/>
        <v>0</v>
      </c>
      <c r="O25" s="46">
        <f t="shared" si="13"/>
        <v>0</v>
      </c>
      <c r="P25" s="46">
        <f t="shared" si="12"/>
        <v>0</v>
      </c>
      <c r="Q25" s="46">
        <f t="shared" si="6"/>
        <v>0</v>
      </c>
      <c r="R25" s="46"/>
      <c r="S25" s="46">
        <f t="shared" si="7"/>
        <v>0</v>
      </c>
      <c r="T25" s="38"/>
      <c r="U25" s="45"/>
      <c r="V25" s="46">
        <f t="shared" si="8"/>
        <v>0</v>
      </c>
      <c r="W25" s="46">
        <f t="shared" si="9"/>
        <v>0</v>
      </c>
      <c r="X25" s="46">
        <f t="shared" si="10"/>
        <v>0</v>
      </c>
      <c r="Y25" s="46"/>
      <c r="Z25" s="46">
        <f t="shared" si="11"/>
        <v>0</v>
      </c>
      <c r="AA25" s="40"/>
      <c r="AB25" s="45"/>
      <c r="AC25" s="45"/>
      <c r="AD25" s="45"/>
      <c r="AE25" s="45"/>
      <c r="AF25" s="45"/>
      <c r="AG25" s="45"/>
      <c r="AH25" s="45"/>
      <c r="AI25" s="45"/>
      <c r="AJ25"/>
      <c r="AK25"/>
    </row>
    <row r="26" spans="1:37" x14ac:dyDescent="0.25">
      <c r="A26" s="45"/>
      <c r="B26" s="45"/>
      <c r="C26" s="2">
        <v>1</v>
      </c>
      <c r="D26" s="45"/>
      <c r="E26" s="125">
        <f t="shared" si="1"/>
        <v>0</v>
      </c>
      <c r="F26" s="48"/>
      <c r="G26" s="45"/>
      <c r="H26" s="46">
        <f t="shared" si="2"/>
        <v>0</v>
      </c>
      <c r="I26" s="46">
        <f t="shared" si="3"/>
        <v>0</v>
      </c>
      <c r="J26" s="46">
        <f t="shared" si="4"/>
        <v>0</v>
      </c>
      <c r="K26" s="25"/>
      <c r="L26" s="25"/>
      <c r="M26" s="45"/>
      <c r="N26" s="46">
        <f t="shared" si="5"/>
        <v>0</v>
      </c>
      <c r="O26" s="46">
        <f t="shared" si="13"/>
        <v>0</v>
      </c>
      <c r="P26" s="46">
        <f t="shared" si="12"/>
        <v>0</v>
      </c>
      <c r="Q26" s="46">
        <f t="shared" si="6"/>
        <v>0</v>
      </c>
      <c r="R26" s="46"/>
      <c r="S26" s="46">
        <f t="shared" si="7"/>
        <v>0</v>
      </c>
      <c r="T26" s="38"/>
      <c r="U26" s="45"/>
      <c r="V26" s="46">
        <f t="shared" si="8"/>
        <v>0</v>
      </c>
      <c r="W26" s="46">
        <f t="shared" si="9"/>
        <v>0</v>
      </c>
      <c r="X26" s="46">
        <f t="shared" si="10"/>
        <v>0</v>
      </c>
      <c r="Y26" s="46"/>
      <c r="Z26" s="46">
        <f t="shared" si="11"/>
        <v>0</v>
      </c>
      <c r="AA26" s="40"/>
      <c r="AB26" s="45"/>
      <c r="AC26" s="45"/>
      <c r="AD26" s="45"/>
      <c r="AE26" s="45"/>
      <c r="AF26" s="45"/>
      <c r="AG26" s="45"/>
      <c r="AH26" s="45"/>
      <c r="AI26" s="45"/>
      <c r="AJ26"/>
      <c r="AK26"/>
    </row>
    <row r="27" spans="1:37" x14ac:dyDescent="0.25">
      <c r="A27" s="45"/>
      <c r="B27" s="45"/>
      <c r="C27" s="2">
        <v>1</v>
      </c>
      <c r="D27" s="45"/>
      <c r="E27" s="125">
        <f t="shared" si="1"/>
        <v>0</v>
      </c>
      <c r="F27" s="48"/>
      <c r="G27" s="45"/>
      <c r="H27" s="46">
        <f t="shared" si="2"/>
        <v>0</v>
      </c>
      <c r="I27" s="46">
        <f t="shared" si="3"/>
        <v>0</v>
      </c>
      <c r="J27" s="46">
        <f t="shared" si="4"/>
        <v>0</v>
      </c>
      <c r="K27" s="53"/>
      <c r="L27" s="53"/>
      <c r="M27" s="45"/>
      <c r="N27" s="46">
        <f t="shared" si="5"/>
        <v>0</v>
      </c>
      <c r="O27" s="46">
        <f t="shared" si="13"/>
        <v>0</v>
      </c>
      <c r="P27" s="46">
        <f t="shared" si="12"/>
        <v>0</v>
      </c>
      <c r="Q27" s="46">
        <f t="shared" si="6"/>
        <v>0</v>
      </c>
      <c r="R27" s="46"/>
      <c r="S27" s="46">
        <f t="shared" si="7"/>
        <v>0</v>
      </c>
      <c r="T27" s="38"/>
      <c r="U27" s="45"/>
      <c r="V27" s="46">
        <f t="shared" si="8"/>
        <v>0</v>
      </c>
      <c r="W27" s="46">
        <f t="shared" si="9"/>
        <v>0</v>
      </c>
      <c r="X27" s="46">
        <f t="shared" si="10"/>
        <v>0</v>
      </c>
      <c r="Y27" s="46"/>
      <c r="Z27" s="46">
        <f t="shared" si="11"/>
        <v>0</v>
      </c>
      <c r="AA27" s="40"/>
      <c r="AB27" s="45"/>
      <c r="AC27" s="45"/>
      <c r="AD27" s="45"/>
      <c r="AE27" s="45"/>
      <c r="AF27" s="45"/>
      <c r="AG27" s="45"/>
      <c r="AH27" s="45"/>
      <c r="AI27" s="45"/>
      <c r="AJ27" s="6"/>
      <c r="AK27" s="6"/>
    </row>
    <row r="28" spans="1:37" ht="15.75" thickBot="1" x14ac:dyDescent="0.3">
      <c r="A28" s="39"/>
      <c r="B28" s="38"/>
      <c r="C28" s="2">
        <f>SUM(C2:C27)</f>
        <v>26</v>
      </c>
      <c r="D28" s="42" t="s">
        <v>7</v>
      </c>
      <c r="E28" s="117">
        <f>SUM(E2:E27)</f>
        <v>3</v>
      </c>
      <c r="F28" s="48" t="s">
        <v>65</v>
      </c>
      <c r="G28" s="68">
        <f>SUM(G2:G27)</f>
        <v>19</v>
      </c>
      <c r="H28" s="68">
        <f>SUM(H2:H27)</f>
        <v>19</v>
      </c>
      <c r="I28" s="68">
        <f t="shared" ref="I28:J28" si="14">SUM(I2:I27)</f>
        <v>0</v>
      </c>
      <c r="J28" s="68">
        <f t="shared" si="14"/>
        <v>0</v>
      </c>
      <c r="K28" s="47"/>
      <c r="L28" s="47" t="s">
        <v>66</v>
      </c>
      <c r="M28" s="68">
        <f>SUM(M2:M27)</f>
        <v>25</v>
      </c>
      <c r="N28" s="46">
        <f>SUM(N2:N27)</f>
        <v>6</v>
      </c>
      <c r="O28" s="46">
        <f>SUM(O2:O27)</f>
        <v>4</v>
      </c>
      <c r="P28" s="46">
        <f>SUM(P2:P27)</f>
        <v>2</v>
      </c>
      <c r="Q28" s="46">
        <f>SUM(Q2:Q27)</f>
        <v>0</v>
      </c>
      <c r="R28" s="42" t="s">
        <v>8</v>
      </c>
      <c r="S28" s="68">
        <f>SUM(S2:S27)</f>
        <v>3</v>
      </c>
      <c r="T28" s="38"/>
      <c r="U28" s="68">
        <f>SUM(U2:U27)</f>
        <v>31</v>
      </c>
      <c r="V28" s="46">
        <f>SUM(V2:V27)</f>
        <v>21</v>
      </c>
      <c r="W28" s="46">
        <f>SUM(W2:W27)</f>
        <v>10</v>
      </c>
      <c r="X28" s="46">
        <f>SUM(X2:X27)</f>
        <v>0</v>
      </c>
      <c r="Y28" s="42" t="s">
        <v>8</v>
      </c>
      <c r="Z28" s="68">
        <f>SUM(Z2:Z27)</f>
        <v>3</v>
      </c>
      <c r="AA28" s="38"/>
      <c r="AB28" s="42"/>
      <c r="AC28" s="111"/>
      <c r="AD28" s="49"/>
      <c r="AE28" s="38"/>
      <c r="AF28" s="38"/>
      <c r="AG28" s="38"/>
      <c r="AH28" s="38"/>
      <c r="AI28" s="38"/>
      <c r="AJ28" s="6"/>
      <c r="AK28" s="6"/>
    </row>
    <row r="29" spans="1:37" ht="15.75" thickTop="1" x14ac:dyDescent="0.25">
      <c r="A29" s="39"/>
      <c r="B29" s="38"/>
      <c r="C29" s="2"/>
      <c r="D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38"/>
      <c r="Q29" s="38"/>
      <c r="R29" s="38"/>
      <c r="S29" s="38"/>
      <c r="T29" s="38"/>
      <c r="U29" s="42"/>
      <c r="V29" s="42"/>
      <c r="W29" s="38"/>
      <c r="X29" s="38"/>
      <c r="Y29" s="38"/>
      <c r="Z29" s="38"/>
      <c r="AA29" s="38"/>
      <c r="AB29" s="42"/>
      <c r="AC29" s="42"/>
      <c r="AD29" s="42"/>
      <c r="AE29" s="38"/>
      <c r="AF29" s="38"/>
      <c r="AG29" s="38"/>
      <c r="AH29" s="38"/>
      <c r="AI29" s="38"/>
      <c r="AJ29" s="40"/>
      <c r="AK29" s="40"/>
    </row>
    <row r="30" spans="1:37" x14ac:dyDescent="0.25">
      <c r="A30" s="39"/>
      <c r="B30" s="38"/>
      <c r="C30" s="2"/>
      <c r="D30" s="42"/>
      <c r="E30" s="42"/>
      <c r="F30" s="42"/>
      <c r="G30" s="42"/>
      <c r="H30" s="42"/>
      <c r="I30" s="42"/>
      <c r="J30" s="42"/>
      <c r="K30" s="42" t="s">
        <v>74</v>
      </c>
      <c r="L30" s="42"/>
      <c r="M30" s="42"/>
      <c r="N30" s="42"/>
      <c r="O30" s="42"/>
      <c r="P30" s="38"/>
      <c r="Q30" s="38"/>
      <c r="R30" s="38"/>
      <c r="S30" s="38"/>
      <c r="T30" s="38"/>
      <c r="U30" s="42"/>
      <c r="V30" s="42"/>
      <c r="W30" s="38"/>
      <c r="X30" s="38"/>
      <c r="Y30" s="38"/>
      <c r="Z30" s="38"/>
      <c r="AA30" s="38"/>
      <c r="AB30" s="42"/>
      <c r="AC30" s="42"/>
      <c r="AD30" s="42"/>
      <c r="AE30" s="38"/>
      <c r="AF30" s="38"/>
      <c r="AG30" s="38"/>
      <c r="AH30" s="38"/>
      <c r="AI30" s="38"/>
      <c r="AJ30" s="40"/>
      <c r="AK30" s="40"/>
    </row>
    <row r="31" spans="1:37" x14ac:dyDescent="0.25">
      <c r="A31" s="39"/>
      <c r="B31" s="38"/>
      <c r="C31" s="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38"/>
      <c r="Q31" s="38"/>
      <c r="R31" s="38"/>
      <c r="S31" s="38"/>
      <c r="T31" s="38"/>
      <c r="U31" s="42"/>
      <c r="V31" s="42"/>
      <c r="W31" s="38"/>
      <c r="X31" s="38"/>
      <c r="Y31" s="38"/>
      <c r="Z31" s="38"/>
      <c r="AA31" s="38"/>
      <c r="AB31" s="42"/>
      <c r="AC31" s="42"/>
      <c r="AD31" s="42"/>
      <c r="AE31" s="38"/>
      <c r="AF31" s="38"/>
      <c r="AG31" s="38"/>
      <c r="AH31" s="38"/>
      <c r="AI31" s="38"/>
      <c r="AJ31" s="40"/>
      <c r="AK31" s="40"/>
    </row>
    <row r="32" spans="1:37" x14ac:dyDescent="0.25">
      <c r="A32" s="39"/>
      <c r="B32" s="38"/>
      <c r="C32" s="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38"/>
      <c r="Q32" s="38"/>
      <c r="R32" s="38"/>
      <c r="S32" s="38"/>
      <c r="T32" s="38"/>
      <c r="U32" s="42"/>
      <c r="V32" s="42"/>
      <c r="W32" s="38"/>
      <c r="X32" s="38"/>
      <c r="Y32" s="38"/>
      <c r="Z32" s="38"/>
      <c r="AA32" s="38"/>
      <c r="AB32" s="42"/>
      <c r="AC32" s="42"/>
      <c r="AD32" s="42"/>
      <c r="AE32" s="38"/>
      <c r="AF32" s="38"/>
      <c r="AG32" s="38"/>
      <c r="AH32" s="38"/>
      <c r="AI32" s="38"/>
      <c r="AJ32" s="40"/>
      <c r="AK32" s="40"/>
    </row>
    <row r="33" spans="1:37" ht="15.75" thickBot="1" x14ac:dyDescent="0.3">
      <c r="A33" s="39"/>
      <c r="B33" s="38"/>
      <c r="C33" s="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38"/>
      <c r="Q33" s="38"/>
      <c r="R33" s="38"/>
      <c r="S33" s="38"/>
      <c r="T33" s="38"/>
      <c r="U33" s="42"/>
      <c r="V33" s="42"/>
      <c r="W33" s="38"/>
      <c r="X33" s="38"/>
      <c r="Y33" s="38"/>
      <c r="Z33" s="38"/>
      <c r="AA33" s="38"/>
      <c r="AB33" s="42"/>
      <c r="AC33" s="42"/>
      <c r="AD33" s="42"/>
      <c r="AE33" s="38"/>
      <c r="AF33" s="38"/>
      <c r="AG33" s="38"/>
      <c r="AH33" s="38"/>
      <c r="AI33" s="38"/>
      <c r="AJ33" s="40"/>
      <c r="AK33" s="40"/>
    </row>
    <row r="34" spans="1:37" ht="30.75" thickBot="1" x14ac:dyDescent="0.3">
      <c r="A34" s="61" t="s">
        <v>121</v>
      </c>
      <c r="B34" s="38"/>
      <c r="C34" s="36" t="s">
        <v>54</v>
      </c>
      <c r="D34" s="61" t="s">
        <v>55</v>
      </c>
      <c r="E34" s="36" t="s">
        <v>56</v>
      </c>
      <c r="F34" s="42" t="s">
        <v>122</v>
      </c>
      <c r="G34" s="65" t="s">
        <v>73</v>
      </c>
      <c r="H34" s="36" t="s">
        <v>76</v>
      </c>
      <c r="I34" s="44" t="s">
        <v>77</v>
      </c>
      <c r="J34" s="38"/>
      <c r="K34" s="38"/>
      <c r="L34" s="38"/>
      <c r="M34" s="38"/>
      <c r="N34" s="38"/>
      <c r="Q34" s="38"/>
      <c r="R34" s="38"/>
      <c r="S34" s="38"/>
      <c r="T34" s="38"/>
      <c r="U34" s="38"/>
      <c r="X34" s="38"/>
      <c r="Y34" s="38"/>
      <c r="Z34" s="38"/>
      <c r="AA34" s="40"/>
      <c r="AB34" s="61" t="s">
        <v>111</v>
      </c>
      <c r="AC34" s="110"/>
      <c r="AD34" s="62" t="s">
        <v>112</v>
      </c>
      <c r="AE34" s="61" t="s">
        <v>113</v>
      </c>
      <c r="AF34" s="61" t="s">
        <v>114</v>
      </c>
      <c r="AH34" s="61"/>
      <c r="AI34" s="36" t="s">
        <v>57</v>
      </c>
      <c r="AJ34" s="40"/>
      <c r="AK34" s="40"/>
    </row>
    <row r="35" spans="1:37" x14ac:dyDescent="0.25">
      <c r="A35" s="45" t="s">
        <v>109</v>
      </c>
      <c r="B35" s="45" t="s">
        <v>4</v>
      </c>
      <c r="C35" s="2">
        <v>1</v>
      </c>
      <c r="D35" s="45">
        <v>4.5</v>
      </c>
      <c r="E35" s="125">
        <f>IF(D35&gt;0, 1, 0)</f>
        <v>1</v>
      </c>
      <c r="F35" s="45" t="s">
        <v>123</v>
      </c>
      <c r="G35" s="66">
        <v>2.8</v>
      </c>
      <c r="H35" s="46">
        <f>IF(G35&gt;3, 3, G35)</f>
        <v>2.8</v>
      </c>
      <c r="I35" s="46">
        <f>IF(G35&gt;4.5,4.5,MAX(0,G35-3))</f>
        <v>0</v>
      </c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40"/>
      <c r="AB35" s="45" t="s">
        <v>4</v>
      </c>
      <c r="AC35" s="45"/>
      <c r="AD35" s="45" t="s">
        <v>118</v>
      </c>
      <c r="AE35" s="45" t="s">
        <v>118</v>
      </c>
      <c r="AF35" s="45"/>
      <c r="AG35" s="45"/>
      <c r="AH35" s="45"/>
      <c r="AI35" s="45" t="s">
        <v>119</v>
      </c>
      <c r="AJ35" s="40"/>
      <c r="AK35" s="40"/>
    </row>
    <row r="36" spans="1:37" x14ac:dyDescent="0.25">
      <c r="A36" s="45"/>
      <c r="B36" s="45"/>
      <c r="C36" s="2">
        <v>1</v>
      </c>
      <c r="D36" s="45"/>
      <c r="E36" s="125">
        <f t="shared" ref="E36:E45" si="15">IF(D36&gt;0, 1, 0)</f>
        <v>0</v>
      </c>
      <c r="F36" s="45"/>
      <c r="G36" s="66"/>
      <c r="H36" s="46">
        <f t="shared" ref="H36:H45" si="16">IF(G36&gt;3, 3, G36)</f>
        <v>0</v>
      </c>
      <c r="I36" s="46">
        <f t="shared" ref="I36:I45" si="17">IF(G36&gt;4.5,4.5,MAX(0,G36-3))</f>
        <v>0</v>
      </c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40"/>
      <c r="AB36" s="45"/>
      <c r="AC36" s="45"/>
      <c r="AD36" s="45"/>
      <c r="AE36" s="45"/>
      <c r="AF36" s="45" t="s">
        <v>118</v>
      </c>
      <c r="AG36" s="45"/>
      <c r="AH36" s="45"/>
      <c r="AI36" s="45"/>
      <c r="AJ36" s="40"/>
      <c r="AK36" s="40"/>
    </row>
    <row r="37" spans="1:37" x14ac:dyDescent="0.25">
      <c r="A37" s="45"/>
      <c r="B37" s="45"/>
      <c r="C37" s="2">
        <v>1</v>
      </c>
      <c r="D37" s="45"/>
      <c r="E37" s="125">
        <f t="shared" si="15"/>
        <v>0</v>
      </c>
      <c r="F37" s="45"/>
      <c r="G37" s="66"/>
      <c r="H37" s="46">
        <f t="shared" si="16"/>
        <v>0</v>
      </c>
      <c r="I37" s="46">
        <f t="shared" si="17"/>
        <v>0</v>
      </c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40"/>
      <c r="AB37" s="45"/>
      <c r="AC37" s="45"/>
      <c r="AD37" s="45"/>
      <c r="AE37" s="45"/>
      <c r="AF37" s="45"/>
      <c r="AG37" s="45"/>
      <c r="AH37" s="45"/>
      <c r="AI37" s="45"/>
      <c r="AJ37" s="40"/>
      <c r="AK37" s="40"/>
    </row>
    <row r="38" spans="1:37" x14ac:dyDescent="0.25">
      <c r="A38" s="45"/>
      <c r="B38" s="45"/>
      <c r="C38" s="2">
        <v>1</v>
      </c>
      <c r="D38" s="45"/>
      <c r="E38" s="125">
        <f t="shared" si="15"/>
        <v>0</v>
      </c>
      <c r="F38" s="45"/>
      <c r="G38" s="66"/>
      <c r="H38" s="46">
        <f t="shared" si="16"/>
        <v>0</v>
      </c>
      <c r="I38" s="46">
        <f t="shared" si="17"/>
        <v>0</v>
      </c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40"/>
      <c r="AB38" s="45"/>
      <c r="AC38" s="45"/>
      <c r="AD38" s="45"/>
      <c r="AE38" s="45"/>
      <c r="AF38" s="45"/>
      <c r="AG38" s="45"/>
      <c r="AH38" s="45"/>
      <c r="AI38" s="45"/>
      <c r="AJ38" s="40"/>
      <c r="AK38" s="40"/>
    </row>
    <row r="39" spans="1:37" x14ac:dyDescent="0.25">
      <c r="A39" s="45"/>
      <c r="B39" s="45"/>
      <c r="C39" s="2">
        <v>1</v>
      </c>
      <c r="D39" s="45"/>
      <c r="E39" s="125">
        <f t="shared" si="15"/>
        <v>0</v>
      </c>
      <c r="F39" s="45"/>
      <c r="G39" s="67"/>
      <c r="H39" s="46">
        <f t="shared" si="16"/>
        <v>0</v>
      </c>
      <c r="I39" s="46">
        <f t="shared" si="17"/>
        <v>0</v>
      </c>
      <c r="J39" s="64"/>
      <c r="K39" s="64"/>
      <c r="L39" s="64"/>
      <c r="M39" s="64"/>
      <c r="N39" s="64"/>
      <c r="O39" s="38"/>
      <c r="P39" s="38"/>
      <c r="Q39" s="64"/>
      <c r="R39" s="64"/>
      <c r="S39" s="64"/>
      <c r="T39" s="64"/>
      <c r="U39" s="64"/>
      <c r="V39" s="38"/>
      <c r="W39" s="38"/>
      <c r="X39" s="64"/>
      <c r="Y39" s="64"/>
      <c r="Z39" s="64"/>
      <c r="AA39" s="40"/>
      <c r="AB39" s="45"/>
      <c r="AC39" s="45"/>
      <c r="AD39" s="45"/>
      <c r="AE39" s="45"/>
      <c r="AF39" s="45"/>
      <c r="AG39" s="45"/>
      <c r="AH39" s="45"/>
      <c r="AI39" s="45"/>
      <c r="AJ39" s="40"/>
      <c r="AK39" s="40"/>
    </row>
    <row r="40" spans="1:37" x14ac:dyDescent="0.25">
      <c r="A40" s="45"/>
      <c r="B40" s="45"/>
      <c r="C40" s="2">
        <v>1</v>
      </c>
      <c r="D40" s="45"/>
      <c r="E40" s="125">
        <f t="shared" si="15"/>
        <v>0</v>
      </c>
      <c r="F40" s="45"/>
      <c r="G40" s="66"/>
      <c r="H40" s="46">
        <f>IF(G40&gt;3, 3, G40)</f>
        <v>0</v>
      </c>
      <c r="I40" s="46">
        <f>IF(G40&gt;4.5,4.5,MAX(0,G40-3))</f>
        <v>0</v>
      </c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40"/>
      <c r="AB40" s="45"/>
      <c r="AC40" s="45"/>
      <c r="AD40" s="45"/>
      <c r="AE40" s="45"/>
      <c r="AF40" s="45"/>
      <c r="AG40" s="45"/>
      <c r="AH40" s="45"/>
      <c r="AI40" s="45"/>
      <c r="AJ40" s="40"/>
      <c r="AK40" s="40"/>
    </row>
    <row r="41" spans="1:37" x14ac:dyDescent="0.25">
      <c r="A41" s="45"/>
      <c r="B41" s="45"/>
      <c r="C41" s="2">
        <v>1</v>
      </c>
      <c r="D41" s="45"/>
      <c r="E41" s="125">
        <f t="shared" si="15"/>
        <v>0</v>
      </c>
      <c r="F41" s="45"/>
      <c r="G41" s="66"/>
      <c r="H41" s="46">
        <f t="shared" ref="H41:H44" si="18">IF(G41&gt;3, 3, G41)</f>
        <v>0</v>
      </c>
      <c r="I41" s="46">
        <f t="shared" ref="I41:I44" si="19">IF(G41&gt;4.5,4.5,MAX(0,G41-3))</f>
        <v>0</v>
      </c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40"/>
      <c r="AB41" s="45"/>
      <c r="AC41" s="45"/>
      <c r="AD41" s="45"/>
      <c r="AE41" s="45"/>
      <c r="AF41" s="45"/>
      <c r="AG41" s="45"/>
      <c r="AH41" s="45"/>
      <c r="AI41" s="45"/>
      <c r="AJ41" s="40"/>
      <c r="AK41" s="40"/>
    </row>
    <row r="42" spans="1:37" x14ac:dyDescent="0.25">
      <c r="A42" s="45"/>
      <c r="B42" s="45"/>
      <c r="C42" s="2">
        <v>1</v>
      </c>
      <c r="D42" s="45"/>
      <c r="E42" s="125">
        <f t="shared" si="15"/>
        <v>0</v>
      </c>
      <c r="F42" s="45"/>
      <c r="G42" s="66"/>
      <c r="H42" s="46">
        <f t="shared" si="18"/>
        <v>0</v>
      </c>
      <c r="I42" s="46">
        <f t="shared" si="19"/>
        <v>0</v>
      </c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40"/>
      <c r="AB42" s="45"/>
      <c r="AC42" s="45"/>
      <c r="AD42" s="45"/>
      <c r="AE42" s="45"/>
      <c r="AF42" s="45"/>
      <c r="AG42" s="45"/>
      <c r="AH42" s="45"/>
      <c r="AI42" s="45"/>
      <c r="AJ42" s="40"/>
      <c r="AK42" s="40"/>
    </row>
    <row r="43" spans="1:37" x14ac:dyDescent="0.25">
      <c r="A43" s="45"/>
      <c r="B43" s="45"/>
      <c r="C43" s="2">
        <v>1</v>
      </c>
      <c r="D43" s="45"/>
      <c r="E43" s="125">
        <f t="shared" si="15"/>
        <v>0</v>
      </c>
      <c r="F43" s="45"/>
      <c r="G43" s="66"/>
      <c r="H43" s="46">
        <f t="shared" si="18"/>
        <v>0</v>
      </c>
      <c r="I43" s="46">
        <f t="shared" si="19"/>
        <v>0</v>
      </c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40"/>
      <c r="AB43" s="45"/>
      <c r="AC43" s="45"/>
      <c r="AD43" s="45"/>
      <c r="AE43" s="45"/>
      <c r="AF43" s="45"/>
      <c r="AG43" s="45"/>
      <c r="AH43" s="45"/>
      <c r="AI43" s="45"/>
      <c r="AJ43" s="40"/>
      <c r="AK43" s="40"/>
    </row>
    <row r="44" spans="1:37" x14ac:dyDescent="0.25">
      <c r="A44" s="45"/>
      <c r="B44" s="45"/>
      <c r="C44" s="2">
        <v>1</v>
      </c>
      <c r="D44" s="45"/>
      <c r="E44" s="125">
        <f t="shared" si="15"/>
        <v>0</v>
      </c>
      <c r="F44" s="45"/>
      <c r="G44" s="67"/>
      <c r="H44" s="46">
        <f t="shared" si="18"/>
        <v>0</v>
      </c>
      <c r="I44" s="46">
        <f t="shared" si="19"/>
        <v>0</v>
      </c>
      <c r="J44" s="64"/>
      <c r="K44" s="64"/>
      <c r="L44" s="64"/>
      <c r="M44" s="64"/>
      <c r="N44" s="64"/>
      <c r="O44" s="38"/>
      <c r="P44" s="38"/>
      <c r="Q44" s="64"/>
      <c r="R44" s="64"/>
      <c r="S44" s="64"/>
      <c r="T44" s="64"/>
      <c r="U44" s="64"/>
      <c r="V44" s="38"/>
      <c r="W44" s="38"/>
      <c r="X44" s="64"/>
      <c r="Y44" s="64"/>
      <c r="Z44" s="64"/>
      <c r="AA44" s="40"/>
      <c r="AB44" s="45"/>
      <c r="AC44" s="45"/>
      <c r="AD44" s="45"/>
      <c r="AE44" s="45"/>
      <c r="AF44" s="45"/>
      <c r="AG44" s="45"/>
      <c r="AH44" s="45"/>
      <c r="AI44" s="45"/>
      <c r="AJ44" s="40"/>
      <c r="AK44" s="40"/>
    </row>
    <row r="45" spans="1:37" x14ac:dyDescent="0.25">
      <c r="A45" s="45"/>
      <c r="B45" s="45"/>
      <c r="C45" s="2">
        <v>1</v>
      </c>
      <c r="D45" s="45"/>
      <c r="E45" s="125">
        <f t="shared" si="15"/>
        <v>0</v>
      </c>
      <c r="F45" s="45"/>
      <c r="G45" s="66"/>
      <c r="H45" s="46">
        <f t="shared" si="16"/>
        <v>0</v>
      </c>
      <c r="I45" s="46">
        <f t="shared" si="17"/>
        <v>0</v>
      </c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40"/>
      <c r="AB45" s="45"/>
      <c r="AC45" s="45"/>
      <c r="AD45" s="45"/>
      <c r="AE45" s="45"/>
      <c r="AF45" s="45"/>
      <c r="AG45" s="45"/>
      <c r="AH45" s="45"/>
      <c r="AI45" s="45"/>
      <c r="AJ45" s="40"/>
      <c r="AK45" s="40"/>
    </row>
    <row r="46" spans="1:37" ht="15.75" thickBot="1" x14ac:dyDescent="0.3">
      <c r="A46" s="40"/>
      <c r="C46" s="41">
        <f>SUM(C35:C45)</f>
        <v>11</v>
      </c>
      <c r="D46" s="43" t="s">
        <v>6</v>
      </c>
      <c r="E46" s="68">
        <f>SUM(E35:E45)</f>
        <v>1</v>
      </c>
      <c r="F46" s="43" t="s">
        <v>64</v>
      </c>
      <c r="G46" s="68">
        <f>SUM(G35:G45)</f>
        <v>2.8</v>
      </c>
      <c r="H46" s="68">
        <f t="shared" ref="H46:I46" si="20">SUM(H35:H45)</f>
        <v>2.8</v>
      </c>
      <c r="I46" s="68">
        <f t="shared" si="20"/>
        <v>0</v>
      </c>
      <c r="Q46" s="43"/>
      <c r="R46" s="43"/>
      <c r="S46" s="43"/>
      <c r="T46" s="43"/>
      <c r="X46" s="43"/>
      <c r="Y46" s="43"/>
      <c r="Z46" s="43"/>
      <c r="AA46" s="43"/>
      <c r="AE46" s="43"/>
      <c r="AF46" s="43"/>
      <c r="AG46" s="43"/>
      <c r="AH46" s="43"/>
      <c r="AJ46" s="40"/>
      <c r="AK46" s="40"/>
    </row>
    <row r="47" spans="1:37" ht="15.75" thickTop="1" x14ac:dyDescent="0.25">
      <c r="A47" s="40"/>
      <c r="AJ47" s="40"/>
      <c r="AK47" s="40"/>
    </row>
    <row r="48" spans="1:37" x14ac:dyDescent="0.25">
      <c r="A48" s="40"/>
    </row>
    <row r="49" spans="1:5" x14ac:dyDescent="0.25">
      <c r="A49" s="40"/>
    </row>
    <row r="50" spans="1:5" x14ac:dyDescent="0.25">
      <c r="A50" s="40"/>
    </row>
    <row r="51" spans="1:5" x14ac:dyDescent="0.25">
      <c r="A51" s="40"/>
    </row>
    <row r="52" spans="1:5" ht="23.25" x14ac:dyDescent="0.25">
      <c r="A52" s="40"/>
      <c r="B52" s="119" t="s">
        <v>132</v>
      </c>
      <c r="C52" s="120"/>
      <c r="D52" s="120"/>
      <c r="E52" s="120"/>
    </row>
    <row r="53" spans="1:5" ht="15.75" x14ac:dyDescent="0.25">
      <c r="A53" s="40"/>
      <c r="B53" s="123" t="s">
        <v>136</v>
      </c>
    </row>
    <row r="54" spans="1:5" x14ac:dyDescent="0.25">
      <c r="A54" s="40"/>
      <c r="B54" s="118" t="s">
        <v>128</v>
      </c>
    </row>
    <row r="55" spans="1:5" x14ac:dyDescent="0.25">
      <c r="B55" s="118" t="s">
        <v>129</v>
      </c>
    </row>
    <row r="56" spans="1:5" x14ac:dyDescent="0.25">
      <c r="B56" s="118" t="s">
        <v>130</v>
      </c>
    </row>
    <row r="57" spans="1:5" x14ac:dyDescent="0.25">
      <c r="B57" s="118" t="s">
        <v>131</v>
      </c>
    </row>
    <row r="58" spans="1:5" x14ac:dyDescent="0.25">
      <c r="B58" s="118" t="s">
        <v>134</v>
      </c>
    </row>
    <row r="59" spans="1:5" x14ac:dyDescent="0.25">
      <c r="B59" s="118" t="s">
        <v>135</v>
      </c>
    </row>
    <row r="60" spans="1:5" x14ac:dyDescent="0.25">
      <c r="B60" s="118"/>
    </row>
    <row r="61" spans="1:5" x14ac:dyDescent="0.25">
      <c r="B61" s="118"/>
    </row>
    <row r="62" spans="1:5" x14ac:dyDescent="0.25">
      <c r="B62" s="118"/>
    </row>
    <row r="63" spans="1:5" x14ac:dyDescent="0.25">
      <c r="B63" s="118"/>
    </row>
    <row r="64" spans="1:5" x14ac:dyDescent="0.25">
      <c r="B64" s="118"/>
    </row>
    <row r="65" spans="2:2" x14ac:dyDescent="0.25">
      <c r="B65" s="118"/>
    </row>
    <row r="66" spans="2:2" x14ac:dyDescent="0.25">
      <c r="B66" s="118"/>
    </row>
    <row r="67" spans="2:2" x14ac:dyDescent="0.25">
      <c r="B67" s="118"/>
    </row>
    <row r="68" spans="2:2" x14ac:dyDescent="0.25">
      <c r="B68" s="118"/>
    </row>
    <row r="69" spans="2:2" x14ac:dyDescent="0.25">
      <c r="B69" s="118"/>
    </row>
    <row r="70" spans="2:2" x14ac:dyDescent="0.25">
      <c r="B70" s="118"/>
    </row>
    <row r="71" spans="2:2" x14ac:dyDescent="0.25">
      <c r="B71" s="118"/>
    </row>
  </sheetData>
  <dataConsolidate topLabels="1">
    <dataRefs count="1">
      <dataRef ref="A1:M1" sheet="Tracker" r:id="rId1"/>
    </dataRefs>
  </dataConsolidate>
  <mergeCells count="3">
    <mergeCell ref="AB1:AC1"/>
    <mergeCell ref="AE1:AF1"/>
    <mergeCell ref="AG1:AH1"/>
  </mergeCells>
  <conditionalFormatting sqref="AB2:AB27">
    <cfRule type="cellIs" dxfId="23" priority="23" operator="equal">
      <formula>"CP"</formula>
    </cfRule>
    <cfRule type="cellIs" dxfId="22" priority="24" operator="notEqual">
      <formula>"CP"</formula>
    </cfRule>
  </conditionalFormatting>
  <conditionalFormatting sqref="AC2:AC27">
    <cfRule type="cellIs" dxfId="21" priority="21" operator="equal">
      <formula>"RC"</formula>
    </cfRule>
    <cfRule type="cellIs" dxfId="20" priority="22" operator="notEqual">
      <formula>"RC"</formula>
    </cfRule>
  </conditionalFormatting>
  <conditionalFormatting sqref="AB35:AB45">
    <cfRule type="cellIs" dxfId="19" priority="19" operator="equal">
      <formula>"TP"</formula>
    </cfRule>
    <cfRule type="cellIs" dxfId="18" priority="20" operator="notEqual">
      <formula>"TP"</formula>
    </cfRule>
  </conditionalFormatting>
  <conditionalFormatting sqref="AE2:AE27">
    <cfRule type="cellIs" dxfId="17" priority="17" operator="equal">
      <formula>"CP"</formula>
    </cfRule>
    <cfRule type="cellIs" dxfId="16" priority="18" operator="notEqual">
      <formula>"CP"</formula>
    </cfRule>
  </conditionalFormatting>
  <conditionalFormatting sqref="AF2:AF27">
    <cfRule type="cellIs" dxfId="15" priority="15" operator="equal">
      <formula>"RC"</formula>
    </cfRule>
    <cfRule type="cellIs" dxfId="14" priority="16" operator="notEqual">
      <formula>"RC"</formula>
    </cfRule>
  </conditionalFormatting>
  <conditionalFormatting sqref="AG2:AG27">
    <cfRule type="cellIs" dxfId="13" priority="13" operator="equal">
      <formula>"CP"</formula>
    </cfRule>
    <cfRule type="cellIs" dxfId="12" priority="14" operator="notEqual">
      <formula>"CP"</formula>
    </cfRule>
  </conditionalFormatting>
  <conditionalFormatting sqref="AH2:AH27">
    <cfRule type="cellIs" dxfId="11" priority="1" operator="equal">
      <formula>"N/A"</formula>
    </cfRule>
    <cfRule type="cellIs" dxfId="10" priority="11" operator="equal">
      <formula>"RC"</formula>
    </cfRule>
    <cfRule type="cellIs" dxfId="9" priority="12" operator="notEqual">
      <formula>"RC"</formula>
    </cfRule>
  </conditionalFormatting>
  <conditionalFormatting sqref="AE35:AE45">
    <cfRule type="cellIs" dxfId="8" priority="10" operator="equal">
      <formula>"Yes"</formula>
    </cfRule>
  </conditionalFormatting>
  <conditionalFormatting sqref="AF35:AF45">
    <cfRule type="cellIs" dxfId="7" priority="9" operator="equal">
      <formula>"Yes"</formula>
    </cfRule>
  </conditionalFormatting>
  <conditionalFormatting sqref="AE35:AE45">
    <cfRule type="cellIs" dxfId="6" priority="8" operator="notEqual">
      <formula>"Yes"</formula>
    </cfRule>
  </conditionalFormatting>
  <conditionalFormatting sqref="AF35:AF45">
    <cfRule type="cellIs" dxfId="5" priority="7" operator="notEqual">
      <formula>"Yes"</formula>
    </cfRule>
  </conditionalFormatting>
  <conditionalFormatting sqref="AB2:AB27">
    <cfRule type="cellIs" dxfId="4" priority="6" operator="equal">
      <formula>"N/A"</formula>
    </cfRule>
  </conditionalFormatting>
  <conditionalFormatting sqref="AC2:AC27">
    <cfRule type="cellIs" dxfId="3" priority="5" operator="equal">
      <formula>"N/A"</formula>
    </cfRule>
  </conditionalFormatting>
  <conditionalFormatting sqref="AE2:AE27">
    <cfRule type="cellIs" dxfId="2" priority="4" operator="equal">
      <formula>"N/A"</formula>
    </cfRule>
  </conditionalFormatting>
  <conditionalFormatting sqref="AF2:AF27">
    <cfRule type="cellIs" dxfId="1" priority="3" operator="equal">
      <formula>"N/A"</formula>
    </cfRule>
  </conditionalFormatting>
  <conditionalFormatting sqref="AG2:AG27">
    <cfRule type="cellIs" dxfId="0" priority="2" operator="equal">
      <formula>"N/A"</formula>
    </cfRule>
  </conditionalFormatting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Lab Schedules</vt:lpstr>
      <vt:lpstr>Log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Cullen, Phil</dc:creator>
  <cp:lastModifiedBy>Cullen, Phil</cp:lastModifiedBy>
  <dcterms:created xsi:type="dcterms:W3CDTF">2018-09-12T08:18:20Z</dcterms:created>
  <dcterms:modified xsi:type="dcterms:W3CDTF">2019-02-20T16:03:09Z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RiskLevel">
    <vt:lpwstr/>
  </property>
  <property fmtid="{D5CDD505-2E9C-101B-9397-08002B2CF9AE}" pid="3" name="DocRiskLevelWizardText">
    <vt:lpwstr>Atkins Baseline</vt:lpwstr>
  </property>
  <property fmtid="{D5CDD505-2E9C-101B-9397-08002B2CF9AE}" pid="4" name="DocRiskLevelWizardMarker">
    <vt:lpwstr/>
  </property>
</Properties>
</file>