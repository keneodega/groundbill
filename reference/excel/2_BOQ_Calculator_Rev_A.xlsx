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P:\IEDBA\Data5000\GEOTECH\Geotech Master Files\Master GI Documents\BOQ\Master BOQ\All Jobs\"/>
    </mc:Choice>
  </mc:AlternateContent>
  <xr:revisionPtr revIDLastSave="0" documentId="13_ncr:1_{E6A6BCD7-0CCF-4BFF-B9F9-002F9592D5CE}" xr6:coauthVersionLast="47" xr6:coauthVersionMax="47" xr10:uidLastSave="{00000000-0000-0000-0000-000000000000}"/>
  <bookViews>
    <workbookView xWindow="11460" yWindow="-12075" windowWidth="17250" windowHeight="8970" tabRatio="880" activeTab="4" xr2:uid="{00000000-000D-0000-FFFF-FFFF00000000}"/>
  </bookViews>
  <sheets>
    <sheet name="Section A" sheetId="17" r:id="rId1"/>
    <sheet name="Section B" sheetId="18" r:id="rId2"/>
    <sheet name="Section C" sheetId="19" r:id="rId3"/>
    <sheet name="Section D" sheetId="20" r:id="rId4"/>
    <sheet name="Section E" sheetId="21" r:id="rId5"/>
    <sheet name="Section F" sheetId="22" r:id="rId6"/>
    <sheet name="Section G" sheetId="23" r:id="rId7"/>
    <sheet name="Section H" sheetId="24" r:id="rId8"/>
    <sheet name="Section I" sheetId="25" r:id="rId9"/>
    <sheet name="Section J" sheetId="26" r:id="rId10"/>
    <sheet name="Section K" sheetId="27" r:id="rId11"/>
    <sheet name="Section L" sheetId="28" r:id="rId12"/>
    <sheet name="Summary" sheetId="29" r:id="rId13"/>
    <sheet name="Appendices" sheetId="14" r:id="rId14"/>
    <sheet name="Calculator" sheetId="30" r:id="rId15"/>
  </sheets>
  <externalReferences>
    <externalReference r:id="rId16"/>
  </externalReferences>
  <definedNames>
    <definedName name="cellx" localSheetId="7">'Section H'!$E$74</definedName>
    <definedName name="cellx">#REF!</definedName>
    <definedName name="_xlnm.Print_Area" localSheetId="13">Appendices!$A$7:$D$45</definedName>
    <definedName name="_xlnm.Print_Area" localSheetId="0">'Section A'!$A$7:$F$72</definedName>
    <definedName name="_xlnm.Print_Area" localSheetId="1">'Section B'!$A$6:$F$45</definedName>
    <definedName name="_xlnm.Print_Area" localSheetId="2">'Section C'!$A$7:$F$113</definedName>
    <definedName name="_xlnm.Print_Area" localSheetId="3">'Section D'!$A$8:$F$75</definedName>
    <definedName name="_xlnm.Print_Area" localSheetId="4">'Section E'!$A$7:$F$33</definedName>
    <definedName name="_xlnm.Print_Area" localSheetId="5">'Section F'!$A$7:$F$34</definedName>
    <definedName name="_xlnm.Print_Area" localSheetId="6">'Section G'!$A$7:$F$25</definedName>
    <definedName name="_xlnm.Print_Area" localSheetId="7">'Section H'!$A$7:$F$69</definedName>
    <definedName name="_xlnm.Print_Area" localSheetId="8">'Section I'!$A$7:$F$49</definedName>
    <definedName name="_xlnm.Print_Area" localSheetId="9">'Section J'!$A$7:$F$37</definedName>
    <definedName name="_xlnm.Print_Area" localSheetId="10">'Section K'!$A$7:$F$127</definedName>
    <definedName name="_xlnm.Print_Area" localSheetId="11">'Section L'!$A$7:$F$18</definedName>
    <definedName name="_xlnm.Print_Area" localSheetId="12">Summary!$A$7:$C$21</definedName>
    <definedName name="TOTAL_A" localSheetId="0">'Section A'!$F$72</definedName>
    <definedName name="TOTAL_A" localSheetId="1">#REF!</definedName>
    <definedName name="TOTAL_A">#REF!</definedName>
    <definedName name="TOTAL_B" localSheetId="1">'Section B'!$F$45</definedName>
    <definedName name="TOTAL_B">#REF!</definedName>
    <definedName name="TOTAL_C" localSheetId="1">#REF!</definedName>
    <definedName name="TOTAL_C" localSheetId="2">'Section C'!$F$113</definedName>
    <definedName name="TOTAL_C">#REF!</definedName>
    <definedName name="TOTAL_D" localSheetId="1">#REF!</definedName>
    <definedName name="TOTAL_D" localSheetId="3">'Section D'!$F$75</definedName>
    <definedName name="TOTAL_D">#REF!</definedName>
    <definedName name="TOTAL_E" localSheetId="1">#REF!</definedName>
    <definedName name="TOTAL_E" localSheetId="4">'Section E'!$F$33</definedName>
    <definedName name="TOTAL_E">#REF!</definedName>
    <definedName name="TOTAL_F" localSheetId="1">#REF!</definedName>
    <definedName name="TOTAL_F" localSheetId="5">'Section F'!$F$34</definedName>
    <definedName name="TOTAL_F">#REF!</definedName>
    <definedName name="TOTAL_G" localSheetId="1">#REF!</definedName>
    <definedName name="TOTAL_G" localSheetId="6">'Section G'!$F$25</definedName>
    <definedName name="TOTAL_G">#REF!</definedName>
    <definedName name="TOTAL_H" localSheetId="1">#REF!</definedName>
    <definedName name="TOTAL_H" localSheetId="7">'Section H'!$F$69</definedName>
    <definedName name="TOTAL_H">#REF!</definedName>
    <definedName name="TOTAL_I" localSheetId="1">#REF!</definedName>
    <definedName name="TOTAL_I" localSheetId="8">'Section I'!$F$49</definedName>
    <definedName name="TOTAL_I">#REF!</definedName>
    <definedName name="TOTAL_J" localSheetId="1">#REF!</definedName>
    <definedName name="TOTAL_J" localSheetId="9">'Section J'!$F$37</definedName>
    <definedName name="TOTAL_J">#REF!</definedName>
    <definedName name="TOTAL_K" localSheetId="1">#REF!</definedName>
    <definedName name="TOTAL_K" localSheetId="10">'Section K'!$F$127</definedName>
    <definedName name="TOTAL_K">#REF!</definedName>
    <definedName name="TOTAL_L" localSheetId="1">#REF!</definedName>
    <definedName name="TOTAL_L" localSheetId="11">'Section L'!$F$18</definedName>
    <definedName name="TOTAL_L">#REF!</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18" l="1"/>
  <c r="D74" i="20"/>
  <c r="D25" i="21" l="1"/>
  <c r="D24" i="25" l="1"/>
  <c r="D12" i="25"/>
  <c r="D18" i="24"/>
  <c r="D36" i="18"/>
  <c r="D35" i="18"/>
  <c r="D34" i="18"/>
  <c r="D31" i="18"/>
  <c r="D30" i="18"/>
  <c r="D37" i="18" s="1"/>
  <c r="R20" i="30" l="1"/>
  <c r="Q20" i="30"/>
  <c r="P20" i="30"/>
  <c r="O20" i="30"/>
  <c r="N20" i="30"/>
  <c r="M20" i="30"/>
  <c r="G20" i="30"/>
  <c r="F20" i="30"/>
  <c r="E20" i="30"/>
  <c r="B20" i="30"/>
  <c r="P14" i="30"/>
  <c r="O14" i="30"/>
  <c r="N14" i="30"/>
  <c r="M14" i="30"/>
  <c r="F13" i="30"/>
  <c r="E13" i="30"/>
  <c r="Q9" i="30"/>
  <c r="P9" i="30"/>
  <c r="O9" i="30"/>
  <c r="N9" i="30"/>
  <c r="M9" i="30"/>
  <c r="X27" i="30"/>
  <c r="X26" i="30"/>
  <c r="X25" i="30"/>
  <c r="X24" i="30"/>
  <c r="X23" i="30"/>
  <c r="X22" i="30"/>
  <c r="X21" i="30"/>
  <c r="X20" i="30"/>
  <c r="X19" i="30"/>
  <c r="X18" i="30"/>
  <c r="X17" i="30"/>
  <c r="X16" i="30"/>
  <c r="X15" i="30"/>
  <c r="X14" i="30"/>
  <c r="X13" i="30"/>
  <c r="X12" i="30"/>
  <c r="X11" i="30"/>
  <c r="X10" i="30"/>
  <c r="X9" i="30"/>
  <c r="X8" i="30"/>
  <c r="X7" i="30"/>
  <c r="X6" i="30"/>
  <c r="X5" i="30"/>
  <c r="X4" i="30"/>
  <c r="X3" i="30"/>
  <c r="X2" i="30"/>
  <c r="Q2" i="30"/>
  <c r="P2" i="30"/>
  <c r="O2" i="30"/>
  <c r="N2" i="30"/>
  <c r="M2" i="30"/>
  <c r="H2" i="30"/>
  <c r="G2" i="30"/>
  <c r="B2" i="30"/>
  <c r="D20" i="22"/>
  <c r="D12" i="22"/>
  <c r="D13" i="20"/>
  <c r="D12" i="20"/>
  <c r="D27" i="20"/>
  <c r="D33" i="20"/>
  <c r="D23" i="20"/>
  <c r="D22" i="20"/>
  <c r="D56" i="24"/>
  <c r="D43" i="24"/>
  <c r="D29" i="24"/>
  <c r="D26" i="24"/>
  <c r="D26" i="20"/>
  <c r="D17" i="20"/>
  <c r="D16" i="20"/>
  <c r="D15" i="20"/>
  <c r="D34" i="20" s="1"/>
  <c r="D15" i="25"/>
  <c r="D36" i="19"/>
  <c r="D34" i="19"/>
  <c r="D33" i="19"/>
  <c r="D32" i="19"/>
  <c r="D31" i="19"/>
  <c r="D30" i="19"/>
  <c r="D29" i="19"/>
  <c r="D19" i="18"/>
  <c r="D17" i="18"/>
  <c r="D16" i="18"/>
  <c r="D14" i="18"/>
  <c r="D13" i="18"/>
  <c r="D11" i="18"/>
  <c r="D11" i="28" l="1"/>
  <c r="F18" i="28" l="1"/>
  <c r="D60" i="24" l="1"/>
  <c r="D28" i="18"/>
  <c r="D29" i="21" l="1"/>
  <c r="D15" i="28" s="1"/>
  <c r="D13" i="25" l="1"/>
  <c r="D47" i="24" l="1"/>
  <c r="D49" i="24" s="1"/>
  <c r="D50" i="24" s="1"/>
  <c r="D37" i="19" l="1"/>
  <c r="D18" i="18" l="1"/>
  <c r="D25" i="18" l="1"/>
  <c r="I32" i="30"/>
  <c r="I31" i="30"/>
  <c r="H31" i="30" l="1"/>
  <c r="G31" i="30"/>
  <c r="B32" i="30"/>
  <c r="D32" i="18" l="1"/>
  <c r="D33" i="18"/>
  <c r="D19" i="25" l="1"/>
  <c r="D11" i="22" l="1"/>
  <c r="D16" i="22" s="1"/>
  <c r="D22" i="22"/>
  <c r="D24" i="22"/>
  <c r="D21" i="22"/>
  <c r="D19" i="22"/>
  <c r="D29" i="22" s="1"/>
  <c r="D23" i="22"/>
  <c r="D14" i="22"/>
  <c r="D13" i="22"/>
  <c r="D15" i="22"/>
  <c r="D19" i="20" l="1"/>
  <c r="D20" i="20"/>
  <c r="D32" i="20" l="1"/>
  <c r="D18" i="21" l="1"/>
  <c r="D19" i="21"/>
  <c r="D15" i="21"/>
  <c r="D16" i="21" l="1"/>
  <c r="D14" i="25" l="1"/>
  <c r="D27" i="25" l="1"/>
  <c r="D26" i="25"/>
  <c r="D16" i="25"/>
  <c r="D17" i="25" l="1"/>
  <c r="D18" i="25"/>
  <c r="D11" i="25"/>
  <c r="D29" i="25"/>
  <c r="D30" i="25"/>
  <c r="D72" i="20" l="1"/>
  <c r="D70" i="20" l="1"/>
  <c r="D28" i="20"/>
  <c r="D35" i="17" l="1"/>
  <c r="D36" i="17" s="1"/>
  <c r="D67" i="20"/>
  <c r="D47" i="19" l="1"/>
  <c r="D49" i="19"/>
  <c r="D46" i="19"/>
  <c r="D48" i="19"/>
  <c r="D57" i="19"/>
  <c r="D43" i="19"/>
  <c r="D40" i="19"/>
  <c r="D41" i="19"/>
  <c r="D42" i="19"/>
  <c r="D56" i="19" l="1"/>
  <c r="D16" i="24"/>
  <c r="D54" i="19"/>
  <c r="D14" i="24"/>
  <c r="D15" i="24"/>
  <c r="D55" i="19"/>
  <c r="D12" i="21"/>
  <c r="D14" i="21" l="1"/>
  <c r="D11" i="27"/>
  <c r="D13" i="21"/>
  <c r="D23" i="18"/>
  <c r="D64" i="19"/>
  <c r="D22" i="27" l="1"/>
  <c r="D19" i="27"/>
  <c r="D12" i="27"/>
  <c r="D63" i="19"/>
  <c r="D61" i="19"/>
  <c r="D62" i="19"/>
  <c r="D21" i="18" l="1"/>
  <c r="D11" i="24"/>
  <c r="D10" i="24"/>
  <c r="D20" i="18"/>
  <c r="D22" i="18"/>
  <c r="D12" i="24"/>
  <c r="D31" i="20"/>
  <c r="D29" i="20" l="1"/>
  <c r="D30" i="20"/>
</calcChain>
</file>

<file path=xl/sharedStrings.xml><?xml version="1.0" encoding="utf-8"?>
<sst xmlns="http://schemas.openxmlformats.org/spreadsheetml/2006/main" count="2968" uniqueCount="1300">
  <si>
    <t>Number</t>
  </si>
  <si>
    <t>Item description</t>
  </si>
  <si>
    <t>Unit</t>
  </si>
  <si>
    <t>Quantity</t>
  </si>
  <si>
    <t>Rate</t>
  </si>
  <si>
    <t>Amount</t>
  </si>
  <si>
    <t>€</t>
  </si>
  <si>
    <t>A</t>
  </si>
  <si>
    <t>General items, provisional services and additional items</t>
  </si>
  <si>
    <t>A1</t>
  </si>
  <si>
    <t>Offices and stores for the Contractor</t>
  </si>
  <si>
    <t>sum</t>
  </si>
  <si>
    <t>A2</t>
  </si>
  <si>
    <t>Establish on site all plant, equipment and services for a Green Category site</t>
  </si>
  <si>
    <t>A2.1</t>
  </si>
  <si>
    <t xml:space="preserve">Establish on site cable percussion ('shell l auger') boring plant and equipment for a Green Category site  </t>
  </si>
  <si>
    <t>A2.2</t>
  </si>
  <si>
    <t xml:space="preserve">Establish on site rotary drilling plant and equipment for a Green Category site  </t>
  </si>
  <si>
    <t>A2.3</t>
  </si>
  <si>
    <t>Establish on site Geobor S rotary drilling plant and equipment for a Green Category site (PROVISIONAL)</t>
  </si>
  <si>
    <t>A2.4</t>
  </si>
  <si>
    <t xml:space="preserve">Establish on site trial pitting and trenching plant and equipment for a Green Category site  </t>
  </si>
  <si>
    <t>A2.5</t>
  </si>
  <si>
    <t xml:space="preserve">Establish on site in situ test and sampling equipment for a Green Category site  </t>
  </si>
  <si>
    <t>A2.6</t>
  </si>
  <si>
    <t xml:space="preserve">Establish on site cone penetration testing (CPT) plant and equipment for a Green Category site  </t>
  </si>
  <si>
    <t>A2.7</t>
  </si>
  <si>
    <t xml:space="preserve">Establish on site dynamic sampling and probing plant and equipment for a Green Category site  </t>
  </si>
  <si>
    <t>A2.8</t>
  </si>
  <si>
    <t>Establish on site geophysical survey equipment for a Green Category site</t>
  </si>
  <si>
    <t>A2.9</t>
  </si>
  <si>
    <t>Establish on site instrumentation equipment as required for a Green Category site</t>
  </si>
  <si>
    <t>A3.1</t>
  </si>
  <si>
    <t>A3.2</t>
  </si>
  <si>
    <t>As Item A3.1 but for a Red Category site</t>
  </si>
  <si>
    <t>A4.1</t>
  </si>
  <si>
    <t>Maintain on site all site safety equipment for a Yellow Category site (PROVISIONAL)</t>
  </si>
  <si>
    <t>per week</t>
  </si>
  <si>
    <t>A4.2</t>
  </si>
  <si>
    <t>Maintain on site all site safety equipment for a Red Category site</t>
  </si>
  <si>
    <t>A5.1</t>
  </si>
  <si>
    <t>Decontamination of equipment during and at end of intrusive investigation for a Yellow Category site (PROVISIONAL)</t>
  </si>
  <si>
    <t>A5.2</t>
  </si>
  <si>
    <t>Decontamination of equipment during and at end of intrusive investigation for a Red Category site</t>
  </si>
  <si>
    <t>A6</t>
  </si>
  <si>
    <t>provisional sum</t>
  </si>
  <si>
    <t>A6.1</t>
  </si>
  <si>
    <t>Contractor's uplift on Item A6</t>
  </si>
  <si>
    <t>%</t>
  </si>
  <si>
    <t>A7</t>
  </si>
  <si>
    <t xml:space="preserve">Provide professional attendance to meet the contract requirements </t>
  </si>
  <si>
    <t>A7.1</t>
  </si>
  <si>
    <t>Provide Technician</t>
  </si>
  <si>
    <t>per day</t>
  </si>
  <si>
    <t>Included in A7</t>
  </si>
  <si>
    <t>A7.2</t>
  </si>
  <si>
    <t>Provide Engineer / Geologist (as per item 2.3 of Specification)</t>
  </si>
  <si>
    <t>A7.3</t>
  </si>
  <si>
    <t>Provide Chartered Engineer / Professional Geologist (as item 2.3 of Specification)</t>
  </si>
  <si>
    <t>A7.4</t>
  </si>
  <si>
    <t>Provide Chartered Engineer / Professional Geologist (+10 years experience post charter)</t>
  </si>
  <si>
    <t>A7.5</t>
  </si>
  <si>
    <t>Provide Chartered Engineer / Professional Geologist (+20 years experience post charter)</t>
  </si>
  <si>
    <t>A8</t>
  </si>
  <si>
    <t>Set out the location at each exploratory hole or point</t>
  </si>
  <si>
    <t>Nr</t>
  </si>
  <si>
    <t>A8.1</t>
  </si>
  <si>
    <t>Establish the location and elevation (X, Y, Z) of the ground at each 'as-built' exploratory hole or point</t>
  </si>
  <si>
    <t>nr</t>
  </si>
  <si>
    <t>A9</t>
  </si>
  <si>
    <t>Preparation of Health and Safety documentation and Safety Risk Assessment</t>
  </si>
  <si>
    <t>A10</t>
  </si>
  <si>
    <t>Facilities for the Investigation Supervisor</t>
  </si>
  <si>
    <t>A11</t>
  </si>
  <si>
    <t>Vehicle(s) for the Investigation Supervisor</t>
  </si>
  <si>
    <t>vehicle wk</t>
  </si>
  <si>
    <t>A11.1</t>
  </si>
  <si>
    <t>Provision of fuel and tolls for A11 (to be reimbursed under the contract)</t>
  </si>
  <si>
    <t>A11.2</t>
  </si>
  <si>
    <t>Contractors uplift on item A11 and A11.1</t>
  </si>
  <si>
    <t>% uplift</t>
  </si>
  <si>
    <t>A12</t>
  </si>
  <si>
    <t>Provision of phone and internet for the Investigation Supervisor (to be reimbursed under the contract)</t>
  </si>
  <si>
    <t>A12.1</t>
  </si>
  <si>
    <t>Contractors Uplift on item A12</t>
  </si>
  <si>
    <t>A13</t>
  </si>
  <si>
    <t>Deliver selected cores and samples specified Client address (address to be advised)</t>
  </si>
  <si>
    <t>A14</t>
  </si>
  <si>
    <t>Special additional testing and sampling required by Investigation Supervisor</t>
  </si>
  <si>
    <t>A15</t>
  </si>
  <si>
    <t xml:space="preserve">Traffic safety and management to include preparation of traffic management drawings for investigations on roads or pavement areas   </t>
  </si>
  <si>
    <t>A16</t>
  </si>
  <si>
    <t>A17</t>
  </si>
  <si>
    <t>Contractors uplift on items A15 and A16</t>
  </si>
  <si>
    <t>A18</t>
  </si>
  <si>
    <t xml:space="preserve">One master copy of Desk Study Report </t>
  </si>
  <si>
    <t>Not Required </t>
  </si>
  <si>
    <t>A18.1</t>
  </si>
  <si>
    <t xml:space="preserve">Additional hard copy of Desk Study Report </t>
  </si>
  <si>
    <t>A18.2</t>
  </si>
  <si>
    <t>Electronic copy of Desk Study Report (PDF)</t>
  </si>
  <si>
    <t>A19</t>
  </si>
  <si>
    <t>One master copy of the Ground Investigation Report (Factual)</t>
  </si>
  <si>
    <t>A19.1</t>
  </si>
  <si>
    <t>Additional copy of the Ground Investigation Report (Factual)</t>
  </si>
  <si>
    <t>A19.2</t>
  </si>
  <si>
    <t xml:space="preserve">Electronic copy of Ground Investigation Report </t>
  </si>
  <si>
    <t>A20</t>
  </si>
  <si>
    <t>One master copy of Geophysical Report</t>
  </si>
  <si>
    <t>A20.1</t>
  </si>
  <si>
    <t xml:space="preserve">Additional hard copy of Geophysical Report </t>
  </si>
  <si>
    <t>A20.2</t>
  </si>
  <si>
    <t>Electronic copy of Geophysical Report (PDF)</t>
  </si>
  <si>
    <t>A21</t>
  </si>
  <si>
    <t xml:space="preserve">One master copy of Geotechnical Interpretive Report </t>
  </si>
  <si>
    <t>A21.1</t>
  </si>
  <si>
    <t>Additional copy of Geotechnical Interpretive Report</t>
  </si>
  <si>
    <t>A21.2</t>
  </si>
  <si>
    <t xml:space="preserve">Electronic copy of Geotechnical Interpretive Report </t>
  </si>
  <si>
    <t>A22</t>
  </si>
  <si>
    <t>A23</t>
  </si>
  <si>
    <t>A24</t>
  </si>
  <si>
    <t>A25</t>
  </si>
  <si>
    <t>wk</t>
  </si>
  <si>
    <t>A26</t>
  </si>
  <si>
    <t xml:space="preserve">Storage of core boxes following completion of fieldworks </t>
  </si>
  <si>
    <t>A27</t>
  </si>
  <si>
    <t>Provision of water supply for the fieldworks</t>
  </si>
  <si>
    <t>A28</t>
  </si>
  <si>
    <t>Provision of Insurances</t>
  </si>
  <si>
    <t>A29</t>
  </si>
  <si>
    <t>Provision of Performance Bond</t>
  </si>
  <si>
    <t>A30</t>
  </si>
  <si>
    <t xml:space="preserve">A31 </t>
  </si>
  <si>
    <t>Contractor liaison with external bodies to obtain road opening licence, foreshore licence for marine investigations etc. (specify)</t>
  </si>
  <si>
    <t>Additional Items</t>
  </si>
  <si>
    <t>Total Section A carried to summary:</t>
  </si>
  <si>
    <t>B</t>
  </si>
  <si>
    <t>B1</t>
  </si>
  <si>
    <t>Move boring plant and equipment to the site of each exploratory hole and set up (cable percussive only)</t>
  </si>
  <si>
    <t>B2</t>
  </si>
  <si>
    <t>Extra over Item B1 for setting up on a slope of gradient greater than 20%</t>
  </si>
  <si>
    <t>B3</t>
  </si>
  <si>
    <t>Hand digging and CAT scan at borehole location to confirm absence of utility ducts (maximum depth of 1.2m or lesser if ground is assessed as potentially unstable)</t>
  </si>
  <si>
    <t>B4</t>
  </si>
  <si>
    <t>Advance borehole between existing ground level and 10 m depth</t>
  </si>
  <si>
    <t>m</t>
  </si>
  <si>
    <t>B5</t>
  </si>
  <si>
    <t>As Item B4 but between 10 m and 20 m depth</t>
  </si>
  <si>
    <t>B6</t>
  </si>
  <si>
    <t>As Item B4 but between 20 m and 30 m depth</t>
  </si>
  <si>
    <t>B7</t>
  </si>
  <si>
    <t>As Item B4 but between 30 m and 40 m depth</t>
  </si>
  <si>
    <t>B8</t>
  </si>
  <si>
    <t>As Item B4 but between 40 m and 50 m depth</t>
  </si>
  <si>
    <t>B9</t>
  </si>
  <si>
    <t>Advance borehole through hard stratum or obstruction</t>
  </si>
  <si>
    <t>h</t>
  </si>
  <si>
    <t>B10</t>
  </si>
  <si>
    <t>Provide aquifer protection measures at a single aquiclude/aquifer boundary or cross-contamination control measures at a single soil boundary in a borehole</t>
  </si>
  <si>
    <t>B11</t>
  </si>
  <si>
    <t>Backfill borehole with cement/bentonite grout or bentonite pellets (where standpipe piezometer is not installed)</t>
  </si>
  <si>
    <t>m³</t>
  </si>
  <si>
    <t>B12</t>
  </si>
  <si>
    <t>Standing time for borehole plant, equipment and crew</t>
  </si>
  <si>
    <t>B13</t>
  </si>
  <si>
    <t>Move dynamic sampling equipment to the site of each exploratory hole and set up</t>
  </si>
  <si>
    <t>B14</t>
  </si>
  <si>
    <t>Extra over Item B13 for setting up on a slope of gradient greater than 20%</t>
  </si>
  <si>
    <t>B15</t>
  </si>
  <si>
    <t>B16</t>
  </si>
  <si>
    <t>Break out surface obstruction where present</t>
  </si>
  <si>
    <t>B17</t>
  </si>
  <si>
    <t>Advance dynamic sample hole between existing ground level and 5 m depth</t>
  </si>
  <si>
    <t>B18</t>
  </si>
  <si>
    <t>As Item B15 but between 5 and 10 m depth</t>
  </si>
  <si>
    <t>B19</t>
  </si>
  <si>
    <t>B20</t>
  </si>
  <si>
    <t>Standing time for dynamic sampling equipment and crew</t>
  </si>
  <si>
    <t>hr</t>
  </si>
  <si>
    <t>B21</t>
  </si>
  <si>
    <t>Backfill dynamic sample borehole with cement/bentonite grout or bentonite pellets (where standpipe or piezometer is not installed)</t>
  </si>
  <si>
    <t>Reinstatement of Cable Percussive Borehole and Dynamic Sample Borehole</t>
  </si>
  <si>
    <t>B22</t>
  </si>
  <si>
    <t>Reinstatement of gravel hardstanding</t>
  </si>
  <si>
    <t>m²</t>
  </si>
  <si>
    <t>B23</t>
  </si>
  <si>
    <t>Reinstatement of asphalt / bituminous pavement</t>
  </si>
  <si>
    <t>B24</t>
  </si>
  <si>
    <t>Reinstatement of grass areas</t>
  </si>
  <si>
    <t>B25</t>
  </si>
  <si>
    <t>Provision of stock proof fencing to borehole or dynamic sample work area</t>
  </si>
  <si>
    <t>B26</t>
  </si>
  <si>
    <t>Disposal of excess or surplus inert arisings from cable percussion boring or dynamic sampling (where standpipe or piezometer is not installed)</t>
  </si>
  <si>
    <t>Total Section B carried to summary:</t>
  </si>
  <si>
    <t>Rotary drilling</t>
  </si>
  <si>
    <t>Hand augering</t>
  </si>
  <si>
    <t>C1</t>
  </si>
  <si>
    <t>Bring hand auger equipment to the position of each exploratory hole</t>
  </si>
  <si>
    <t>C2</t>
  </si>
  <si>
    <t>Bore with hand auger from existing ground level to 2m depth</t>
  </si>
  <si>
    <t>C3</t>
  </si>
  <si>
    <t>As Item C2 but between 2 and 4m depth</t>
  </si>
  <si>
    <t>C4</t>
  </si>
  <si>
    <t>Standing time for hand auger equipment and crew</t>
  </si>
  <si>
    <t>C5</t>
  </si>
  <si>
    <t>Provision of hand augering equipment and crew for augering as directed by the Investigation Supervisor maximum depth 4m</t>
  </si>
  <si>
    <t>day</t>
  </si>
  <si>
    <t>C6</t>
  </si>
  <si>
    <t>Backfill hand auger hole with cement/bentonite grout or bentonite pellets</t>
  </si>
  <si>
    <t>Continuous flight and hollow-stem flight augering</t>
  </si>
  <si>
    <t>C7</t>
  </si>
  <si>
    <t>C7.1</t>
  </si>
  <si>
    <t>C8</t>
  </si>
  <si>
    <t>Extra over Item C7 for setting up on a slope of gradient greater than 20%</t>
  </si>
  <si>
    <t>C9</t>
  </si>
  <si>
    <t>C10</t>
  </si>
  <si>
    <t>C11</t>
  </si>
  <si>
    <t>C12</t>
  </si>
  <si>
    <t>C13</t>
  </si>
  <si>
    <t>C14</t>
  </si>
  <si>
    <t>Backfill auger hole with cement/bentonite grout or bentonite pellets (PROVISIONAL)</t>
  </si>
  <si>
    <t>C15</t>
  </si>
  <si>
    <t>C16</t>
  </si>
  <si>
    <t>C17</t>
  </si>
  <si>
    <t>Extra over Item C15 for setting up drilling plant for inclined drillhole</t>
  </si>
  <si>
    <t>C18</t>
  </si>
  <si>
    <t>C19</t>
  </si>
  <si>
    <t>C20</t>
  </si>
  <si>
    <t>Provide aquifer protection measures at a single aquiclude/aquifer boundary in a drillhole</t>
  </si>
  <si>
    <t>Drilling without cores</t>
  </si>
  <si>
    <t>C21</t>
  </si>
  <si>
    <t>C22</t>
  </si>
  <si>
    <t>C23</t>
  </si>
  <si>
    <t>As Item C21 but between 20 and 30m depth</t>
  </si>
  <si>
    <t>C24</t>
  </si>
  <si>
    <t>As Item C21 but between 30 and 40m depth</t>
  </si>
  <si>
    <t>C25</t>
  </si>
  <si>
    <t>As Item C21 but between 40 and 50m depth</t>
  </si>
  <si>
    <t>C26</t>
  </si>
  <si>
    <t>Extra over Items C21 to C25 for inclined rotary drillhole</t>
  </si>
  <si>
    <t>C27</t>
  </si>
  <si>
    <t>C28</t>
  </si>
  <si>
    <t>C29</t>
  </si>
  <si>
    <t>As Item C27 but between 20 and 30m depth</t>
  </si>
  <si>
    <t>C30</t>
  </si>
  <si>
    <t>As Item C27 but between 30 and 40m depth</t>
  </si>
  <si>
    <t>C31</t>
  </si>
  <si>
    <t>As Item C27 but between 40 and 50m depth</t>
  </si>
  <si>
    <t>C32</t>
  </si>
  <si>
    <t>Extra over Items C27 to C31 for inclined drillhole</t>
  </si>
  <si>
    <t>C33</t>
  </si>
  <si>
    <t>Drilling to obtain cores</t>
  </si>
  <si>
    <t>C34</t>
  </si>
  <si>
    <t>C35</t>
  </si>
  <si>
    <t>C36</t>
  </si>
  <si>
    <t>As Item C34 but between 20 and 30m depth</t>
  </si>
  <si>
    <t>C37</t>
  </si>
  <si>
    <t>As Item C34 but between 30 and 40m depth</t>
  </si>
  <si>
    <t>C38</t>
  </si>
  <si>
    <t>As Item C34 but between 40 and 50m depth</t>
  </si>
  <si>
    <t>C39</t>
  </si>
  <si>
    <t>Extra over Items C34 to C38 for use of semi-rigid core liner</t>
  </si>
  <si>
    <t>C40</t>
  </si>
  <si>
    <t>Extra over Items C34 to C38 for coring inclined rotary drillhole</t>
  </si>
  <si>
    <t>C41</t>
  </si>
  <si>
    <t>C42</t>
  </si>
  <si>
    <t>C43</t>
  </si>
  <si>
    <t>As Item C41 but between 20 and 30m depth</t>
  </si>
  <si>
    <t>C44</t>
  </si>
  <si>
    <t>As Item C41 but between 30 and 40m depth</t>
  </si>
  <si>
    <t>C45</t>
  </si>
  <si>
    <t>As Item C41 but between 40 and 50m depth</t>
  </si>
  <si>
    <t>C46</t>
  </si>
  <si>
    <t>Extra over Items C41 to C45 for use of semi-rigid liner</t>
  </si>
  <si>
    <t>C47</t>
  </si>
  <si>
    <t>Extra over Items C41 to C45 for coring inclined rotary drillhole</t>
  </si>
  <si>
    <t>C48</t>
  </si>
  <si>
    <t>Backfill rotary drillhole with cement/bentonite grout or bentonite pellets (where standpipe or piezometer is not installed)</t>
  </si>
  <si>
    <t>C49</t>
  </si>
  <si>
    <t>Core box to be retained by the client</t>
  </si>
  <si>
    <t>C50</t>
  </si>
  <si>
    <t>Move rotary percussive drilling plant and equipment to the site of each drill hole and set up</t>
  </si>
  <si>
    <t>C51</t>
  </si>
  <si>
    <t>Extra over Item C50 for setting up on a slope of gradient greater than 20%</t>
  </si>
  <si>
    <t>C52</t>
  </si>
  <si>
    <t>Rotary percussive drill at the specified diameter in any material between existing ground level and 10m depth</t>
  </si>
  <si>
    <t>C53</t>
  </si>
  <si>
    <t>As Item C52 but between 10 and 20m depth</t>
  </si>
  <si>
    <t>C54</t>
  </si>
  <si>
    <t>As Item C52 but between 20 and 30m depth</t>
  </si>
  <si>
    <t>C55</t>
  </si>
  <si>
    <t>As Item C52 but between 30 and 40m depth</t>
  </si>
  <si>
    <t>C56</t>
  </si>
  <si>
    <t>As Item C52 but between 40 and 50m depth</t>
  </si>
  <si>
    <t>C57</t>
  </si>
  <si>
    <t>Standing time for rotary percussive drilling plant, equipment and crew</t>
  </si>
  <si>
    <t>C58</t>
  </si>
  <si>
    <t>Backfill rotary percussive drillhole with cement/bentonite grout or bentonite pellets (where standpipe or piezometer is not installed)</t>
  </si>
  <si>
    <t xml:space="preserve">Geobor S Rotary Drilling </t>
  </si>
  <si>
    <t>C59</t>
  </si>
  <si>
    <t>C60</t>
  </si>
  <si>
    <t>C61</t>
  </si>
  <si>
    <t>Provision of biodegradable polymer gel (drilling fluid) for Geobor S coring</t>
  </si>
  <si>
    <t>C62</t>
  </si>
  <si>
    <t>C63</t>
  </si>
  <si>
    <t>Geobor S Rotary Coring (to produce 102mm diameter cores)</t>
  </si>
  <si>
    <t>C64</t>
  </si>
  <si>
    <t>C65</t>
  </si>
  <si>
    <t>C66</t>
  </si>
  <si>
    <t>C67</t>
  </si>
  <si>
    <t>As Item C65 but between 20 and 30m depth</t>
  </si>
  <si>
    <t>C68</t>
  </si>
  <si>
    <t>As Item C65 but between 30 and 40m depth</t>
  </si>
  <si>
    <t>C69</t>
  </si>
  <si>
    <t>As Item C65 but between 40 and 50m depth</t>
  </si>
  <si>
    <t>C70</t>
  </si>
  <si>
    <t>Rotary drilling using Geobor S equipment to recover cores in bedrock formation(s) using polymer gel/mud drilling fluid in depth range 0 to 10m</t>
  </si>
  <si>
    <t>C71</t>
  </si>
  <si>
    <t>As Item C65 but between 10 and 20m depth</t>
  </si>
  <si>
    <t>C72</t>
  </si>
  <si>
    <t>C73</t>
  </si>
  <si>
    <t>C74</t>
  </si>
  <si>
    <t>C75</t>
  </si>
  <si>
    <t>Extra over items C64 to C74 for inclined Geobor S drillhole (maximum of 20 degrees from the vertical)</t>
  </si>
  <si>
    <t xml:space="preserve">Geobor S Rotary Drilling - Additional Items </t>
  </si>
  <si>
    <t>C76</t>
  </si>
  <si>
    <t>C77</t>
  </si>
  <si>
    <t>C78</t>
  </si>
  <si>
    <t>Provision of core boxes (2m of Geobor S per core box)</t>
  </si>
  <si>
    <t>C79</t>
  </si>
  <si>
    <t>Disposal of Geobor S drilling supernatant flush returns (contained in the recirculation tanks) where permitted on site. Note disposal areas / locations to be recorded and photographed by contractor</t>
  </si>
  <si>
    <t>C80</t>
  </si>
  <si>
    <t>Disposal of Geobor S drilling supernatant flush returns (contained in the recirculation tanks) to landfill by tanker where on site disposal is not permitted. Note tanker delivery dockets to be retained by the Contractor.</t>
  </si>
  <si>
    <t>Reinstatement of Rotary Boreholes</t>
  </si>
  <si>
    <t>C81</t>
  </si>
  <si>
    <t>C82</t>
  </si>
  <si>
    <t>C83</t>
  </si>
  <si>
    <t>C84</t>
  </si>
  <si>
    <t>Provision of stock proof fencing to rotary drilling works area</t>
  </si>
  <si>
    <t>C85</t>
  </si>
  <si>
    <t>D</t>
  </si>
  <si>
    <t>Pitting and trenching</t>
  </si>
  <si>
    <t>D1</t>
  </si>
  <si>
    <t>D2</t>
  </si>
  <si>
    <t>Trial pits and trenches (non paved areas)</t>
  </si>
  <si>
    <t>D3</t>
  </si>
  <si>
    <t>D4</t>
  </si>
  <si>
    <t>Extra over Item D3 for setting up on a slope of gradient greater than 20%</t>
  </si>
  <si>
    <t>D5</t>
  </si>
  <si>
    <t>Extra over Item D3 for trial pit or trench between 4.5 and 6m depth</t>
  </si>
  <si>
    <t>D6</t>
  </si>
  <si>
    <t>D7</t>
  </si>
  <si>
    <t>D8</t>
  </si>
  <si>
    <t>As Item D6 but between 4.5 and 6m depth</t>
  </si>
  <si>
    <t>D9</t>
  </si>
  <si>
    <t>Excavate trial trench between existing ground level and 3.0m depth</t>
  </si>
  <si>
    <t>D10</t>
  </si>
  <si>
    <t>As Item D9 between 3.0 and 4.5m in depth</t>
  </si>
  <si>
    <t>D11</t>
  </si>
  <si>
    <t>As Item D9 between 4.5 and 6m depth</t>
  </si>
  <si>
    <t>Trial pits and trenches (paved areas)</t>
  </si>
  <si>
    <t>D12</t>
  </si>
  <si>
    <t>Set up trial pit in road area to include erection of traffic management systems (works supervised by Engineer/ Geologist with valid CSCS Card for signing, lighting and guarding at roadworks)</t>
  </si>
  <si>
    <t>D13</t>
  </si>
  <si>
    <t>Set up slit trench in road area to include erection of traffic management systems (works supervised by Engineer/ Geologist with valid CSCS Card for signing, lighting and guarding at roadworks)</t>
  </si>
  <si>
    <t>D14</t>
  </si>
  <si>
    <t>Saw cut paved areas in advance of the works</t>
  </si>
  <si>
    <t>linear m</t>
  </si>
  <si>
    <t>D15</t>
  </si>
  <si>
    <t>Breaking out hard material or surface obstructions</t>
  </si>
  <si>
    <t>D16</t>
  </si>
  <si>
    <t>Excavate trial pit in paved areas between ground level and 1.20m depth (works by either hand excavation or hand assisted machine excavation)</t>
  </si>
  <si>
    <t>m depth</t>
  </si>
  <si>
    <t>D17</t>
  </si>
  <si>
    <t>As D16 but depth in range 1.2m to 3.0m</t>
  </si>
  <si>
    <t>D18</t>
  </si>
  <si>
    <t>Excavate slit trench in paved areas between ground level and 1.2m depth (works by either hand excavation or hand assisted machine excavation)</t>
  </si>
  <si>
    <t>D19</t>
  </si>
  <si>
    <t>D20</t>
  </si>
  <si>
    <t>Observation pits and trenches</t>
  </si>
  <si>
    <t>D21</t>
  </si>
  <si>
    <t>Move equipment to the site of each observation pit or trench of not greater than 4.5m depth</t>
  </si>
  <si>
    <t>D22</t>
  </si>
  <si>
    <t>Extra over Item D21 for setting up on a slope of gradient greater than 20%</t>
  </si>
  <si>
    <t>D23</t>
  </si>
  <si>
    <t>Extra over Item D21 for trial pit or trench between 4.5 and 6m depth</t>
  </si>
  <si>
    <t>D24</t>
  </si>
  <si>
    <t>Excavate observation pit between existing ground level and 3.0m depth</t>
  </si>
  <si>
    <t>D25</t>
  </si>
  <si>
    <t>As Item D24 but between 3.0 and 4.5m depth</t>
  </si>
  <si>
    <t>D26</t>
  </si>
  <si>
    <t>As Item D24 but between 4.5 and 6m depth</t>
  </si>
  <si>
    <t>D27</t>
  </si>
  <si>
    <t>Extra over Item D24 for hand excavation</t>
  </si>
  <si>
    <t>D28</t>
  </si>
  <si>
    <t>Excavate observation trench between existing ground level and 3.0m depth</t>
  </si>
  <si>
    <t>D29</t>
  </si>
  <si>
    <t>As Item D28 but between 3.0 and 4.5m depth</t>
  </si>
  <si>
    <t>D30</t>
  </si>
  <si>
    <t>As Item D28 but between 4.5 and 6m depth</t>
  </si>
  <si>
    <t>D31</t>
  </si>
  <si>
    <t>Extra over Item D28 for hand excavation</t>
  </si>
  <si>
    <t>D32</t>
  </si>
  <si>
    <t>Extra over Items D24 to D26  for breaking out hard strata or obstructions</t>
  </si>
  <si>
    <t>D33</t>
  </si>
  <si>
    <t>Extra over Items D28 to D30 for breaking out hard strata or obstructions</t>
  </si>
  <si>
    <t>D34</t>
  </si>
  <si>
    <t>Standing time for excavation plant, equipment and crew for machine dug observation pit or trench</t>
  </si>
  <si>
    <t>D35</t>
  </si>
  <si>
    <t>Standing time for excavation plant, equipment and crew for hand dug observation pit or trench</t>
  </si>
  <si>
    <t>Daily provision of pitting crew and equipment</t>
  </si>
  <si>
    <t>D36</t>
  </si>
  <si>
    <t>Provision of excavation plant equipment and crew for machine dug trial pits or trenches as directed by the Investigation Supervisor, maximum depth 3.0m</t>
  </si>
  <si>
    <t>D37</t>
  </si>
  <si>
    <t>As Item D36 but between 3.0 and 4.5m depth</t>
  </si>
  <si>
    <t>D38</t>
  </si>
  <si>
    <t>As Item D36 but between 4.5 and 6.0m depth</t>
  </si>
  <si>
    <t>D39</t>
  </si>
  <si>
    <t>Provision of excavation plant, equipment and crew for machine-dug observation pit or trench as directed by the Investigation Supervisor, maximum depth 3.0m</t>
  </si>
  <si>
    <t>D40</t>
  </si>
  <si>
    <t>As Item D39 but between 3.0 and 4.5m depth</t>
  </si>
  <si>
    <t>D41</t>
  </si>
  <si>
    <t>As Item D39 but between 4.5 and 6.0m depth</t>
  </si>
  <si>
    <t>D42</t>
  </si>
  <si>
    <t>As Item D39 but for hand excavation</t>
  </si>
  <si>
    <t>D43</t>
  </si>
  <si>
    <t>Extra over Items D36 to D38 and D39 to D41 for breaking out hard strata or obstructions</t>
  </si>
  <si>
    <t>General</t>
  </si>
  <si>
    <t>D44</t>
  </si>
  <si>
    <t>Bring pump to the position of each exploratory pit or trench</t>
  </si>
  <si>
    <t>D45</t>
  </si>
  <si>
    <t>Pump water from pit or trench</t>
  </si>
  <si>
    <t>D46</t>
  </si>
  <si>
    <t>Extra over Item D38 for temporary storage, treatment and disposal of contaminated groundwater from trial pit or trench</t>
  </si>
  <si>
    <t>Provisional Sum</t>
  </si>
  <si>
    <t>D47</t>
  </si>
  <si>
    <t>Leave open observation pit or trench</t>
  </si>
  <si>
    <t>D48</t>
  </si>
  <si>
    <t>Leave open trial pit or trench</t>
  </si>
  <si>
    <t>Trail pit / slit trench backfill &amp; reinstatement works</t>
  </si>
  <si>
    <t>D49</t>
  </si>
  <si>
    <t>D50</t>
  </si>
  <si>
    <t>D50.2</t>
  </si>
  <si>
    <t>Laying Turf Along Access Routes to Exploratory Holes</t>
  </si>
  <si>
    <t>D51</t>
  </si>
  <si>
    <t>D52</t>
  </si>
  <si>
    <t>D53</t>
  </si>
  <si>
    <t>D54</t>
  </si>
  <si>
    <t>Repair of road markings</t>
  </si>
  <si>
    <t>D55</t>
  </si>
  <si>
    <t>Disposal of excess or surplus inert arisings from trial pits or trenches (where imported granular fill or lean mix concrete is used as backfill)</t>
  </si>
  <si>
    <t>Total Section D carried to summary:</t>
  </si>
  <si>
    <t>E</t>
  </si>
  <si>
    <t>Sampling and monitoring during intrusive investigation</t>
  </si>
  <si>
    <t>Samples for geotechnical purposes</t>
  </si>
  <si>
    <t>E1</t>
  </si>
  <si>
    <t>Jar sample</t>
  </si>
  <si>
    <t>E2</t>
  </si>
  <si>
    <t>Tub sample</t>
  </si>
  <si>
    <t>E3</t>
  </si>
  <si>
    <t>Bulk sample</t>
  </si>
  <si>
    <t>E4</t>
  </si>
  <si>
    <t>Large bulk disturbed sample</t>
  </si>
  <si>
    <t>E5</t>
  </si>
  <si>
    <t>Open tube- thick walled sample (0 to 10m depth)</t>
  </si>
  <si>
    <t>E6</t>
  </si>
  <si>
    <t>Open tube- thin walled sample (0 to 10m depth)</t>
  </si>
  <si>
    <t>E7</t>
  </si>
  <si>
    <t>Piston sample (0 to 10m depth)</t>
  </si>
  <si>
    <t>E8.1</t>
  </si>
  <si>
    <t xml:space="preserve">Extra over rate for item E5 in depth range 10m to 20m </t>
  </si>
  <si>
    <t>E8.2</t>
  </si>
  <si>
    <t xml:space="preserve">Extra over rate for item E6 in depth range 10m to 20m </t>
  </si>
  <si>
    <t>E8.3</t>
  </si>
  <si>
    <t xml:space="preserve">Extra over rate for item E7 in depth range 10m to 20m </t>
  </si>
  <si>
    <t>E9</t>
  </si>
  <si>
    <t>Groundwater sample</t>
  </si>
  <si>
    <t>E10</t>
  </si>
  <si>
    <t>Ground Gas sample</t>
  </si>
  <si>
    <t>E11</t>
  </si>
  <si>
    <t xml:space="preserve">Cut, prepare and protect core sub-sample </t>
  </si>
  <si>
    <t>Samples for environmental / contamination analysis</t>
  </si>
  <si>
    <t>E12</t>
  </si>
  <si>
    <t>Environmental / contamination sample for Suite E</t>
  </si>
  <si>
    <t>E13</t>
  </si>
  <si>
    <t>Environmental / contamination sample for Suite F</t>
  </si>
  <si>
    <t>E14</t>
  </si>
  <si>
    <t>Ground gas sample for Suite G</t>
  </si>
  <si>
    <t>E15</t>
  </si>
  <si>
    <t>Environmental / contamination sample for Suite H (PROVISIONAL)</t>
  </si>
  <si>
    <t>E16</t>
  </si>
  <si>
    <t>E17</t>
  </si>
  <si>
    <t>(Note sample rate includes provision of specialist containers)</t>
  </si>
  <si>
    <t>Total Section E carried to summary:</t>
  </si>
  <si>
    <t>Total Section F carried to summary:</t>
  </si>
  <si>
    <t>F</t>
  </si>
  <si>
    <t>Probing and cone penetration testing</t>
  </si>
  <si>
    <t>Dynamic probing (DPH)</t>
  </si>
  <si>
    <t>F1</t>
  </si>
  <si>
    <t>Bring dynamic probe (DPH) equipment to the site of each test location</t>
  </si>
  <si>
    <t>F2</t>
  </si>
  <si>
    <t>Extra over Item F1 for setting up on a slope of gradient greater than 20%</t>
  </si>
  <si>
    <t>F3</t>
  </si>
  <si>
    <t>Carry out dynamic probe test from existing ground level to 5m depth</t>
  </si>
  <si>
    <t>F4</t>
  </si>
  <si>
    <t>As Item F3 but between 5 and 10m depth</t>
  </si>
  <si>
    <t>F5</t>
  </si>
  <si>
    <t>As Item F3 but between 10 and 15m depth</t>
  </si>
  <si>
    <t>F6</t>
  </si>
  <si>
    <t>Standing time for dynamic probe test equipment and crew</t>
  </si>
  <si>
    <t>F7</t>
  </si>
  <si>
    <t>Provision of dynamic probing equipment and crew for probing as directed by the Investigation Supervisor; maximum depth 15m</t>
  </si>
  <si>
    <t>Cone penetration testing</t>
  </si>
  <si>
    <t>F8</t>
  </si>
  <si>
    <t>Bring static cone penetration test equipment to the site of each test location</t>
  </si>
  <si>
    <t>F9</t>
  </si>
  <si>
    <t>Extra over Item F8 for setting up on a slope of gradient greater than 20%</t>
  </si>
  <si>
    <t>F10</t>
  </si>
  <si>
    <t>Carry out static cone penetration test measuring both cone and sleeve resistance from existing ground level to 10m depth</t>
  </si>
  <si>
    <t>F11</t>
  </si>
  <si>
    <t>As Item F10 but between 10 and 20m depth</t>
  </si>
  <si>
    <t>F12</t>
  </si>
  <si>
    <t>As Item F10 but between 20 and 30m depth</t>
  </si>
  <si>
    <t>F13</t>
  </si>
  <si>
    <t>As Item F10 but between 30 and 40m depth</t>
  </si>
  <si>
    <t>F14</t>
  </si>
  <si>
    <t>Extra over Items F10 to F13 for use of piezocone</t>
  </si>
  <si>
    <t>F15</t>
  </si>
  <si>
    <t>Extra over Items F10 to F13 for interpretation of CPT/CPTU data</t>
  </si>
  <si>
    <t>F16</t>
  </si>
  <si>
    <t>Carry out dissipation test up to 1 hour duration</t>
  </si>
  <si>
    <t>F17</t>
  </si>
  <si>
    <t>Extra over Item F16 for test duration exceeding 1 hour</t>
  </si>
  <si>
    <t>F18</t>
  </si>
  <si>
    <t>Standing time for static cone penetration test equipment and crew</t>
  </si>
  <si>
    <t>F19</t>
  </si>
  <si>
    <t>Extra over Items F10 to F13 for use of seismic cone</t>
  </si>
  <si>
    <t>F20</t>
  </si>
  <si>
    <t>Carry out seismic cone test</t>
  </si>
  <si>
    <t>F21</t>
  </si>
  <si>
    <t>Extra over Item F20  for interpretation of seismic cone data</t>
  </si>
  <si>
    <t>F22</t>
  </si>
  <si>
    <t>Standing time for seismic cone test equipment and crew</t>
  </si>
  <si>
    <t>G</t>
  </si>
  <si>
    <t>Geophysical testing</t>
  </si>
  <si>
    <t>Land-based mapping techniques</t>
  </si>
  <si>
    <t>G1</t>
  </si>
  <si>
    <t>G2</t>
  </si>
  <si>
    <t>Conduct and process electro magnetic conductivity (EMC) profiles</t>
  </si>
  <si>
    <t>G3</t>
  </si>
  <si>
    <t>Conduct and process electrical resistivity tomography (ERT) profiles</t>
  </si>
  <si>
    <t>G4</t>
  </si>
  <si>
    <t>Conduct and process seismic refraction spreads (P or S wave)</t>
  </si>
  <si>
    <t>G5</t>
  </si>
  <si>
    <t>Conduct and [rocess surface wave spreads (1D or 2D MASW)</t>
  </si>
  <si>
    <t>Borehole geophysical surveying</t>
  </si>
  <si>
    <t>G6</t>
  </si>
  <si>
    <t>Establish down-hole geophysical logging equipment and personnel to the site of each exploratory hole and set up at each location</t>
  </si>
  <si>
    <t>G7</t>
  </si>
  <si>
    <t>Conduct and process down the hole calliper, natural gamma, resistivity, sonic, fluid, temperature, conductivity, and fluid flow logging</t>
  </si>
  <si>
    <t>G8</t>
  </si>
  <si>
    <t xml:space="preserve">Conduct and process cross-hole seismic readings at specified intervals </t>
  </si>
  <si>
    <t xml:space="preserve">Marine (overwater) geophysical surveying </t>
  </si>
  <si>
    <t>G9</t>
  </si>
  <si>
    <t>Establish geophysical personnel and field equipment and demobilisation on completion</t>
  </si>
  <si>
    <t>G10</t>
  </si>
  <si>
    <t>conduct and process echo sounding, side scan sonar, magnetic, sub-bottom profile surveying</t>
  </si>
  <si>
    <t>Contract specific additional bill items</t>
  </si>
  <si>
    <t>Total Section G carried to summary:</t>
  </si>
  <si>
    <t>H</t>
  </si>
  <si>
    <t>In situ testing</t>
  </si>
  <si>
    <t>H1.1</t>
  </si>
  <si>
    <t>Standard penetration test in percussive borehole, depth range 0 to 10m</t>
  </si>
  <si>
    <t>H1.2</t>
  </si>
  <si>
    <t>Standard penetration test in percussive borehole, depth range 10 to 20m</t>
  </si>
  <si>
    <t>H1.3</t>
  </si>
  <si>
    <t>Standard penetration test in percussive borehole, depth range 20 to 30m</t>
  </si>
  <si>
    <t>H1.4</t>
  </si>
  <si>
    <t>Standard penetration test in percussive borehole, depth range 30 to 40m</t>
  </si>
  <si>
    <t>H2.1</t>
  </si>
  <si>
    <t>H2.2</t>
  </si>
  <si>
    <t>Standard penetration test in rotary drillhole, depth range 10 to 20m</t>
  </si>
  <si>
    <t>H2.3</t>
  </si>
  <si>
    <t>Standard penetration test in rotary drillhole, depth range 20 to 30m</t>
  </si>
  <si>
    <t>H2.4</t>
  </si>
  <si>
    <t>Standard penetration test in rotary drillhole, depth range 30 to 40m</t>
  </si>
  <si>
    <t xml:space="preserve">In-situ density testing </t>
  </si>
  <si>
    <t>H3.1</t>
  </si>
  <si>
    <t>Small pouring cylinder method</t>
  </si>
  <si>
    <t>Large pouring cylinder method</t>
  </si>
  <si>
    <t>Water replacement method</t>
  </si>
  <si>
    <t>Core cutter method</t>
  </si>
  <si>
    <t>Nuclear gauge method</t>
  </si>
  <si>
    <t>H4</t>
  </si>
  <si>
    <t>California Bearing Ratio by plate bearing test by plunger method</t>
  </si>
  <si>
    <t>H4.1</t>
  </si>
  <si>
    <t>H5</t>
  </si>
  <si>
    <t>Vane shear strength test in borehole / trial pit / trench</t>
  </si>
  <si>
    <t>H7</t>
  </si>
  <si>
    <t>Hand penetrometer test (set of 3 readings)</t>
  </si>
  <si>
    <t>H8</t>
  </si>
  <si>
    <t>Other tests</t>
  </si>
  <si>
    <t>H9</t>
  </si>
  <si>
    <t>In situ geophysical techniques (resistivity and redox potential) for earthing analysis</t>
  </si>
  <si>
    <t>Permeability testing</t>
  </si>
  <si>
    <t>H10</t>
  </si>
  <si>
    <t>Set up, execute and dismantle variable head permeability test in cable percussive borehole</t>
  </si>
  <si>
    <t>H11</t>
  </si>
  <si>
    <t>Set up, execute and dismantle constant head permeability test in cable percussive borehole</t>
  </si>
  <si>
    <t>H12</t>
  </si>
  <si>
    <t>Set up, execute and dismantle variable head permeability test in rotary drillhole</t>
  </si>
  <si>
    <t>H13</t>
  </si>
  <si>
    <t>Set up, execute and dismantle constant head permeability test in rotary drillhole</t>
  </si>
  <si>
    <t>H14</t>
  </si>
  <si>
    <t>Set up, execute and dismantle variable head permeability test in standpipe or standpipe piezometer (rising or falling head test)</t>
  </si>
  <si>
    <t>H15</t>
  </si>
  <si>
    <t>Set up and execute constant head permeability test in standpipe or standpipe piezometer</t>
  </si>
  <si>
    <t>H16</t>
  </si>
  <si>
    <t>Set up and execute packer permeability test in rotary borehole (0 to 10m)</t>
  </si>
  <si>
    <t>H17</t>
  </si>
  <si>
    <t>Set up and execute packer permeability test in rotary borehole (10 to 20m)</t>
  </si>
  <si>
    <t>Note: rates for permeability test in boreholes or rotary holes to include standing time rate for plant and equipment</t>
  </si>
  <si>
    <t>Soil infiltration test (BRE Digest 365)</t>
  </si>
  <si>
    <t>H18</t>
  </si>
  <si>
    <t>Set up at each test location, excavate trial hole and prepare test area</t>
  </si>
  <si>
    <t>H19</t>
  </si>
  <si>
    <t>Backfill test hole with clean imported gravel where excavation side walls are unstable</t>
  </si>
  <si>
    <t>H20</t>
  </si>
  <si>
    <t>Install 50mm standpipe in H18 to allow for monitoring of water levels</t>
  </si>
  <si>
    <t>H21</t>
  </si>
  <si>
    <t>Carry out pre-soaking of test areas</t>
  </si>
  <si>
    <t>H22</t>
  </si>
  <si>
    <t>Carry out soakaway tests in accordance with BRE Digest 365 (3 cycles)</t>
  </si>
  <si>
    <t>H23</t>
  </si>
  <si>
    <t>Provision of water supply for infiltration testing</t>
  </si>
  <si>
    <t>H24</t>
  </si>
  <si>
    <t>Protection and temporary fencing of works area as instructed by Investigation Supervisor</t>
  </si>
  <si>
    <t>H25</t>
  </si>
  <si>
    <t>Calculation of infiltration rate for each test location</t>
  </si>
  <si>
    <t>Soil infiltration test (EPA Percolation test)</t>
  </si>
  <si>
    <t>H26</t>
  </si>
  <si>
    <t>H27</t>
  </si>
  <si>
    <t>Carry out infiltration tests in accordance with EPA Guidelines (test to be carried out by an approved Engineer / Geologist in accordance with EPA requirements)</t>
  </si>
  <si>
    <t>H28</t>
  </si>
  <si>
    <t>Provide report on percolation test (by Chartered Engineer or Professional Geologist)</t>
  </si>
  <si>
    <t xml:space="preserve">Plate Bearing Test </t>
  </si>
  <si>
    <t>H29</t>
  </si>
  <si>
    <t>Set up at each plate test location to include kentledge / reaction weight and carry out plate test using a 300mm diameter plate. Test in accordance with NRA SRW CL642</t>
  </si>
  <si>
    <t>H30</t>
  </si>
  <si>
    <t>Set up at each plate test location to include kentledge / reaction weight and carry out plate test using a 450mm diameter plate. Test in accordance with NRA SRW CL642</t>
  </si>
  <si>
    <t>H31</t>
  </si>
  <si>
    <t>Set up at each plate test location to include kentledge / reaction weight and carry out plate test using a 600mm diameter plate. Test in accordance with NRA SRW CL642</t>
  </si>
  <si>
    <t>H32</t>
  </si>
  <si>
    <t>Extra over Items H29-H31 for test durations in excess of 2 hours per location</t>
  </si>
  <si>
    <t>H33</t>
  </si>
  <si>
    <t>Provide plate test report with load steelement plot and calculation of Ks and CBR valu to HD 25-26/10</t>
  </si>
  <si>
    <t>Other specialist tests</t>
  </si>
  <si>
    <t>H34</t>
  </si>
  <si>
    <t>Reading of free product level in borehole using an interface probe</t>
  </si>
  <si>
    <t>H35</t>
  </si>
  <si>
    <t>Provide contamination screening test kits (per sample)</t>
  </si>
  <si>
    <t>H36</t>
  </si>
  <si>
    <t>Carry out headspace testing on sample by FID or PID methods (PROVISIONAL)</t>
  </si>
  <si>
    <t>H37</t>
  </si>
  <si>
    <t>Self boring pressuremeter</t>
  </si>
  <si>
    <t>H38</t>
  </si>
  <si>
    <t>high pressure dilatometer</t>
  </si>
  <si>
    <t>H39</t>
  </si>
  <si>
    <t>Menard Presuremeter</t>
  </si>
  <si>
    <t>I</t>
  </si>
  <si>
    <t>Instrumentation</t>
  </si>
  <si>
    <t>Standpipes and piezometers</t>
  </si>
  <si>
    <t>I1</t>
  </si>
  <si>
    <t xml:space="preserve">Backfill exploratory hole with cement/bentonite grout or bentonite pellets </t>
  </si>
  <si>
    <t>I2</t>
  </si>
  <si>
    <t>Provide and install 19mm casagrande piezometer tip</t>
  </si>
  <si>
    <t>I3</t>
  </si>
  <si>
    <t>Provide and install sand cell to I2</t>
  </si>
  <si>
    <t>I4</t>
  </si>
  <si>
    <t>Provide and install 19mm casing/piezometer plain pipe</t>
  </si>
  <si>
    <t>I5</t>
  </si>
  <si>
    <t>Provide and install bentonite seals to I4</t>
  </si>
  <si>
    <t>I6</t>
  </si>
  <si>
    <t xml:space="preserve">Provide and install propietary slotted standpipe (50mm internal diameter) </t>
  </si>
  <si>
    <t>I7</t>
  </si>
  <si>
    <t>Provide and install gravel pack to I6</t>
  </si>
  <si>
    <t>I8</t>
  </si>
  <si>
    <t>Provide and install propietary casing / plain standpipe (50mm internal diameter)</t>
  </si>
  <si>
    <t>I9</t>
  </si>
  <si>
    <t>Provide and install bentonite seals to I8</t>
  </si>
  <si>
    <t>I10</t>
  </si>
  <si>
    <t>Provide and install slotted propietary standpipe (100mm internal diameter)</t>
  </si>
  <si>
    <t>I11</t>
  </si>
  <si>
    <t>Provide and install gravel pack to I10</t>
  </si>
  <si>
    <t>I12</t>
  </si>
  <si>
    <t>Provide and install casing/plain standpipe (100mm internal diameter)</t>
  </si>
  <si>
    <t>I13</t>
  </si>
  <si>
    <t>Provide and install bentonite seals to I12</t>
  </si>
  <si>
    <t>I14</t>
  </si>
  <si>
    <t>Provide an install end caps to I6 or I10</t>
  </si>
  <si>
    <t>I15</t>
  </si>
  <si>
    <t>Provide and install quick release gas valve to I6 or I10</t>
  </si>
  <si>
    <t>I16</t>
  </si>
  <si>
    <t>Provide and install protective cover (flush)</t>
  </si>
  <si>
    <t>I17</t>
  </si>
  <si>
    <t>Provide and install protective cover (raised)</t>
  </si>
  <si>
    <t>I18</t>
  </si>
  <si>
    <t>Extra over item I16 for heavy duty cover in pavements or highways</t>
  </si>
  <si>
    <t>I19</t>
  </si>
  <si>
    <t>Supply and erect protective stock proof fencing around standpipe or piezometer installation</t>
  </si>
  <si>
    <t>I20</t>
  </si>
  <si>
    <t>Supply and erect 1.5m high marker posts (3 x 1.5m)</t>
  </si>
  <si>
    <t>Standpipe and piezometer development / purging</t>
  </si>
  <si>
    <t>I21</t>
  </si>
  <si>
    <t>Supply equipment and personnel to carry out purging</t>
  </si>
  <si>
    <t>Not Required</t>
  </si>
  <si>
    <t>I22</t>
  </si>
  <si>
    <t>Develop standpipe or piezometer by purging (3 well volumes)</t>
  </si>
  <si>
    <t>I23</t>
  </si>
  <si>
    <t>As item I22 but by airlift pumping</t>
  </si>
  <si>
    <t>I24</t>
  </si>
  <si>
    <t>As item I22 but by over pumping</t>
  </si>
  <si>
    <t>I25</t>
  </si>
  <si>
    <t>As item I22 but by jetting</t>
  </si>
  <si>
    <t>I26</t>
  </si>
  <si>
    <t>Disposal of purged water</t>
  </si>
  <si>
    <t>litre</t>
  </si>
  <si>
    <t>Inclinometer</t>
  </si>
  <si>
    <t>I27</t>
  </si>
  <si>
    <t>Supply and install inclinometer tubing in exploratory hole (not including forming/drilling of borehole)</t>
  </si>
  <si>
    <t>I28</t>
  </si>
  <si>
    <t>Grout in place inclinometer in cable percussive or rotary borehole</t>
  </si>
  <si>
    <t>I29</t>
  </si>
  <si>
    <t xml:space="preserve">Provision of calibrated inclinometer read out unit for monitoring during investigation </t>
  </si>
  <si>
    <t>I30</t>
  </si>
  <si>
    <t>Carry out base  set of inclinometer readings in inclinometer and process</t>
  </si>
  <si>
    <t>I31</t>
  </si>
  <si>
    <t>Slip Indicator</t>
  </si>
  <si>
    <t>I32</t>
  </si>
  <si>
    <t>Provdie and install protective cover (raised) slip indicators</t>
  </si>
  <si>
    <t>I33</t>
  </si>
  <si>
    <t xml:space="preserve">Supply and install slip indicator in exploratory borehole, including brass probe (not including forming/drilling of borehole) </t>
  </si>
  <si>
    <t>I34</t>
  </si>
  <si>
    <t>I35</t>
  </si>
  <si>
    <t xml:space="preserve">Provide and install protective headwork cover (upraight) </t>
  </si>
  <si>
    <t>Total Section I carried to summary:</t>
  </si>
  <si>
    <t>J</t>
  </si>
  <si>
    <t>Installation monitoring and sampling (during Fieldwork Period)</t>
  </si>
  <si>
    <t>J1</t>
  </si>
  <si>
    <t>Reading of water level in standpipe or standpipe piezometer during fieldwork period</t>
  </si>
  <si>
    <t>J2</t>
  </si>
  <si>
    <t>Ground gas measurement in gas monitoring standpipe during fieldwork period</t>
  </si>
  <si>
    <t>J3</t>
  </si>
  <si>
    <t>Provide Engineer or Geologist to take inclinometer readings as directed by Investigation Supervisor (per installation)</t>
  </si>
  <si>
    <t>J4</t>
  </si>
  <si>
    <t>Provide Engineer or Geologist to take measurement of slip indicator (per installation)</t>
  </si>
  <si>
    <t>J5</t>
  </si>
  <si>
    <t>Provide Engineer/Geologist to take water sample from standpipe or standpipe piezometer (rate not including puriging or micro purging)</t>
  </si>
  <si>
    <t>J6</t>
  </si>
  <si>
    <t>Extra over Item J5 for purging or micro-purging in excess of 3 well volumes</t>
  </si>
  <si>
    <t>J7</t>
  </si>
  <si>
    <t>Provide Engineer / Geologist to recover ground gas samplefrom gas monitoring standpipe</t>
  </si>
  <si>
    <t>J8</t>
  </si>
  <si>
    <t>Provide Engineer / Geologist to read free product level in standpipe using an interface probe</t>
  </si>
  <si>
    <t>Installation monitoring and sampling (post Fieldwork Period)</t>
  </si>
  <si>
    <t>J9</t>
  </si>
  <si>
    <t>Return visit to site following completion of fieldwork for field instrumentation</t>
  </si>
  <si>
    <t>J10</t>
  </si>
  <si>
    <t>Extra over Item J9 for groundwater measurements in standpipe or standpipe piezometer during return visit</t>
  </si>
  <si>
    <t>J11</t>
  </si>
  <si>
    <t>Extra over Item J9 for ground gas measurements in standpipe during return visit</t>
  </si>
  <si>
    <t>J12</t>
  </si>
  <si>
    <t>Extra over Item J9 for set of inclinometer readings per installation during return visit and report results</t>
  </si>
  <si>
    <t>J13</t>
  </si>
  <si>
    <t>Extra over Item J9 to check for ground slippage in slip indicator installation during return visit to site</t>
  </si>
  <si>
    <t>J14</t>
  </si>
  <si>
    <t>Extra over Item J9 for water sample from standpipe or standpipe piezometer during return visit to site, including purging 3 volumes or micro-purging up to 3.0 hours</t>
  </si>
  <si>
    <t>J15</t>
  </si>
  <si>
    <t>Extra over Item J14 for purging or micro-purging in excess of 3.0 hours</t>
  </si>
  <si>
    <t>J16</t>
  </si>
  <si>
    <t>Extra over Item J9 for ground gas sample from gas monitoring standpipe during return visit to site</t>
  </si>
  <si>
    <t>J17</t>
  </si>
  <si>
    <t>Extra over Item J9 for reading of free product level in standpipe using an interface probe during return visit to site</t>
  </si>
  <si>
    <t>J18</t>
  </si>
  <si>
    <t>Provision of equipment to facilitate measuring of free product in Item J17</t>
  </si>
  <si>
    <t>J19</t>
  </si>
  <si>
    <t>Provide and install data logger to measure groundwater levels in standpipes</t>
  </si>
  <si>
    <t>J20</t>
  </si>
  <si>
    <t>Provide baro logger to monitor air pressure for item J19</t>
  </si>
  <si>
    <t>J21</t>
  </si>
  <si>
    <t>Provide Engineer / Geologist to visit site to download and process data logger and baro logger</t>
  </si>
  <si>
    <t>Surface water body sampling and testing</t>
  </si>
  <si>
    <t>J22</t>
  </si>
  <si>
    <t>Surface water body sample taken during fieldwork period</t>
  </si>
  <si>
    <t>J23</t>
  </si>
  <si>
    <t>Surface water body sample taken during return visit to site</t>
  </si>
  <si>
    <t>J24</t>
  </si>
  <si>
    <t>Determination of dissolved oxygen, conductivity, pH and temperature of surface water body during fieldwork period</t>
  </si>
  <si>
    <t>J25</t>
  </si>
  <si>
    <t>Determination of dissolved oxygen, conductivity, pH and temperature of surface water body during return visit to site</t>
  </si>
  <si>
    <t>Total Section J carried to summary:</t>
  </si>
  <si>
    <t>K</t>
  </si>
  <si>
    <t>Geotechnical laboratory testing</t>
  </si>
  <si>
    <t>K1</t>
  </si>
  <si>
    <t xml:space="preserve">Classification </t>
  </si>
  <si>
    <t>K1.1</t>
  </si>
  <si>
    <t>Moisture content</t>
  </si>
  <si>
    <t>K1.2</t>
  </si>
  <si>
    <t>Liquid limit, plastic limit and plasticity index</t>
  </si>
  <si>
    <t>K1.3</t>
  </si>
  <si>
    <t>Volumetric shrinkage</t>
  </si>
  <si>
    <t>K1.4</t>
  </si>
  <si>
    <t>Linear shrinkage</t>
  </si>
  <si>
    <t>K1.5</t>
  </si>
  <si>
    <t>Density by linear measurement</t>
  </si>
  <si>
    <t>K1.6</t>
  </si>
  <si>
    <t>Density by immersion in water or water displacement</t>
  </si>
  <si>
    <t>K1.7</t>
  </si>
  <si>
    <t>Dry density and saturation moisture content for chalk</t>
  </si>
  <si>
    <t>K1.8</t>
  </si>
  <si>
    <t>Particle density by gas jar or pycnometer</t>
  </si>
  <si>
    <t>K1.9</t>
  </si>
  <si>
    <t>Particle size distribution by wet sieving</t>
  </si>
  <si>
    <t>K1.10</t>
  </si>
  <si>
    <t>Particle size distribution by dry sieving</t>
  </si>
  <si>
    <t>K1.11</t>
  </si>
  <si>
    <t>Sedimentation by pipette</t>
  </si>
  <si>
    <t>K1.12</t>
  </si>
  <si>
    <t>Sedimentation by hydrometer</t>
  </si>
  <si>
    <t>K2</t>
  </si>
  <si>
    <t>K2.1</t>
  </si>
  <si>
    <t>Organic matter content</t>
  </si>
  <si>
    <t>K2.2</t>
  </si>
  <si>
    <t>Mass loss on ignition</t>
  </si>
  <si>
    <t>K2.3</t>
  </si>
  <si>
    <t>Sulphate content of acid extract from soil</t>
  </si>
  <si>
    <t>K2.4</t>
  </si>
  <si>
    <t>Sulphate content of water extract from soil</t>
  </si>
  <si>
    <t>K2.5</t>
  </si>
  <si>
    <t>Sulphate content of groundwater</t>
  </si>
  <si>
    <t>K2.6</t>
  </si>
  <si>
    <t>Carbonate content by rapid titration</t>
  </si>
  <si>
    <t>K2.7</t>
  </si>
  <si>
    <t>Carbonate content by gravimetric method</t>
  </si>
  <si>
    <t>K2.8</t>
  </si>
  <si>
    <t>Water soluble chloride content</t>
  </si>
  <si>
    <t>K2.9</t>
  </si>
  <si>
    <t>Acid soluble chloride content</t>
  </si>
  <si>
    <t>K2.10</t>
  </si>
  <si>
    <t>Total sulphur content</t>
  </si>
  <si>
    <t>K2.11</t>
  </si>
  <si>
    <t>Total dissolved solids</t>
  </si>
  <si>
    <t>K2.12</t>
  </si>
  <si>
    <t>pH value</t>
  </si>
  <si>
    <t>K2.13</t>
  </si>
  <si>
    <t>Resistivity</t>
  </si>
  <si>
    <t>K2.14</t>
  </si>
  <si>
    <t>Redox potential</t>
  </si>
  <si>
    <t>K3</t>
  </si>
  <si>
    <t>Compaction related</t>
  </si>
  <si>
    <t>K3.1</t>
  </si>
  <si>
    <t>Dry density/moisture content relationship using 2.5 kg rammer</t>
  </si>
  <si>
    <t>K3.2</t>
  </si>
  <si>
    <t>Dry density/moisture content relationship using 4.5 kg rammer</t>
  </si>
  <si>
    <t>K3.3</t>
  </si>
  <si>
    <t>Dry density/moisture content relationship using vibrating hammer</t>
  </si>
  <si>
    <t>K3.4</t>
  </si>
  <si>
    <t>Extra over Items K3.1, K3.2 and K3.3 for use of CBR mould</t>
  </si>
  <si>
    <t>K3.6</t>
  </si>
  <si>
    <t>Moisture Condition Value at natural moisture content</t>
  </si>
  <si>
    <t>K3.7</t>
  </si>
  <si>
    <t>Moisture Condition Value/moisture content relationship (five points)</t>
  </si>
  <si>
    <t>K3.8</t>
  </si>
  <si>
    <t>Chalk crushing value</t>
  </si>
  <si>
    <t>K3.9</t>
  </si>
  <si>
    <t>California Bearing Ratio on re-compacted disturbed sample</t>
  </si>
  <si>
    <t>K3.9.1</t>
  </si>
  <si>
    <t>Extra over for recompacting a soil sample to a specified moisture content</t>
  </si>
  <si>
    <t>K3.10</t>
  </si>
  <si>
    <t>Extra over Item K3.9 for soaking</t>
  </si>
  <si>
    <t>K4</t>
  </si>
  <si>
    <t>K4.1</t>
  </si>
  <si>
    <t>One-dimensional consolidation properties, test period 5 days</t>
  </si>
  <si>
    <t>K4.2</t>
  </si>
  <si>
    <t>Extra over Item K4.1 for test period in excess of 5 days</t>
  </si>
  <si>
    <t>K4.3</t>
  </si>
  <si>
    <t>Measurements of swelling pressure, test period 2 days</t>
  </si>
  <si>
    <t>K4.4</t>
  </si>
  <si>
    <t>Measurement of swelling, test period 2 days</t>
  </si>
  <si>
    <t>K4.5</t>
  </si>
  <si>
    <t>Measurement of settlement on saturation, test period 1 day</t>
  </si>
  <si>
    <t>K4.6</t>
  </si>
  <si>
    <t>Extra over Items K4.3 to K4.5 for test period in excess of 2 or 1 day (s)</t>
  </si>
  <si>
    <t>K4.7</t>
  </si>
  <si>
    <t>Permeability by constant head method</t>
  </si>
  <si>
    <t>K4.8</t>
  </si>
  <si>
    <t>Dispersibility by pinhole method</t>
  </si>
  <si>
    <t>K4.9</t>
  </si>
  <si>
    <t>Dispersibility by crumb method</t>
  </si>
  <si>
    <t>K4.10</t>
  </si>
  <si>
    <t>Dispersibility by dispersion method</t>
  </si>
  <si>
    <t>K4.11</t>
  </si>
  <si>
    <t>Frost heave of soil</t>
  </si>
  <si>
    <t>K5</t>
  </si>
  <si>
    <t>K5.1</t>
  </si>
  <si>
    <t>Consolidation properties of a 76mm diameter specimen using a hydraulic cell, test period 4 days</t>
  </si>
  <si>
    <t>K5.2</t>
  </si>
  <si>
    <t>As Item K5.1 but using a 100mm diameter specimen</t>
  </si>
  <si>
    <t>K5.3</t>
  </si>
  <si>
    <t>As Item K5.1 but using a 150mm diameter specimen</t>
  </si>
  <si>
    <t>K5.4</t>
  </si>
  <si>
    <t>As Item K5.1 but using a 250mm diameter specimen</t>
  </si>
  <si>
    <t>K5.5</t>
  </si>
  <si>
    <t>Extra over Items K5. 1 to K5.4 for test period in excess of 4 days</t>
  </si>
  <si>
    <t>K5.6</t>
  </si>
  <si>
    <t>Permeability of a 76mm diameter specimen in hydraulic consolidation cell, test period 4 days</t>
  </si>
  <si>
    <t>K5.7</t>
  </si>
  <si>
    <t>As Item K5.6 but using a 100mm diameter specimen</t>
  </si>
  <si>
    <t>K5.8</t>
  </si>
  <si>
    <t>As Item K5.6 but using a 150mm diameter specimen</t>
  </si>
  <si>
    <t>K5.9</t>
  </si>
  <si>
    <t>As Item K5.6 but using a 250mm diameter specimen</t>
  </si>
  <si>
    <t>K5.10</t>
  </si>
  <si>
    <t>Extra over Items K5.6 to K5.9 for test period in excess of 4 days</t>
  </si>
  <si>
    <t>K5.11</t>
  </si>
  <si>
    <t>Isotropic consolidation properties in a triaxial cell, test period 4 days</t>
  </si>
  <si>
    <t>K5.12</t>
  </si>
  <si>
    <t>Extra over Item K5.11 for test periods in excess of 4 days</t>
  </si>
  <si>
    <t>K5.13</t>
  </si>
  <si>
    <t>Permeability in a triaxial cell, test period 4 days</t>
  </si>
  <si>
    <t>K5.14</t>
  </si>
  <si>
    <t>Extra over Item K5.13 for test period in excess of 4 days</t>
  </si>
  <si>
    <t>K6</t>
  </si>
  <si>
    <t>Shear strength (total stress)</t>
  </si>
  <si>
    <t>K6.1</t>
  </si>
  <si>
    <t>Shear strength by the laboratory vane method (set of 3)</t>
  </si>
  <si>
    <t>K6.2</t>
  </si>
  <si>
    <t>Shear strength by hand vane (set of 3)</t>
  </si>
  <si>
    <t>K6.3</t>
  </si>
  <si>
    <t>Shear strength by hand penetrometer (set of 3)</t>
  </si>
  <si>
    <t>K6.4</t>
  </si>
  <si>
    <t>K6.5</t>
  </si>
  <si>
    <t>Extra over Item K6.4 for test durations in excess of 1 day per specimen</t>
  </si>
  <si>
    <t>sp.day</t>
  </si>
  <si>
    <t>K6.6</t>
  </si>
  <si>
    <t>K6.7</t>
  </si>
  <si>
    <t>Extra over Item K6.6 for test durations in excess of 1 day</t>
  </si>
  <si>
    <t>K6.8</t>
  </si>
  <si>
    <t>Residual shear strength of a set of three 60mm × 60mm square specimens by direct shear, test duration not exceeding 4 days per specimen</t>
  </si>
  <si>
    <t>K6.9</t>
  </si>
  <si>
    <t>Extra over Item K6.8 for test durations in excess of 4 days per specimen</t>
  </si>
  <si>
    <t>K6.10</t>
  </si>
  <si>
    <t>Residual shear strength of a 300mm square specimen by direct shear, test duration not exceeding 4 days</t>
  </si>
  <si>
    <t>K6.11</t>
  </si>
  <si>
    <t>Extra over Item K6. 10 for test duration in excess day of 4 days</t>
  </si>
  <si>
    <t>K6.12</t>
  </si>
  <si>
    <t>Residual shear strength using the small ring shear apparatus at three normal pressures, test duration not exceeding 4 days</t>
  </si>
  <si>
    <t>K6.13</t>
  </si>
  <si>
    <t>Extra over Item K6.12 for test duration in excess of 4 days</t>
  </si>
  <si>
    <t>K6.14</t>
  </si>
  <si>
    <t>Unconfined compressive strength of 38mm diameter specimen</t>
  </si>
  <si>
    <t>K6.15</t>
  </si>
  <si>
    <t>K6.16</t>
  </si>
  <si>
    <t>K6.17</t>
  </si>
  <si>
    <t>K7</t>
  </si>
  <si>
    <t>Shear strength (effective stress)</t>
  </si>
  <si>
    <t>K7.1</t>
  </si>
  <si>
    <t>Consolidated undrained triaxial compression test with measurement of pore pressure (set of three 38mm specimens), test duration not exceeding 4 days per specimen</t>
  </si>
  <si>
    <t>K7.2</t>
  </si>
  <si>
    <t>As K7.1 but single-stage or multi-stage test using 100mm diameter specimen</t>
  </si>
  <si>
    <t>K7.3</t>
  </si>
  <si>
    <t>Consolidated drained triaxial compression test with measurement of volume change (set of three 38mm specimens), test duration not exceeding 4 days per specimen</t>
  </si>
  <si>
    <t>K7.4</t>
  </si>
  <si>
    <t>As Item K7.3 but single-stage or multi-stage test using 100mm diameter specimen, test duration not exceeding 4 days</t>
  </si>
  <si>
    <t>K7.5</t>
  </si>
  <si>
    <t>Extra over Items K7.1 and K7.3 for test duration in excess of 4 days per specimen</t>
  </si>
  <si>
    <t>K7.6</t>
  </si>
  <si>
    <t>Extra over Items K7.2 and K7.4 for test duration in excess of 4 days</t>
  </si>
  <si>
    <t>K8</t>
  </si>
  <si>
    <t>Rock testing</t>
  </si>
  <si>
    <t>K8.1</t>
  </si>
  <si>
    <t>Natural water content of rock sample</t>
  </si>
  <si>
    <t>K8.2</t>
  </si>
  <si>
    <t>Porosity/density using saturation and calliper techniques</t>
  </si>
  <si>
    <t>K8.3</t>
  </si>
  <si>
    <t>Porosity/density using saturation and buoyancy</t>
  </si>
  <si>
    <t>K8.4</t>
  </si>
  <si>
    <t>Slake durability index</t>
  </si>
  <si>
    <t>K8.5</t>
  </si>
  <si>
    <t>Soundness by magnesium sulphate</t>
  </si>
  <si>
    <t>K8.6</t>
  </si>
  <si>
    <t>Magnesium sulphate test</t>
  </si>
  <si>
    <t>K8.7</t>
  </si>
  <si>
    <t>Shore scleroscope</t>
  </si>
  <si>
    <t>K8.8</t>
  </si>
  <si>
    <t>Schmidt rebound hardness</t>
  </si>
  <si>
    <t>K8.9</t>
  </si>
  <si>
    <t>Resistance to fragmentation</t>
  </si>
  <si>
    <t>K8.10</t>
  </si>
  <si>
    <t>Aggregate abrasion value</t>
  </si>
  <si>
    <t>K8.11</t>
  </si>
  <si>
    <t>Polished stone value</t>
  </si>
  <si>
    <t>K8.12</t>
  </si>
  <si>
    <t>Aggregate frost heave</t>
  </si>
  <si>
    <t>K8.13</t>
  </si>
  <si>
    <t>Resistance to freezing and thawing</t>
  </si>
  <si>
    <t>K8.14</t>
  </si>
  <si>
    <t>Uniaxial compressive strength</t>
  </si>
  <si>
    <t>K8.15</t>
  </si>
  <si>
    <t>Deformability in uniaxial compression</t>
  </si>
  <si>
    <t>K8.16</t>
  </si>
  <si>
    <t>Indirect tensile strength by Brazilian test</t>
  </si>
  <si>
    <t>K8.17</t>
  </si>
  <si>
    <t>Triaxial compression without measurements of porewater pressure</t>
  </si>
  <si>
    <t>K8.18</t>
  </si>
  <si>
    <t>Point Load Strength Index on rock core (axial or diametral)</t>
  </si>
  <si>
    <t>K8.19</t>
  </si>
  <si>
    <t>Point load strength index on irregular lump sample (set of ten individiual determinations)</t>
  </si>
  <si>
    <t>K8.20</t>
  </si>
  <si>
    <t>Swelling pressure test</t>
  </si>
  <si>
    <t>K8.21</t>
  </si>
  <si>
    <t>Direct shear strength of single specimen</t>
  </si>
  <si>
    <t xml:space="preserve">Special tests on rock core or trial pit samples to assess potential for pyrite induced expansion or swelling </t>
  </si>
  <si>
    <t>K9.1</t>
  </si>
  <si>
    <t>Geological classification / simplified petrography on rock core or bulk samples to IS EN 933 ( by Professional Geologist)</t>
  </si>
  <si>
    <t>K9.2</t>
  </si>
  <si>
    <t>Chemical analysis on rock core or bulk sample (test methods to TRL 447 and test suite to include Total Sulphur, Acid Soluble Sulphate &amp; Water Soluble Sulphate and derivation of Oxidisable Sulphide &amp; Equivalent Pyrite Content)</t>
  </si>
  <si>
    <t>K9.3</t>
  </si>
  <si>
    <t>Thin section petrography and XRD analysis on rock core or bulk sample. Analysis to be carried out by Professional Geologist or experienced Petrographer competant in evaluating potential for pyrite induced swelling. Note the rate should include for thin section preparation and XRD analysis on one lithology.</t>
  </si>
  <si>
    <t>Total Section K carried to summary:</t>
  </si>
  <si>
    <t>L</t>
  </si>
  <si>
    <t>Geoenvironmental laboratory testing</t>
  </si>
  <si>
    <t>Contamination testing of soil, groundwater, gas and fill material)</t>
  </si>
  <si>
    <t>L.1</t>
  </si>
  <si>
    <t>Tests Suite E</t>
  </si>
  <si>
    <t>L.2</t>
  </si>
  <si>
    <t>Tests Suite F</t>
  </si>
  <si>
    <t>L.3</t>
  </si>
  <si>
    <t>Tests Suite G</t>
  </si>
  <si>
    <t>L.4</t>
  </si>
  <si>
    <t>Tests Suite H</t>
  </si>
  <si>
    <t>L.5</t>
  </si>
  <si>
    <t>Tests Suite I</t>
  </si>
  <si>
    <t>L.6</t>
  </si>
  <si>
    <t>Tests Suite J</t>
  </si>
  <si>
    <t>Total Section L carried to summary:</t>
  </si>
  <si>
    <t>Summary of Bill of Quantities</t>
  </si>
  <si>
    <t>A.</t>
  </si>
  <si>
    <t>B.</t>
  </si>
  <si>
    <t>Percussion boring</t>
  </si>
  <si>
    <t>C.</t>
  </si>
  <si>
    <t>D.</t>
  </si>
  <si>
    <t>E.</t>
  </si>
  <si>
    <t>F.</t>
  </si>
  <si>
    <t>G.</t>
  </si>
  <si>
    <t>H.</t>
  </si>
  <si>
    <t>I.</t>
  </si>
  <si>
    <t>J.</t>
  </si>
  <si>
    <t>Installation monitoring and sampling</t>
  </si>
  <si>
    <t>K.</t>
  </si>
  <si>
    <t>L.</t>
  </si>
  <si>
    <t>Total Tender</t>
  </si>
  <si>
    <t>Appendix A. Rates for Ground Practitioners and other Personnel</t>
  </si>
  <si>
    <t>Item</t>
  </si>
  <si>
    <t>Technician</t>
  </si>
  <si>
    <t>Engineer / Geologist</t>
  </si>
  <si>
    <t>Chartered Engineer / Professional Geologist</t>
  </si>
  <si>
    <t>Chartered Engineer / Professional Geologist (10 years’ experience post charter)</t>
  </si>
  <si>
    <t>Chartered Engineer / Professional Geologist (20 years’ experience post charter)</t>
  </si>
  <si>
    <t>Expenses incurred by staff on site visits or who are resident by agreement with the Investigation Supervisor</t>
  </si>
  <si>
    <t>Rate per kilometre from Contractor's premises and return for Items 1 and 2</t>
  </si>
  <si>
    <t>km</t>
  </si>
  <si>
    <t>As above but for items 3, 4 and 5</t>
  </si>
  <si>
    <t>All other expenses incurred in conjunction with a site visit where a return journey is made on the same day for Items 1 and 2</t>
  </si>
  <si>
    <t>visit</t>
  </si>
  <si>
    <t>All other expenses incurred in connection with visit where an overnight stay is necessary for Items 1and 2</t>
  </si>
  <si>
    <t>overnight</t>
  </si>
  <si>
    <t>As above but for Items 3, 4, and 5</t>
  </si>
  <si>
    <t>Appendix B. Long-term sample storage</t>
  </si>
  <si>
    <t>Rate/month</t>
  </si>
  <si>
    <t>Geotechnical samples</t>
  </si>
  <si>
    <t>Cable percussive borehole or dynamic sample</t>
  </si>
  <si>
    <t>Rotary drilling core (core box)</t>
  </si>
  <si>
    <t>Rotary drilling core sub-sample</t>
  </si>
  <si>
    <t>Large bulk sample</t>
  </si>
  <si>
    <t>Open-tube samples (thick-wall sampler)</t>
  </si>
  <si>
    <t>Open-tube samples (thin-wall sampler)</t>
  </si>
  <si>
    <t xml:space="preserve">Piston sample </t>
  </si>
  <si>
    <t>Hardcore aggregate bulk sample (not including drying at 40 degrees)</t>
  </si>
  <si>
    <t>Contamination samples</t>
  </si>
  <si>
    <t>Soil sample in plastic tub</t>
  </si>
  <si>
    <t>Soil sample in glass jar</t>
  </si>
  <si>
    <t>Gas sample</t>
  </si>
  <si>
    <t>Where samples comprise more than one container, the rate entered shall be per container.</t>
  </si>
  <si>
    <r>
      <t>C</t>
    </r>
    <r>
      <rPr>
        <sz val="10"/>
        <color theme="1"/>
        <rFont val="Arial"/>
        <family val="2"/>
      </rPr>
      <t xml:space="preserve"> </t>
    </r>
  </si>
  <si>
    <t>As Item C41 but between 10 and 20m depth</t>
  </si>
  <si>
    <t>Backfill Geobor S drillhole with cement/bentonite grout or bentonite pellets (where standpipe or piezometer is not installed)</t>
  </si>
  <si>
    <t>Provision of semi rigid core liner for items C64 - C75</t>
  </si>
  <si>
    <t>Total section C carried to summary:</t>
  </si>
  <si>
    <t>Total H carried to summary:</t>
  </si>
  <si>
    <t>Digital field/engineering logs in AGS  transfer format</t>
  </si>
  <si>
    <t>Digital laboratory test data in AGS  transfer files</t>
  </si>
  <si>
    <t>Conduct and process Ground Penetrating Radar (GPR) profiles to PAS 128 QL B1P as per the specification</t>
  </si>
  <si>
    <t>ln m</t>
  </si>
  <si>
    <t>Extra over item A2.1 - A2.9 for a yellow category site (Provisional)</t>
  </si>
  <si>
    <t xml:space="preserve">Storage of all samples following completion of fieldworks </t>
  </si>
  <si>
    <t>included in A2</t>
  </si>
  <si>
    <t>Excavate slit trench in paved areas between 1.2m to 3.0m depth (works by either hand excavation or hand assisted machine excavation)</t>
  </si>
  <si>
    <t>Standing time for excavation plant, equipment and crew for machine dug trial pit or trench</t>
  </si>
  <si>
    <t>To be included in item D13 to D15</t>
  </si>
  <si>
    <t xml:space="preserve">Backfill trial pit or trench excavation with arisings/excavated materials </t>
  </si>
  <si>
    <t xml:space="preserve">Environmental / contamination sample for Suite I </t>
  </si>
  <si>
    <t>Excavate inspection pit by hand to 1.2m depth.</t>
  </si>
  <si>
    <t>Extra over Item D1 for breaking out surface obstructions.</t>
  </si>
  <si>
    <t>Excavate trial pit between existing ground level and 3m depth</t>
  </si>
  <si>
    <t xml:space="preserve">Hand vane test (set of 3 readings) </t>
  </si>
  <si>
    <t>California Bearing Ratio by TRL DCP method</t>
  </si>
  <si>
    <t>Reinstate grassed surface to include replacing of sod</t>
  </si>
  <si>
    <t>Appropriate storage, transport and off-site disposal of excess contaminated arising’s from borehole, trial pit or slit trench to EPA regulated landfill site (includes any PPE equipment but excludes laboratory testing on suspected contaminated materials). Note item to be remeasured with delivery dockets and records maintained by the Contractor [PROVISIONAL]</t>
  </si>
  <si>
    <t>N/A</t>
  </si>
  <si>
    <t>B2.1</t>
  </si>
  <si>
    <t>Extra over Item B1.1 for setting up on a slope of gradient greater than 20%</t>
  </si>
  <si>
    <t>B2.2</t>
  </si>
  <si>
    <t>Extra over Item B1.2 for setting up on a slope of gradient greater than 20%</t>
  </si>
  <si>
    <t>Included in B1.1 &amp; B1.2</t>
  </si>
  <si>
    <t>Included in D53</t>
  </si>
  <si>
    <t xml:space="preserve">Refer to items  B1.1 and B1.2 </t>
  </si>
  <si>
    <t>Refer to items B2.1 and B2.2</t>
  </si>
  <si>
    <t>Hand digging and CAT scan at dynamic sampling location to confirm absence of utility ducts (maximum depth of 1.2m or lesser if ground is assessed as potentially unstable)</t>
  </si>
  <si>
    <t>Move mechanical augering plant and equipment to the site of each exploratory hole and set up.</t>
  </si>
  <si>
    <t>Hand digging and CAT scan at rotary drillhole location to confirm absence of utility ducts ( maximum depth of 1.2m or lesser if ground is assessed as potentially unstable).</t>
  </si>
  <si>
    <t>Standing time for rotary auger equipment and crew.</t>
  </si>
  <si>
    <t>Auger in materials other than hard strata at the specified diameter between existing ground level and 10m depth.</t>
  </si>
  <si>
    <t>As Item C11 but between 10 and 20m depth.</t>
  </si>
  <si>
    <t>As Item C11 but between 20 and 30m depth.</t>
  </si>
  <si>
    <t>Move rotary drilling plant and equipment to the site of each exploratory drillhole and set up.</t>
  </si>
  <si>
    <t>Hand digging and CAT scan at rotary drillhole location to confirm absence of utility ducts ( maximum depth of 1.2m or lesser if ground is assessed as potentially unstable) for rotary only borehole</t>
  </si>
  <si>
    <t>C15.3</t>
  </si>
  <si>
    <t>Refer to C15.1 and C15.2 &amp; C15.3</t>
  </si>
  <si>
    <t>As Item C21 but between 10 and 20m depth.</t>
  </si>
  <si>
    <t>Rotary drill in hard strata at the specified diameter, from which cores are not required, between existing ground level and 10m depth.</t>
  </si>
  <si>
    <t>As Item C27 but between 10 and 20m depth</t>
  </si>
  <si>
    <t>Backfill rotary drillhole with cement/bentonite grout or bentonite pellets (where standpipe or piezometer is not installed).</t>
  </si>
  <si>
    <t>Rotary percussive drilling (Odex / Symmetrix)</t>
  </si>
  <si>
    <t>Rotary drilling with and without core recovery</t>
  </si>
  <si>
    <t>Included in C15 to C15.2</t>
  </si>
  <si>
    <t>Disposal of excess or surplus inert arisings from rotary drilling operations (where standpipe or piezometer is not installed) PROVISIONAL</t>
  </si>
  <si>
    <t xml:space="preserve">Hand digging and CAT scan at rotary drillhole location to confirm absence of utility ducts ( maximum depth of 1.2m or lesser if ground is assessed as potentially unstable) </t>
  </si>
  <si>
    <t>Standing time for Geobor S drilling plant, equipment and crew</t>
  </si>
  <si>
    <t>Rotary openhole drilling without core recover to install casing prior to Geobor coring (nominally 1.5m)</t>
  </si>
  <si>
    <t>Rotary drilling with Geobor S equipment to recover cores of overburden material using polymer gel/mud drilling fluid in depth range 0 to 10m</t>
  </si>
  <si>
    <t xml:space="preserve">As Item C65 but between 10 and 20m depth </t>
  </si>
  <si>
    <t xml:space="preserve">Break out surface obstructions where present at exploratory drillhole </t>
  </si>
  <si>
    <t>Extra over Item C15 for setting up on a slope of gradient greater than 20%.</t>
  </si>
  <si>
    <t>B3.1</t>
  </si>
  <si>
    <t>Other specialist environmental / contamination sampling as specified by Investigation Supervisor (Suite J)</t>
  </si>
  <si>
    <t>Standard penetration test in rotary drillhole, depth range 0 to 10m (PROVISIONAL)</t>
  </si>
  <si>
    <t>B1.1.1</t>
  </si>
  <si>
    <t>B1.2.1</t>
  </si>
  <si>
    <t>B1.1.2</t>
  </si>
  <si>
    <t>B1.2.2</t>
  </si>
  <si>
    <t>C59.1</t>
  </si>
  <si>
    <t xml:space="preserve">Move drilling plant and equipment to the site of each exploratory drillhole and set up equipment (including recirculation tanks) over safety barrier or other fence or wall, set up, dismantle on completion and reinstate </t>
  </si>
  <si>
    <t xml:space="preserve">Move drilling plant and equipment to the site of each exploratory drillhole and set up equipment (including recirculation tanks), dismantle on completion and reinstate </t>
  </si>
  <si>
    <t>D3.1</t>
  </si>
  <si>
    <t>Move equipment to the site of each trial pit or trench dismantle on completion and reinstate.</t>
  </si>
  <si>
    <t>Included in Item D3 &amp; D3.1</t>
  </si>
  <si>
    <t>Cable Percussion Boring (cable tool or percussive boring using minimum of 200mm diameter casing)</t>
  </si>
  <si>
    <t>Break out obstructions where present when hand digging at exploratory hole location for Item B3.</t>
  </si>
  <si>
    <t>Break out obstructions where present when hand digging at auger hole location for Item C7.1.</t>
  </si>
  <si>
    <t>Break out obstructions where present when hand digging at exploratory hole location for C15.3.</t>
  </si>
  <si>
    <t>Refer to C15.1.1 to C15.2.2 &amp; C15.3</t>
  </si>
  <si>
    <t>C15.1.1</t>
  </si>
  <si>
    <t>C15.1.2</t>
  </si>
  <si>
    <t>C15.2.1</t>
  </si>
  <si>
    <t>C15.2.2</t>
  </si>
  <si>
    <t>Backfill trenches, trial pits and inspection pits at exploratory hole locations in paved areas with imported granular fill (CL 804 sub-base)</t>
  </si>
  <si>
    <t>Perform the role of PSCS</t>
  </si>
  <si>
    <t xml:space="preserve">As Item D6 but between 3.0 and 4.5m depth </t>
  </si>
  <si>
    <t>Provision of road opening licences and road damage bonds</t>
  </si>
  <si>
    <t>Included in A2, A2.4, D3 to D19</t>
  </si>
  <si>
    <t>As Item C34 but between 10 and 20m depth.</t>
  </si>
  <si>
    <t xml:space="preserve">Consolidation and permeability in hydraulic cells </t>
  </si>
  <si>
    <t>-</t>
  </si>
  <si>
    <t>Move boring plant and equipment to the site of each exploratory hole, set up, dismantle on completion and reinstate (cable percussive only)</t>
  </si>
  <si>
    <t>Move boring plant and equipment to the site of each exploratory hole over safety barrier or other fence or wall, set up, dismantle on completion and reinstate (cable percussive only)</t>
  </si>
  <si>
    <t>Move boring plant and equipment to the site of each exploratory hole, set up, dismantle on completion and reinstate (where borehole is to be followed on with rotary drilling)</t>
  </si>
  <si>
    <t>Move boring plant and equipment to the site of each exploratory hole over safety barrier or other fence or wall, set up, dismantle on completion and reinstate (where borehole is to be followed on with rotary drilling)</t>
  </si>
  <si>
    <t>m3</t>
  </si>
  <si>
    <t>Move rotary drilling plant and equipment to the site of each exploratory drillhole, set up, dismantle on completion and reinstate (rotary follow-on).</t>
  </si>
  <si>
    <t>Move rotary drilling plant and equipment to the site of each exploratory drillhole over safety barrier or other fence or wall, set up, dismantle on completion and reinstate (rotary follow-on).</t>
  </si>
  <si>
    <t>Move rotary drilling plant and equipment to the site of each exploratory drillhole, set up, dismantle on completion and reinstate (rotary only).</t>
  </si>
  <si>
    <t>Move rotary drilling plant and equipment to the site of each exploratory drillhole, over safety barrier or other fence or wall, set up, dismantle on completion and reinstate (rotary only).</t>
  </si>
  <si>
    <t>Rotary drill in materials other than hard strata at the specified diameter, from which cores are not required, between existing ground level and 10m depth (PROVISIONAL)</t>
  </si>
  <si>
    <t>Rotary drill in materials other than hard strata to obtain cores of the specified diameter between existing ground level and 10m depth.</t>
  </si>
  <si>
    <t>Rotary drill in hard strata to obtain cores of the specified diameter between existing ground level and 10m depth</t>
  </si>
  <si>
    <t>Inspection pits
Included for each exploratory hole: refer hand digging and CAT scan items at exploratory hole locations</t>
  </si>
  <si>
    <t>Extra over item D3 for setting to the site of exploratory hole over safety barrier or other fence or wall, set up, dismantle on completion and reinstate.</t>
  </si>
  <si>
    <t xml:space="preserve">Chemical and electrochemical </t>
  </si>
  <si>
    <t xml:space="preserve">Compressibility, permeability and durability </t>
  </si>
  <si>
    <t>Shear strength of a set of three 60mm × 60mm square specimens by direct shear, test duration not exceeding 1 day per specimen</t>
  </si>
  <si>
    <t>Shear strength of a single 300mm × 300mm square specimen by direct shear, test duration not exceeding 1 day</t>
  </si>
  <si>
    <t>Undrained shear strength of a set of three 38mm diameter specimens in triaxial compression without the measurement of pore pressure</t>
  </si>
  <si>
    <t>Undrained strength of a single 100mm diameter specimen in triaxial compression without the measurement of pore pressure</t>
  </si>
  <si>
    <t>Undrained shear strength of a single 100mm diameter specimen in triaxial compression with multi-stage loading and without measurement of pore pressure</t>
  </si>
  <si>
    <t>No. Boreholes</t>
  </si>
  <si>
    <t>Depth(m)</t>
  </si>
  <si>
    <t>Sample Interval</t>
  </si>
  <si>
    <t>SPT Interval</t>
  </si>
  <si>
    <t>No. Samples</t>
  </si>
  <si>
    <t>No. SPT's</t>
  </si>
  <si>
    <t>Depth</t>
  </si>
  <si>
    <t>0 - 10 m</t>
  </si>
  <si>
    <t>10 - 20 m</t>
  </si>
  <si>
    <t>20 - 30 m</t>
  </si>
  <si>
    <t>30 - 40 m</t>
  </si>
  <si>
    <t>to</t>
  </si>
  <si>
    <t>Total</t>
  </si>
  <si>
    <t>No. Pistons</t>
  </si>
  <si>
    <t>No.     U100</t>
  </si>
  <si>
    <t>No. Rotary Coreholes</t>
  </si>
  <si>
    <t>No.         Trial Pits</t>
  </si>
  <si>
    <t>No. Small Samples</t>
  </si>
  <si>
    <t>No. Bulk Samples</t>
  </si>
  <si>
    <t>No. Large Bulk Samples</t>
  </si>
  <si>
    <t>No. Trial Pits</t>
  </si>
  <si>
    <t>0 - 3m</t>
  </si>
  <si>
    <t>3 - 4.5 m</t>
  </si>
  <si>
    <t>Test</t>
  </si>
  <si>
    <t>No. Rotary Open Holes</t>
  </si>
  <si>
    <t>No. Probes</t>
  </si>
  <si>
    <t>Boreholes</t>
  </si>
  <si>
    <t>Trial Pits</t>
  </si>
  <si>
    <t>No.         Slit Trenches</t>
  </si>
  <si>
    <t>Slit Trenches</t>
  </si>
  <si>
    <t>Length</t>
  </si>
  <si>
    <t>Width</t>
  </si>
  <si>
    <t>Total Length</t>
  </si>
  <si>
    <t>Total Width</t>
  </si>
  <si>
    <t>Total Depth</t>
  </si>
  <si>
    <r>
      <t>m</t>
    </r>
    <r>
      <rPr>
        <vertAlign val="superscript"/>
        <sz val="10"/>
        <color rgb="FFFF0000"/>
        <rFont val="Arial"/>
        <family val="2"/>
      </rPr>
      <t>3</t>
    </r>
  </si>
  <si>
    <t>Digital copy of trial pit, slit trench or core photographs as per Specification</t>
  </si>
  <si>
    <r>
      <t>m</t>
    </r>
    <r>
      <rPr>
        <sz val="10"/>
        <rFont val="Calibri"/>
        <family val="2"/>
      </rPr>
      <t>²</t>
    </r>
  </si>
  <si>
    <t>Total Volume</t>
  </si>
  <si>
    <t>CP Depth range</t>
  </si>
  <si>
    <t>(total TPs+STs) - (TP national + ST National)</t>
  </si>
  <si>
    <t>DCP</t>
  </si>
  <si>
    <t>HV</t>
  </si>
  <si>
    <t>BRE</t>
  </si>
  <si>
    <t>PT</t>
  </si>
  <si>
    <t>2 hrs per BH assumed</t>
  </si>
  <si>
    <t>assumed 100% D samples are tested</t>
  </si>
  <si>
    <t>assumed 25% D samples are tested</t>
  </si>
  <si>
    <t>Total amount of BH + TP + 2x(ST) + IP + DPH + CPT</t>
  </si>
  <si>
    <t>Grey cells with orange figures are calculated cells based on the data input into the 'log tracker'</t>
  </si>
  <si>
    <t>This spreadsheet serves as a Calculator and is not to be altered unless the quantity of an item needs to be calculated differently</t>
  </si>
  <si>
    <t>All changes to this spreadsheet are considered as 'pernament changes'.</t>
  </si>
  <si>
    <t>The idea of this spreadsheet is to calculate quantities in a specific way that applies to all jobs.</t>
  </si>
  <si>
    <t>Included in B1 to B1.2.2</t>
  </si>
  <si>
    <t>1 hr assumed per BH</t>
  </si>
  <si>
    <t>May change to be 'included in B1 to B1.22'</t>
  </si>
  <si>
    <t>(No. of BHs on road) x (0.5x0.5x0.5)</t>
  </si>
  <si>
    <t>IF D51 is greater than 0 then let D59=1</t>
  </si>
  <si>
    <t>Any changes or additions that need to made for a certain job will be altered/changed in PART 3.</t>
  </si>
  <si>
    <t>Orange cells are to be input manually in PART 3</t>
  </si>
  <si>
    <t>[Rural: Length x Width x (Depth-0.1m)] + [National: Length x Width x (Depth-0.45m)</t>
  </si>
  <si>
    <t>Short descriptions on how the quantity was calculated are included next to some items. Including assumptions made.</t>
  </si>
  <si>
    <t>Dynamic sampling (Window and Windowless Sampling)</t>
  </si>
  <si>
    <t>assumed one 1m seal</t>
  </si>
  <si>
    <t>1 for every window sample hole</t>
  </si>
  <si>
    <t>assume 1 hr for every hole</t>
  </si>
  <si>
    <t>equal to B13</t>
  </si>
  <si>
    <t>equal to B 13</t>
  </si>
  <si>
    <t>Included in B13</t>
  </si>
  <si>
    <t>currently adding the total meters of 'Plain Depth' for piezo and standpipe</t>
  </si>
  <si>
    <t>Error in Calculating paved area trial pits</t>
  </si>
  <si>
    <t>L.7</t>
  </si>
  <si>
    <t>Tests Suite K</t>
  </si>
  <si>
    <t>Standard penetration test in dynamic sampling boreholes, depth range 0 to 10m</t>
  </si>
  <si>
    <t>H4.2</t>
  </si>
  <si>
    <t>H4.3</t>
  </si>
  <si>
    <t>H4.4</t>
  </si>
  <si>
    <t>H4.5</t>
  </si>
  <si>
    <t>H6</t>
  </si>
  <si>
    <t>H40</t>
  </si>
  <si>
    <t>Included in B1.1, B1.2 &amp; B13</t>
  </si>
  <si>
    <t xml:space="preserve">Standing time for rotary drilling plant, equipment and crew </t>
  </si>
  <si>
    <t>1/2 hr per test</t>
  </si>
  <si>
    <t>1/2 hr per probe assumed</t>
  </si>
  <si>
    <t>Dynamic sampling &gt;10m as instructed by the Investigation Supervisor</t>
  </si>
  <si>
    <t>assumed half an hour per..</t>
  </si>
  <si>
    <t>0.5 hr for every trench</t>
  </si>
  <si>
    <t>A2 Only to be used on one site with one piece of equipment</t>
  </si>
  <si>
    <t>Guidance Comments</t>
  </si>
  <si>
    <t>Disposal material should match the amount of backfill in D51/D52</t>
  </si>
  <si>
    <t>Confirm with client/authority whether cement bound material is required</t>
  </si>
  <si>
    <t>Backfill trenches, trial pits and inspection pits at exploratory hole locations in paved areas with CBGMB as Fig.A4.0 Method A of TII's CC-PAV-04007</t>
  </si>
  <si>
    <t>Reinstatement of asphalt/bituminous pavement in accordance with TII's CC-PAV-04007.</t>
  </si>
  <si>
    <t>READ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</si>
</sst>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quot;€&quot;* #,##0.00_-;_-&quot;€&quot;* &quot;-&quot;??_-;_-@_-"/>
    <numFmt numFmtId="165" formatCode="&quot;€&quot;#,##0.00"/>
    <numFmt numFmtId="166" formatCode="0.0"/>
    <numFmt numFmtId="167" formatCode="_-&quot;€&quot;* #,##0_-;\-&quot;€&quot;* #,##0_-;_-&quot;€&quot;* &quot;-&quot;??_-;_-@_-"/>
  </numFmts>
  <fonts count="30" x14ac:knownFonts="1">
    <font>
      <sz val="10"/>
      <color theme="1"/>
      <name val="Arial"/>
      <family val="2"/>
    </font>
    <font>
      <sz val="11"/>
      <color theme="1"/>
      <name val="Calibri"/>
      <family val="2"/>
      <scheme val="minor"/>
    </font>
    <font>
      <sz val="11"/>
      <color theme="1"/>
      <name val="Calibri"/>
      <family val="2"/>
      <scheme val="minor"/>
    </font>
    <font>
      <sz val="10"/>
      <color theme="1"/>
      <name val="Arial"/>
      <family val="2"/>
    </font>
    <font>
      <b/>
      <sz val="10"/>
      <color theme="1"/>
      <name val="Arial"/>
      <family val="2"/>
    </font>
    <font>
      <sz val="10"/>
      <color theme="1"/>
      <name val="Times New Roman"/>
      <family val="1"/>
    </font>
    <font>
      <b/>
      <sz val="9"/>
      <color rgb="FF000000"/>
      <name val="Arial"/>
      <family val="2"/>
    </font>
    <font>
      <b/>
      <sz val="10"/>
      <color rgb="FF000000"/>
      <name val="Arial"/>
      <family val="2"/>
    </font>
    <font>
      <sz val="10"/>
      <color rgb="FF000000"/>
      <name val="Arial"/>
      <family val="2"/>
    </font>
    <font>
      <u/>
      <sz val="10"/>
      <color theme="1"/>
      <name val="Arial"/>
      <family val="2"/>
    </font>
    <font>
      <b/>
      <u/>
      <sz val="10"/>
      <color theme="1"/>
      <name val="Arial"/>
      <family val="2"/>
    </font>
    <font>
      <b/>
      <u/>
      <sz val="10"/>
      <color rgb="FF000000"/>
      <name val="Arial"/>
      <family val="2"/>
    </font>
    <font>
      <sz val="11"/>
      <color rgb="FF000000"/>
      <name val="Calibri"/>
      <family val="2"/>
    </font>
    <font>
      <sz val="10"/>
      <name val="Arial"/>
      <family val="2"/>
    </font>
    <font>
      <sz val="10"/>
      <color theme="0" tint="-0.34998626667073579"/>
      <name val="Arial"/>
      <family val="2"/>
    </font>
    <font>
      <u/>
      <sz val="10"/>
      <name val="Arial"/>
      <family val="2"/>
    </font>
    <font>
      <sz val="10"/>
      <color rgb="FFFF0000"/>
      <name val="Arial"/>
      <family val="2"/>
    </font>
    <font>
      <b/>
      <sz val="10"/>
      <color rgb="FFFF0000"/>
      <name val="Arial"/>
      <family val="2"/>
    </font>
    <font>
      <b/>
      <sz val="10"/>
      <name val="Arial"/>
      <family val="2"/>
    </font>
    <font>
      <b/>
      <u/>
      <sz val="10"/>
      <name val="Arial"/>
      <family val="2"/>
    </font>
    <font>
      <sz val="10"/>
      <name val="Times New Roman"/>
      <family val="1"/>
    </font>
    <font>
      <b/>
      <sz val="9"/>
      <name val="Arial"/>
      <family val="2"/>
    </font>
    <font>
      <sz val="10"/>
      <name val="Arial"/>
      <family val="2"/>
    </font>
    <font>
      <b/>
      <sz val="11"/>
      <name val="Arial"/>
      <family val="2"/>
    </font>
    <font>
      <sz val="10"/>
      <color indexed="10"/>
      <name val="Arial"/>
      <family val="2"/>
    </font>
    <font>
      <vertAlign val="superscript"/>
      <sz val="10"/>
      <color rgb="FFFF0000"/>
      <name val="Arial"/>
      <family val="2"/>
    </font>
    <font>
      <sz val="10"/>
      <name val="Calibri"/>
      <family val="2"/>
    </font>
    <font>
      <sz val="11"/>
      <color rgb="FF3F3F76"/>
      <name val="Calibri"/>
      <family val="2"/>
      <scheme val="minor"/>
    </font>
    <font>
      <b/>
      <sz val="11"/>
      <color rgb="FFFA7D00"/>
      <name val="Calibri"/>
      <family val="2"/>
      <scheme val="minor"/>
    </font>
    <font>
      <b/>
      <sz val="12"/>
      <name val="Arial"/>
      <family val="2"/>
    </font>
  </fonts>
  <fills count="7">
    <fill>
      <patternFill patternType="none"/>
    </fill>
    <fill>
      <patternFill patternType="gray125"/>
    </fill>
    <fill>
      <patternFill patternType="solid">
        <fgColor theme="0"/>
        <bgColor indexed="64"/>
      </patternFill>
    </fill>
    <fill>
      <patternFill patternType="solid">
        <fgColor indexed="41"/>
        <bgColor indexed="64"/>
      </patternFill>
    </fill>
    <fill>
      <patternFill patternType="solid">
        <fgColor rgb="FFFFFF00"/>
        <bgColor indexed="64"/>
      </patternFill>
    </fill>
    <fill>
      <patternFill patternType="solid">
        <fgColor rgb="FFFFCC99"/>
      </patternFill>
    </fill>
    <fill>
      <patternFill patternType="solid">
        <fgColor rgb="FFF2F2F2"/>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164" fontId="3" fillId="0" borderId="0" applyFont="0" applyFill="0" applyBorder="0" applyAlignment="0" applyProtection="0"/>
    <xf numFmtId="0" fontId="22" fillId="0" borderId="0"/>
    <xf numFmtId="0" fontId="27" fillId="5" borderId="18" applyNumberFormat="0" applyAlignment="0" applyProtection="0"/>
    <xf numFmtId="0" fontId="2" fillId="0" borderId="0"/>
    <xf numFmtId="0" fontId="13" fillId="0" borderId="0"/>
    <xf numFmtId="0" fontId="1" fillId="0" borderId="0"/>
    <xf numFmtId="0" fontId="28" fillId="6" borderId="18" applyNumberFormat="0" applyAlignment="0" applyProtection="0"/>
  </cellStyleXfs>
  <cellXfs count="203">
    <xf numFmtId="0" fontId="0" fillId="0" borderId="0" xfId="0"/>
    <xf numFmtId="0" fontId="0" fillId="0" borderId="0" xfId="0" applyAlignment="1">
      <alignment horizontal="center"/>
    </xf>
    <xf numFmtId="0" fontId="7" fillId="0" borderId="1" xfId="0" applyFont="1" applyBorder="1" applyAlignment="1">
      <alignment vertical="center" wrapText="1"/>
    </xf>
    <xf numFmtId="0" fontId="0" fillId="0" borderId="1" xfId="0" applyBorder="1"/>
    <xf numFmtId="0" fontId="0" fillId="0" borderId="1" xfId="0" applyBorder="1" applyAlignment="1">
      <alignment horizontal="center"/>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0" fillId="0" borderId="2" xfId="0" applyBorder="1"/>
    <xf numFmtId="0" fontId="0" fillId="0" borderId="2" xfId="0" applyBorder="1" applyAlignment="1">
      <alignment horizontal="center"/>
    </xf>
    <xf numFmtId="0" fontId="4" fillId="0" borderId="1" xfId="0" applyFont="1" applyBorder="1" applyAlignment="1">
      <alignment vertical="center" wrapText="1"/>
    </xf>
    <xf numFmtId="0" fontId="3" fillId="0" borderId="1" xfId="0" applyFont="1" applyBorder="1" applyAlignment="1">
      <alignment vertical="center" wrapText="1"/>
    </xf>
    <xf numFmtId="0" fontId="9" fillId="0" borderId="1" xfId="0" applyFont="1" applyBorder="1" applyAlignment="1">
      <alignment vertical="center" wrapText="1"/>
    </xf>
    <xf numFmtId="0" fontId="4" fillId="0" borderId="1" xfId="0" applyFont="1" applyBorder="1" applyAlignment="1">
      <alignment horizontal="center" vertical="center" wrapText="1"/>
    </xf>
    <xf numFmtId="0" fontId="10" fillId="0" borderId="1" xfId="0" applyFont="1" applyBorder="1" applyAlignment="1">
      <alignment vertical="center" wrapText="1"/>
    </xf>
    <xf numFmtId="165" fontId="0" fillId="0" borderId="1" xfId="0" applyNumberFormat="1" applyBorder="1" applyAlignment="1">
      <alignment horizontal="center" vertical="center" wrapText="1"/>
    </xf>
    <xf numFmtId="165" fontId="0" fillId="0" borderId="1" xfId="0" applyNumberFormat="1" applyBorder="1" applyAlignment="1">
      <alignment horizontal="center"/>
    </xf>
    <xf numFmtId="165" fontId="8" fillId="0" borderId="1" xfId="0" applyNumberFormat="1" applyFont="1" applyBorder="1" applyAlignment="1">
      <alignment horizontal="center" vertical="center" wrapText="1"/>
    </xf>
    <xf numFmtId="165" fontId="4" fillId="0" borderId="1" xfId="1" applyNumberFormat="1" applyFont="1" applyBorder="1" applyAlignment="1">
      <alignment horizontal="center"/>
    </xf>
    <xf numFmtId="0" fontId="10" fillId="0" borderId="1" xfId="0" applyFont="1" applyBorder="1"/>
    <xf numFmtId="0" fontId="11" fillId="0" borderId="1" xfId="0" applyFont="1" applyBorder="1"/>
    <xf numFmtId="0" fontId="3" fillId="0" borderId="2" xfId="0" applyFont="1" applyBorder="1" applyAlignment="1">
      <alignment vertical="center" wrapText="1"/>
    </xf>
    <xf numFmtId="0" fontId="0" fillId="0" borderId="0" xfId="0" applyAlignment="1">
      <alignment horizontal="right"/>
    </xf>
    <xf numFmtId="0" fontId="5" fillId="0" borderId="2" xfId="0" applyFont="1" applyBorder="1" applyAlignment="1">
      <alignment vertical="top" wrapText="1"/>
    </xf>
    <xf numFmtId="0" fontId="8" fillId="0" borderId="1" xfId="0" applyFont="1" applyBorder="1" applyAlignment="1">
      <alignment vertical="center" wrapText="1"/>
    </xf>
    <xf numFmtId="0" fontId="4" fillId="0" borderId="9" xfId="0" applyFont="1" applyBorder="1" applyAlignment="1">
      <alignment horizontal="right"/>
    </xf>
    <xf numFmtId="0" fontId="4" fillId="0" borderId="10" xfId="0" applyFont="1" applyBorder="1" applyAlignment="1">
      <alignment horizontal="right"/>
    </xf>
    <xf numFmtId="0" fontId="4" fillId="0" borderId="11" xfId="0" applyFont="1" applyBorder="1" applyAlignment="1">
      <alignment horizontal="right"/>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0" fontId="3" fillId="0" borderId="1" xfId="0" applyFont="1" applyBorder="1" applyAlignment="1">
      <alignment horizontal="center" vertical="center" wrapText="1"/>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0" fontId="0" fillId="0" borderId="1" xfId="0" applyBorder="1" applyAlignment="1">
      <alignment vertical="center" wrapText="1"/>
    </xf>
    <xf numFmtId="0" fontId="6" fillId="0" borderId="1" xfId="0" applyFont="1" applyBorder="1" applyAlignment="1" applyProtection="1">
      <alignment horizontal="center" vertical="center" wrapText="1"/>
      <protection locked="0"/>
    </xf>
    <xf numFmtId="0" fontId="0" fillId="0" borderId="2" xfId="0" applyBorder="1" applyAlignment="1" applyProtection="1">
      <alignment horizontal="center"/>
      <protection locked="0"/>
    </xf>
    <xf numFmtId="0" fontId="4" fillId="0" borderId="1" xfId="0" applyFont="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0" fillId="0" borderId="0" xfId="0" applyAlignment="1" applyProtection="1">
      <alignment horizontal="center"/>
      <protection locked="0"/>
    </xf>
    <xf numFmtId="0" fontId="4" fillId="0" borderId="11" xfId="0" applyFont="1" applyBorder="1" applyAlignment="1" applyProtection="1">
      <alignment horizontal="right"/>
      <protection locked="0"/>
    </xf>
    <xf numFmtId="0" fontId="7" fillId="0" borderId="13" xfId="0" applyFont="1" applyBorder="1" applyAlignment="1" applyProtection="1">
      <alignment horizontal="center" vertical="center" wrapText="1"/>
      <protection locked="0"/>
    </xf>
    <xf numFmtId="0" fontId="0" fillId="0" borderId="1" xfId="0" applyBorder="1" applyAlignment="1" applyProtection="1">
      <alignment horizontal="center"/>
      <protection locked="0"/>
    </xf>
    <xf numFmtId="0" fontId="13" fillId="0" borderId="1" xfId="0" applyFont="1" applyBorder="1" applyAlignment="1" applyProtection="1">
      <alignment horizontal="center" vertical="center" wrapText="1"/>
      <protection locked="0"/>
    </xf>
    <xf numFmtId="0" fontId="13" fillId="0" borderId="0" xfId="0" applyFont="1"/>
    <xf numFmtId="0" fontId="8" fillId="0" borderId="1" xfId="0" applyFont="1" applyBorder="1" applyAlignment="1">
      <alignment horizontal="center" vertical="center" wrapText="1"/>
    </xf>
    <xf numFmtId="0" fontId="14" fillId="0" borderId="1" xfId="0" applyFont="1" applyBorder="1" applyAlignment="1">
      <alignment vertical="center" wrapText="1"/>
    </xf>
    <xf numFmtId="0" fontId="14" fillId="0" borderId="1" xfId="0" applyFont="1" applyBorder="1" applyAlignment="1">
      <alignment horizontal="center" vertical="center" wrapText="1"/>
    </xf>
    <xf numFmtId="0" fontId="15" fillId="0" borderId="1" xfId="0" applyFont="1" applyBorder="1" applyAlignment="1">
      <alignment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12" fillId="0" borderId="0" xfId="0" applyFont="1" applyAlignment="1">
      <alignment horizontal="center" vertical="center"/>
    </xf>
    <xf numFmtId="0" fontId="5" fillId="0" borderId="1" xfId="0" applyFont="1" applyBorder="1" applyAlignment="1">
      <alignment horizontal="center" vertical="top" wrapText="1"/>
    </xf>
    <xf numFmtId="0" fontId="0" fillId="0" borderId="1" xfId="0" applyBorder="1" applyAlignment="1">
      <alignment horizontal="center" vertical="center" wrapText="1"/>
    </xf>
    <xf numFmtId="0" fontId="4" fillId="0" borderId="0" xfId="0" applyFont="1" applyAlignment="1">
      <alignment wrapText="1"/>
    </xf>
    <xf numFmtId="0" fontId="4" fillId="0" borderId="0" xfId="0" applyFont="1" applyAlignment="1">
      <alignment horizontal="center" wrapText="1"/>
    </xf>
    <xf numFmtId="0" fontId="0" fillId="0" borderId="0" xfId="0" applyAlignment="1">
      <alignment horizontal="center" vertical="center"/>
    </xf>
    <xf numFmtId="0" fontId="19" fillId="0" borderId="1" xfId="0" applyFont="1" applyBorder="1" applyAlignment="1">
      <alignment vertical="center" wrapText="1"/>
    </xf>
    <xf numFmtId="0" fontId="0" fillId="0" borderId="0" xfId="0" applyAlignment="1" applyProtection="1">
      <alignment horizontal="center" vertical="center"/>
      <protection locked="0"/>
    </xf>
    <xf numFmtId="0" fontId="0" fillId="0" borderId="0" xfId="0" applyAlignment="1">
      <alignment vertical="top" wrapText="1"/>
    </xf>
    <xf numFmtId="0" fontId="13" fillId="0" borderId="1" xfId="0" applyFont="1" applyBorder="1" applyAlignment="1" applyProtection="1">
      <alignment vertical="center" wrapText="1"/>
      <protection locked="0"/>
    </xf>
    <xf numFmtId="0" fontId="13" fillId="2" borderId="1" xfId="0" applyFont="1" applyFill="1" applyBorder="1" applyAlignment="1" applyProtection="1">
      <alignment horizontal="center" vertical="center" wrapText="1"/>
      <protection locked="0"/>
    </xf>
    <xf numFmtId="4" fontId="6" fillId="0" borderId="1" xfId="0" applyNumberFormat="1" applyFont="1" applyBorder="1" applyAlignment="1">
      <alignment horizontal="center" vertical="center" wrapText="1"/>
    </xf>
    <xf numFmtId="4" fontId="0" fillId="0" borderId="2" xfId="0" applyNumberFormat="1" applyBorder="1" applyAlignment="1">
      <alignment horizontal="center"/>
    </xf>
    <xf numFmtId="4" fontId="4" fillId="0" borderId="1" xfId="0" applyNumberFormat="1" applyFont="1" applyBorder="1" applyAlignment="1">
      <alignment horizontal="center" vertical="center" wrapText="1"/>
    </xf>
    <xf numFmtId="4" fontId="0" fillId="0" borderId="0" xfId="0" applyNumberFormat="1" applyAlignment="1">
      <alignment horizontal="center"/>
    </xf>
    <xf numFmtId="4" fontId="0" fillId="0" borderId="8" xfId="0" applyNumberFormat="1" applyBorder="1" applyAlignment="1">
      <alignment horizontal="center"/>
    </xf>
    <xf numFmtId="0" fontId="13" fillId="0" borderId="3" xfId="0" applyFont="1" applyBorder="1" applyAlignment="1">
      <alignment vertical="center" wrapText="1"/>
    </xf>
    <xf numFmtId="4" fontId="6" fillId="0" borderId="0" xfId="0" applyNumberFormat="1" applyFont="1" applyAlignment="1">
      <alignment horizontal="center" vertical="center" wrapText="1"/>
    </xf>
    <xf numFmtId="4" fontId="7" fillId="0" borderId="0" xfId="0" applyNumberFormat="1" applyFont="1" applyAlignment="1">
      <alignment horizontal="center" vertical="center" wrapText="1"/>
    </xf>
    <xf numFmtId="4" fontId="8" fillId="0" borderId="0" xfId="0" applyNumberFormat="1" applyFont="1" applyAlignment="1">
      <alignment horizontal="center" vertical="center" wrapText="1"/>
    </xf>
    <xf numFmtId="4" fontId="13" fillId="0" borderId="0" xfId="0" applyNumberFormat="1" applyFont="1" applyAlignment="1">
      <alignment horizontal="center"/>
    </xf>
    <xf numFmtId="4" fontId="0" fillId="0" borderId="0" xfId="0" applyNumberFormat="1" applyAlignment="1">
      <alignment horizontal="center" vertical="center"/>
    </xf>
    <xf numFmtId="0" fontId="13" fillId="0" borderId="0" xfId="0" applyFont="1" applyAlignment="1">
      <alignment horizontal="center" vertical="center" wrapText="1"/>
    </xf>
    <xf numFmtId="0" fontId="20" fillId="0" borderId="1" xfId="0" applyFont="1" applyBorder="1" applyAlignment="1">
      <alignment horizontal="center" vertical="top"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4" fontId="8" fillId="0" borderId="2" xfId="0" applyNumberFormat="1" applyFont="1" applyBorder="1" applyAlignment="1">
      <alignment horizontal="center" vertical="center" wrapText="1"/>
    </xf>
    <xf numFmtId="4" fontId="4" fillId="0" borderId="0" xfId="0" applyNumberFormat="1" applyFont="1" applyAlignment="1">
      <alignment horizontal="center" wrapText="1"/>
    </xf>
    <xf numFmtId="4" fontId="3" fillId="0" borderId="1" xfId="0" applyNumberFormat="1" applyFont="1" applyBorder="1" applyAlignment="1">
      <alignment horizontal="center" vertical="center" wrapText="1"/>
    </xf>
    <xf numFmtId="4" fontId="13" fillId="0" borderId="2" xfId="0" applyNumberFormat="1" applyFont="1" applyBorder="1" applyAlignment="1">
      <alignment horizontal="center" vertical="center" wrapText="1"/>
    </xf>
    <xf numFmtId="0" fontId="4" fillId="0" borderId="1" xfId="0" applyFont="1" applyBorder="1" applyAlignment="1">
      <alignment vertical="top" wrapText="1"/>
    </xf>
    <xf numFmtId="0" fontId="4" fillId="0" borderId="1" xfId="0" applyFont="1" applyBorder="1" applyAlignment="1">
      <alignment horizontal="center" vertical="top" wrapText="1"/>
    </xf>
    <xf numFmtId="0" fontId="0" fillId="0" borderId="1" xfId="0" applyBorder="1" applyAlignment="1">
      <alignment horizontal="center" vertical="top" wrapText="1"/>
    </xf>
    <xf numFmtId="0" fontId="3" fillId="0" borderId="1" xfId="0" applyFont="1" applyBorder="1" applyAlignment="1">
      <alignment horizontal="center" vertical="top" wrapText="1"/>
    </xf>
    <xf numFmtId="4" fontId="0" fillId="0" borderId="1" xfId="0" applyNumberFormat="1" applyBorder="1" applyAlignment="1">
      <alignment horizontal="center"/>
    </xf>
    <xf numFmtId="4" fontId="3" fillId="0" borderId="1" xfId="0" applyNumberFormat="1" applyFont="1" applyBorder="1" applyAlignment="1">
      <alignment vertical="center" wrapText="1"/>
    </xf>
    <xf numFmtId="4" fontId="8" fillId="0" borderId="12" xfId="0" applyNumberFormat="1" applyFont="1" applyBorder="1" applyAlignment="1">
      <alignment horizontal="center" vertical="center" wrapText="1"/>
    </xf>
    <xf numFmtId="4" fontId="21" fillId="0" borderId="1" xfId="0" applyNumberFormat="1" applyFont="1" applyBorder="1" applyAlignment="1">
      <alignment horizontal="center" vertical="center" wrapText="1"/>
    </xf>
    <xf numFmtId="4" fontId="13" fillId="0" borderId="2" xfId="0" applyNumberFormat="1" applyFont="1" applyBorder="1" applyAlignment="1">
      <alignment horizontal="center"/>
    </xf>
    <xf numFmtId="4" fontId="18" fillId="0" borderId="1" xfId="0" applyNumberFormat="1" applyFont="1" applyBorder="1" applyAlignment="1">
      <alignment horizontal="center" vertical="center" wrapText="1"/>
    </xf>
    <xf numFmtId="4" fontId="13" fillId="0" borderId="1" xfId="0" applyNumberFormat="1" applyFont="1" applyBorder="1" applyAlignment="1">
      <alignment horizontal="center" vertical="center" wrapText="1"/>
    </xf>
    <xf numFmtId="4" fontId="18" fillId="0" borderId="1" xfId="0" applyNumberFormat="1" applyFont="1" applyBorder="1" applyAlignment="1">
      <alignment horizontal="center"/>
    </xf>
    <xf numFmtId="0" fontId="16" fillId="0" borderId="0" xfId="0" applyFont="1" applyAlignment="1" applyProtection="1">
      <alignment horizontal="center"/>
      <protection locked="0"/>
    </xf>
    <xf numFmtId="0" fontId="21" fillId="0" borderId="1" xfId="0" applyFont="1" applyBorder="1" applyAlignment="1" applyProtection="1">
      <alignment horizontal="center" vertical="center" wrapText="1"/>
      <protection locked="0"/>
    </xf>
    <xf numFmtId="0" fontId="13" fillId="0" borderId="2" xfId="0" applyFont="1" applyBorder="1" applyAlignment="1" applyProtection="1">
      <alignment horizontal="center"/>
      <protection locked="0"/>
    </xf>
    <xf numFmtId="0" fontId="17" fillId="0" borderId="1" xfId="0" applyFont="1" applyBorder="1" applyAlignment="1" applyProtection="1">
      <alignment horizontal="center" vertical="center" wrapText="1"/>
      <protection locked="0"/>
    </xf>
    <xf numFmtId="0" fontId="16" fillId="0" borderId="1" xfId="0" applyFont="1" applyBorder="1" applyAlignment="1" applyProtection="1">
      <alignment horizontal="center" vertical="center" wrapText="1"/>
      <protection locked="0"/>
    </xf>
    <xf numFmtId="0" fontId="6" fillId="0" borderId="0" xfId="0" applyFont="1" applyAlignment="1">
      <alignment horizontal="center" vertical="center" wrapText="1"/>
    </xf>
    <xf numFmtId="0" fontId="3" fillId="0" borderId="0" xfId="0" applyFont="1" applyAlignment="1">
      <alignment horizontal="center" vertical="top" wrapText="1"/>
    </xf>
    <xf numFmtId="4" fontId="3" fillId="0" borderId="1" xfId="0" applyNumberFormat="1" applyFont="1" applyBorder="1" applyAlignment="1">
      <alignment horizontal="center" vertical="top" wrapText="1"/>
    </xf>
    <xf numFmtId="0" fontId="3" fillId="0" borderId="0" xfId="0" applyFont="1" applyAlignment="1">
      <alignment vertical="center" wrapText="1"/>
    </xf>
    <xf numFmtId="167" fontId="8" fillId="0" borderId="2" xfId="1" applyNumberFormat="1" applyFont="1" applyFill="1" applyBorder="1" applyAlignment="1">
      <alignment horizontal="center" vertical="center" wrapText="1"/>
    </xf>
    <xf numFmtId="167" fontId="0" fillId="0" borderId="0" xfId="1" applyNumberFormat="1" applyFont="1"/>
    <xf numFmtId="167" fontId="0" fillId="0" borderId="0" xfId="1" applyNumberFormat="1" applyFont="1" applyAlignment="1">
      <alignment horizontal="center"/>
    </xf>
    <xf numFmtId="167" fontId="13" fillId="0" borderId="2" xfId="1" applyNumberFormat="1" applyFont="1" applyFill="1" applyBorder="1" applyAlignment="1">
      <alignment horizontal="center" vertical="center" wrapText="1"/>
    </xf>
    <xf numFmtId="167" fontId="0" fillId="0" borderId="0" xfId="1" applyNumberFormat="1" applyFont="1" applyFill="1" applyAlignment="1">
      <alignment horizontal="center"/>
    </xf>
    <xf numFmtId="0" fontId="18" fillId="3" borderId="0" xfId="2" applyFont="1" applyFill="1" applyAlignment="1">
      <alignment wrapText="1"/>
    </xf>
    <xf numFmtId="0" fontId="18" fillId="0" borderId="0" xfId="2" applyFont="1" applyAlignment="1">
      <alignment wrapText="1"/>
    </xf>
    <xf numFmtId="0" fontId="22" fillId="0" borderId="0" xfId="2"/>
    <xf numFmtId="0" fontId="18" fillId="3" borderId="0" xfId="2" applyFont="1" applyFill="1"/>
    <xf numFmtId="0" fontId="23" fillId="0" borderId="0" xfId="2" applyFont="1"/>
    <xf numFmtId="1" fontId="24" fillId="0" borderId="0" xfId="2" applyNumberFormat="1" applyFont="1"/>
    <xf numFmtId="1" fontId="22" fillId="0" borderId="0" xfId="2" applyNumberFormat="1"/>
    <xf numFmtId="0" fontId="16" fillId="0" borderId="0" xfId="2" applyFont="1"/>
    <xf numFmtId="0" fontId="18" fillId="0" borderId="1" xfId="0" applyFont="1" applyBorder="1" applyAlignment="1">
      <alignment vertical="center" wrapText="1"/>
    </xf>
    <xf numFmtId="0" fontId="20" fillId="0" borderId="2" xfId="0" applyFont="1" applyBorder="1" applyAlignment="1">
      <alignment horizontal="center" vertical="top" wrapText="1"/>
    </xf>
    <xf numFmtId="0" fontId="20" fillId="0" borderId="2" xfId="0" applyFont="1" applyBorder="1" applyAlignment="1" applyProtection="1">
      <alignment horizontal="center" vertical="top" wrapText="1"/>
      <protection locked="0"/>
    </xf>
    <xf numFmtId="0" fontId="13" fillId="0" borderId="8" xfId="0" applyFont="1" applyBorder="1" applyAlignment="1">
      <alignment horizontal="center" vertical="center" wrapText="1"/>
    </xf>
    <xf numFmtId="0" fontId="20" fillId="0" borderId="0" xfId="0" applyFont="1" applyAlignment="1">
      <alignment horizontal="center" vertical="top" wrapText="1"/>
    </xf>
    <xf numFmtId="167" fontId="13" fillId="0" borderId="1" xfId="1" applyNumberFormat="1" applyFont="1" applyFill="1" applyBorder="1" applyAlignment="1">
      <alignment horizontal="center" vertical="center" wrapText="1"/>
    </xf>
    <xf numFmtId="0" fontId="13" fillId="0" borderId="1" xfId="0" applyFont="1" applyBorder="1" applyAlignment="1">
      <alignment vertical="center"/>
    </xf>
    <xf numFmtId="4" fontId="13" fillId="0" borderId="3" xfId="0" applyNumberFormat="1" applyFont="1" applyBorder="1" applyAlignment="1">
      <alignment horizontal="center" vertical="center" wrapText="1"/>
    </xf>
    <xf numFmtId="0" fontId="23" fillId="0" borderId="1" xfId="0" applyFont="1" applyBorder="1" applyAlignment="1">
      <alignment vertical="center" wrapText="1"/>
    </xf>
    <xf numFmtId="0" fontId="18" fillId="0" borderId="1" xfId="0" applyFont="1" applyBorder="1" applyAlignment="1">
      <alignment horizontal="center" vertical="center" wrapText="1"/>
    </xf>
    <xf numFmtId="0" fontId="13" fillId="0" borderId="2" xfId="0" applyFont="1" applyBorder="1" applyAlignment="1">
      <alignment vertical="center" wrapText="1"/>
    </xf>
    <xf numFmtId="0" fontId="19" fillId="0" borderId="2" xfId="0" applyFont="1" applyBorder="1" applyAlignment="1">
      <alignment vertical="center" wrapText="1"/>
    </xf>
    <xf numFmtId="0" fontId="13" fillId="0" borderId="2" xfId="0" applyFont="1" applyBorder="1" applyAlignment="1">
      <alignment horizontal="center" vertical="center" wrapText="1"/>
    </xf>
    <xf numFmtId="0" fontId="13" fillId="0" borderId="2" xfId="0" applyFont="1" applyBorder="1" applyAlignment="1" applyProtection="1">
      <alignment horizontal="center" vertical="center" wrapText="1"/>
      <protection locked="0"/>
    </xf>
    <xf numFmtId="4" fontId="13" fillId="0" borderId="1" xfId="0" applyNumberFormat="1" applyFont="1" applyBorder="1" applyAlignment="1" applyProtection="1">
      <alignment horizontal="center" vertical="center" wrapText="1"/>
      <protection locked="0"/>
    </xf>
    <xf numFmtId="0" fontId="13" fillId="0" borderId="14" xfId="0" applyFont="1" applyBorder="1" applyAlignment="1">
      <alignment horizontal="center" vertical="center" wrapText="1"/>
    </xf>
    <xf numFmtId="0" fontId="18" fillId="0" borderId="1" xfId="0" applyFont="1" applyBorder="1" applyAlignment="1" applyProtection="1">
      <alignment horizontal="center" vertical="center" wrapText="1"/>
      <protection locked="0"/>
    </xf>
    <xf numFmtId="4" fontId="18" fillId="0" borderId="1" xfId="0" applyNumberFormat="1" applyFont="1" applyBorder="1" applyAlignment="1">
      <alignment vertical="center" wrapText="1"/>
    </xf>
    <xf numFmtId="0" fontId="18" fillId="0" borderId="0" xfId="0" applyFont="1" applyAlignment="1">
      <alignment vertical="center" wrapText="1"/>
    </xf>
    <xf numFmtId="0" fontId="15" fillId="0" borderId="2" xfId="0" applyFont="1" applyBorder="1" applyAlignment="1">
      <alignment vertical="center" wrapText="1"/>
    </xf>
    <xf numFmtId="0" fontId="13" fillId="0" borderId="0" xfId="0" applyFont="1" applyAlignment="1">
      <alignment horizontal="right" vertical="center" wrapText="1"/>
    </xf>
    <xf numFmtId="0" fontId="20" fillId="0" borderId="1" xfId="0" applyFont="1" applyBorder="1" applyAlignment="1" applyProtection="1">
      <alignment vertical="center" wrapText="1"/>
      <protection locked="0"/>
    </xf>
    <xf numFmtId="4" fontId="13" fillId="0" borderId="1" xfId="0" applyNumberFormat="1" applyFont="1" applyBorder="1" applyAlignment="1">
      <alignment vertical="center" wrapText="1"/>
    </xf>
    <xf numFmtId="0" fontId="20" fillId="0" borderId="1" xfId="0" applyFont="1" applyBorder="1" applyAlignment="1" applyProtection="1">
      <alignment vertical="top" wrapText="1"/>
      <protection locked="0"/>
    </xf>
    <xf numFmtId="0" fontId="15" fillId="0" borderId="1" xfId="0" applyFont="1" applyBorder="1" applyAlignment="1">
      <alignment vertical="center"/>
    </xf>
    <xf numFmtId="0" fontId="18" fillId="0" borderId="1" xfId="0" applyFont="1" applyBorder="1" applyAlignment="1" applyProtection="1">
      <alignment vertical="center" wrapText="1"/>
      <protection locked="0"/>
    </xf>
    <xf numFmtId="0" fontId="18" fillId="0" borderId="2" xfId="0" applyFont="1" applyBorder="1" applyAlignment="1">
      <alignment vertical="center" wrapText="1"/>
    </xf>
    <xf numFmtId="0" fontId="18" fillId="0" borderId="2" xfId="0" applyFont="1" applyBorder="1" applyAlignment="1">
      <alignment horizontal="center" vertical="center" wrapText="1"/>
    </xf>
    <xf numFmtId="0" fontId="13" fillId="0" borderId="2" xfId="0" applyFont="1" applyBorder="1" applyAlignment="1" applyProtection="1">
      <alignment vertical="center" wrapText="1"/>
      <protection locked="0"/>
    </xf>
    <xf numFmtId="0" fontId="20" fillId="0" borderId="1" xfId="0" applyFont="1" applyBorder="1" applyAlignment="1">
      <alignment vertical="center" wrapText="1"/>
    </xf>
    <xf numFmtId="0" fontId="27" fillId="5" borderId="18" xfId="3"/>
    <xf numFmtId="0" fontId="27" fillId="0" borderId="0" xfId="3" applyFill="1" applyBorder="1"/>
    <xf numFmtId="0" fontId="18" fillId="3" borderId="0" xfId="2" applyFont="1" applyFill="1" applyAlignment="1">
      <alignment horizontal="center" wrapText="1"/>
    </xf>
    <xf numFmtId="0" fontId="27" fillId="4" borderId="18" xfId="3" applyFill="1"/>
    <xf numFmtId="0" fontId="22" fillId="4" borderId="15" xfId="2" applyFill="1" applyBorder="1"/>
    <xf numFmtId="0" fontId="18" fillId="4" borderId="1" xfId="2" applyFont="1" applyFill="1" applyBorder="1"/>
    <xf numFmtId="0" fontId="22" fillId="4" borderId="0" xfId="2" applyFill="1"/>
    <xf numFmtId="0" fontId="18" fillId="4" borderId="0" xfId="2" applyFont="1" applyFill="1" applyAlignment="1">
      <alignment wrapText="1"/>
    </xf>
    <xf numFmtId="0" fontId="18" fillId="4" borderId="0" xfId="2" applyFont="1" applyFill="1" applyAlignment="1">
      <alignment horizontal="center" wrapText="1"/>
    </xf>
    <xf numFmtId="1" fontId="22" fillId="4" borderId="16" xfId="2" applyNumberFormat="1" applyFill="1" applyBorder="1"/>
    <xf numFmtId="166" fontId="22" fillId="4" borderId="17" xfId="2" applyNumberFormat="1" applyFill="1" applyBorder="1"/>
    <xf numFmtId="0" fontId="23" fillId="4" borderId="0" xfId="2" applyFont="1" applyFill="1"/>
    <xf numFmtId="0" fontId="16" fillId="4" borderId="0" xfId="2" applyFont="1" applyFill="1"/>
    <xf numFmtId="1" fontId="24" fillId="4" borderId="0" xfId="2" applyNumberFormat="1" applyFont="1" applyFill="1"/>
    <xf numFmtId="1" fontId="24" fillId="4" borderId="0" xfId="2" applyNumberFormat="1" applyFont="1" applyFill="1" applyAlignment="1">
      <alignment horizontal="right"/>
    </xf>
    <xf numFmtId="166" fontId="24" fillId="4" borderId="0" xfId="2" applyNumberFormat="1" applyFont="1" applyFill="1"/>
    <xf numFmtId="0" fontId="16" fillId="4" borderId="0" xfId="2" applyFont="1" applyFill="1" applyAlignment="1">
      <alignment horizontal="left" vertical="center"/>
    </xf>
    <xf numFmtId="0" fontId="18" fillId="0" borderId="0" xfId="2" applyFont="1"/>
    <xf numFmtId="0" fontId="28" fillId="6" borderId="18" xfId="7"/>
    <xf numFmtId="1" fontId="28" fillId="6" borderId="18" xfId="7" applyNumberFormat="1"/>
    <xf numFmtId="4" fontId="0" fillId="0" borderId="2" xfId="0" applyNumberFormat="1" applyBorder="1" applyAlignment="1">
      <alignment horizontal="center" vertical="center" wrapText="1"/>
    </xf>
    <xf numFmtId="4" fontId="0" fillId="0" borderId="0" xfId="0" applyNumberFormat="1" applyAlignment="1">
      <alignment horizontal="center" vertical="center" wrapText="1"/>
    </xf>
    <xf numFmtId="167" fontId="0" fillId="0" borderId="2" xfId="1" applyNumberFormat="1" applyFont="1" applyFill="1" applyBorder="1" applyAlignment="1">
      <alignment horizontal="center" vertical="center" wrapText="1"/>
    </xf>
    <xf numFmtId="0" fontId="0" fillId="0" borderId="1" xfId="0" applyBorder="1" applyAlignment="1" applyProtection="1">
      <alignment horizontal="center" vertical="center" wrapText="1"/>
      <protection locked="0"/>
    </xf>
    <xf numFmtId="0" fontId="5" fillId="0" borderId="1" xfId="0" applyFont="1" applyBorder="1" applyAlignment="1" applyProtection="1">
      <alignment horizontal="center" vertical="top" wrapText="1"/>
      <protection locked="0"/>
    </xf>
    <xf numFmtId="4" fontId="0" fillId="0" borderId="1" xfId="0" applyNumberFormat="1" applyBorder="1" applyAlignment="1" applyProtection="1">
      <alignment horizontal="center" vertical="center" wrapText="1"/>
      <protection locked="0"/>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pplyProtection="1">
      <alignment horizontal="center" vertical="center" wrapText="1"/>
      <protection locked="0"/>
    </xf>
    <xf numFmtId="0" fontId="18" fillId="0" borderId="3" xfId="2" applyFont="1" applyBorder="1" applyAlignment="1">
      <alignment horizontal="center" wrapText="1"/>
    </xf>
    <xf numFmtId="0" fontId="18" fillId="0" borderId="1" xfId="2" applyFont="1" applyBorder="1" applyAlignment="1">
      <alignment horizontal="center" wrapText="1"/>
    </xf>
    <xf numFmtId="1" fontId="24" fillId="0" borderId="1" xfId="2" applyNumberFormat="1" applyFont="1" applyBorder="1" applyAlignment="1">
      <alignment horizontal="center"/>
    </xf>
    <xf numFmtId="0" fontId="22" fillId="0" borderId="0" xfId="2" applyAlignment="1">
      <alignment horizontal="center"/>
    </xf>
    <xf numFmtId="0" fontId="27" fillId="5" borderId="18" xfId="3" applyAlignment="1">
      <alignment horizontal="center" vertical="center" wrapText="1"/>
    </xf>
    <xf numFmtId="1" fontId="28" fillId="6" borderId="18" xfId="7" applyNumberFormat="1" applyAlignment="1">
      <alignment horizontal="center" vertical="center" wrapText="1"/>
    </xf>
    <xf numFmtId="0" fontId="28" fillId="6" borderId="18" xfId="7" applyAlignment="1">
      <alignment horizontal="center" vertical="center" wrapText="1"/>
    </xf>
    <xf numFmtId="0" fontId="28" fillId="6" borderId="18" xfId="7" applyNumberFormat="1" applyAlignment="1">
      <alignment horizontal="center" vertical="center" wrapText="1"/>
    </xf>
    <xf numFmtId="0" fontId="13" fillId="2" borderId="1" xfId="0" applyFont="1" applyFill="1" applyBorder="1" applyAlignment="1">
      <alignment horizontal="center" vertical="center" wrapText="1"/>
    </xf>
    <xf numFmtId="0" fontId="28" fillId="6" borderId="18" xfId="7" applyAlignment="1">
      <alignment horizontal="center" vertical="center"/>
    </xf>
    <xf numFmtId="0" fontId="7" fillId="0" borderId="1" xfId="0" applyFont="1" applyBorder="1" applyAlignment="1">
      <alignment vertical="center"/>
    </xf>
    <xf numFmtId="0" fontId="12" fillId="0" borderId="1" xfId="0" applyFont="1" applyBorder="1" applyAlignment="1">
      <alignment vertical="center" wrapText="1"/>
    </xf>
    <xf numFmtId="0" fontId="12" fillId="0" borderId="3" xfId="0" applyFont="1" applyBorder="1" applyAlignment="1">
      <alignment vertical="center" wrapText="1"/>
    </xf>
    <xf numFmtId="0" fontId="7" fillId="0" borderId="3" xfId="0" applyFont="1" applyBorder="1" applyAlignment="1">
      <alignment vertical="center" wrapText="1"/>
    </xf>
    <xf numFmtId="0" fontId="7" fillId="0" borderId="4" xfId="0" applyFont="1" applyBorder="1" applyAlignment="1">
      <alignment vertical="center" wrapText="1"/>
    </xf>
    <xf numFmtId="0" fontId="7" fillId="0" borderId="5" xfId="0" applyFont="1" applyBorder="1" applyAlignment="1">
      <alignment vertical="center" wrapText="1"/>
    </xf>
    <xf numFmtId="0" fontId="4" fillId="0" borderId="1" xfId="0" applyFont="1" applyBorder="1"/>
    <xf numFmtId="0" fontId="10" fillId="0" borderId="6" xfId="0" applyFont="1" applyBorder="1"/>
    <xf numFmtId="0" fontId="12" fillId="0" borderId="1" xfId="0" applyFont="1" applyBorder="1" applyAlignment="1">
      <alignment vertical="center"/>
    </xf>
    <xf numFmtId="1" fontId="27" fillId="5" borderId="18" xfId="3" applyNumberFormat="1" applyAlignment="1">
      <alignment horizontal="center" vertical="center" wrapText="1"/>
    </xf>
    <xf numFmtId="0" fontId="27" fillId="5" borderId="18" xfId="3" applyAlignment="1">
      <alignment horizontal="center"/>
    </xf>
    <xf numFmtId="1" fontId="27" fillId="5" borderId="1" xfId="3" applyNumberFormat="1" applyBorder="1" applyAlignment="1">
      <alignment horizontal="center" vertical="center" wrapText="1"/>
    </xf>
    <xf numFmtId="0" fontId="27" fillId="5" borderId="1" xfId="3" applyBorder="1" applyAlignment="1">
      <alignment horizontal="center" vertical="center" wrapText="1"/>
    </xf>
    <xf numFmtId="0" fontId="0" fillId="0" borderId="0" xfId="0" applyAlignment="1">
      <alignment horizontal="center" vertical="center" wrapText="1"/>
    </xf>
    <xf numFmtId="0" fontId="13" fillId="4" borderId="0" xfId="0" applyFont="1" applyFill="1"/>
    <xf numFmtId="0" fontId="27" fillId="5" borderId="18" xfId="3" applyAlignment="1">
      <alignment vertical="center" wrapText="1"/>
    </xf>
    <xf numFmtId="0" fontId="0" fillId="0" borderId="19" xfId="0" applyBorder="1"/>
    <xf numFmtId="0" fontId="0" fillId="4" borderId="0" xfId="0" applyFill="1"/>
    <xf numFmtId="0" fontId="29" fillId="4" borderId="0" xfId="0" applyFont="1" applyFill="1"/>
    <xf numFmtId="0" fontId="18" fillId="3" borderId="0" xfId="2" applyFont="1" applyFill="1" applyAlignment="1">
      <alignment horizontal="center" wrapText="1"/>
    </xf>
  </cellXfs>
  <cellStyles count="8">
    <cellStyle name="Calculation" xfId="7" builtinId="22"/>
    <cellStyle name="Currency" xfId="1" builtinId="4"/>
    <cellStyle name="Input" xfId="3" builtinId="20"/>
    <cellStyle name="Normal" xfId="0" builtinId="0"/>
    <cellStyle name="Normal 2" xfId="2" xr:uid="{00000000-0005-0000-0000-000004000000}"/>
    <cellStyle name="Normal 2 2" xfId="5" xr:uid="{00000000-0005-0000-0000-000005000000}"/>
    <cellStyle name="Normal 3" xfId="4" xr:uid="{00000000-0005-0000-0000-000006000000}"/>
    <cellStyle name="Normal 4" xfId="6" xr:uid="{00000000-0005-0000-0000-000007000000}"/>
  </cellStyles>
  <dxfs count="0"/>
  <tableStyles count="0" defaultTableStyle="TableStyleMedium2" defaultPivotStyle="PivotStyleLight16"/>
  <colors>
    <mruColors>
      <color rgb="FFFFFFCC"/>
      <color rgb="FFFFCCFF"/>
      <color rgb="FF85DF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0BOQ%20Log_Rev%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reholes"/>
      <sheetName val="Trial Pits"/>
      <sheetName val="Trenches"/>
      <sheetName val="Inspection pit"/>
      <sheetName val="Dynamic Sampling"/>
      <sheetName val="Soakaway (BRE)"/>
      <sheetName val="DPH"/>
      <sheetName val="CPT"/>
      <sheetName val="Lab Schedules"/>
      <sheetName val="TESTS"/>
      <sheetName val="Calculator"/>
    </sheetNames>
    <sheetDataSet>
      <sheetData sheetId="0">
        <row r="2">
          <cell r="B2"/>
          <cell r="C2"/>
          <cell r="D2"/>
          <cell r="G2"/>
          <cell r="BH2"/>
          <cell r="BI2"/>
          <cell r="BL2"/>
          <cell r="BM2"/>
          <cell r="BP2">
            <v>0</v>
          </cell>
        </row>
        <row r="3">
          <cell r="B3"/>
          <cell r="C3"/>
          <cell r="D3"/>
          <cell r="G3"/>
          <cell r="BH3"/>
          <cell r="BI3"/>
          <cell r="BL3"/>
          <cell r="BM3"/>
          <cell r="BP3">
            <v>0</v>
          </cell>
        </row>
        <row r="4">
          <cell r="B4"/>
          <cell r="C4"/>
          <cell r="D4"/>
          <cell r="G4"/>
          <cell r="BH4"/>
          <cell r="BI4"/>
          <cell r="BL4"/>
          <cell r="BM4"/>
          <cell r="BP4">
            <v>0</v>
          </cell>
        </row>
        <row r="5">
          <cell r="B5"/>
          <cell r="C5"/>
          <cell r="D5"/>
          <cell r="G5"/>
          <cell r="BH5"/>
          <cell r="BI5"/>
          <cell r="BL5"/>
          <cell r="BM5"/>
          <cell r="BP5">
            <v>0</v>
          </cell>
        </row>
        <row r="6">
          <cell r="B6"/>
          <cell r="C6"/>
          <cell r="D6"/>
          <cell r="G6"/>
          <cell r="BH6"/>
          <cell r="BI6"/>
          <cell r="BL6"/>
          <cell r="BM6"/>
          <cell r="BP6">
            <v>0</v>
          </cell>
        </row>
        <row r="7">
          <cell r="B7"/>
          <cell r="C7"/>
          <cell r="D7"/>
          <cell r="G7"/>
          <cell r="BH7"/>
          <cell r="BI7"/>
          <cell r="BL7"/>
          <cell r="BM7"/>
          <cell r="BP7">
            <v>0</v>
          </cell>
        </row>
        <row r="8">
          <cell r="B8"/>
          <cell r="C8"/>
          <cell r="D8"/>
          <cell r="G8"/>
          <cell r="BH8"/>
          <cell r="BI8"/>
          <cell r="BL8"/>
          <cell r="BM8"/>
          <cell r="BP8">
            <v>0</v>
          </cell>
        </row>
        <row r="9">
          <cell r="B9"/>
          <cell r="C9"/>
          <cell r="D9"/>
          <cell r="G9"/>
          <cell r="BH9"/>
          <cell r="BI9"/>
          <cell r="BL9"/>
          <cell r="BM9"/>
          <cell r="BP9">
            <v>0</v>
          </cell>
        </row>
        <row r="10">
          <cell r="B10"/>
          <cell r="C10"/>
          <cell r="D10"/>
          <cell r="G10"/>
          <cell r="BH10"/>
          <cell r="BI10"/>
          <cell r="BL10"/>
          <cell r="BM10"/>
          <cell r="BP10">
            <v>0</v>
          </cell>
        </row>
        <row r="11">
          <cell r="B11"/>
          <cell r="C11"/>
          <cell r="D11"/>
          <cell r="G11"/>
          <cell r="BH11"/>
          <cell r="BI11"/>
          <cell r="BL11"/>
          <cell r="BM11"/>
          <cell r="BP11">
            <v>0</v>
          </cell>
        </row>
        <row r="12">
          <cell r="B12"/>
          <cell r="C12"/>
          <cell r="D12"/>
          <cell r="G12"/>
          <cell r="BH12"/>
          <cell r="BI12"/>
          <cell r="BL12"/>
          <cell r="BM12"/>
          <cell r="BP12">
            <v>0</v>
          </cell>
        </row>
        <row r="13">
          <cell r="B13"/>
          <cell r="C13"/>
          <cell r="D13"/>
          <cell r="G13"/>
          <cell r="BH13"/>
          <cell r="BI13"/>
          <cell r="BL13"/>
          <cell r="BM13"/>
          <cell r="BP13">
            <v>0</v>
          </cell>
        </row>
        <row r="14">
          <cell r="B14"/>
          <cell r="C14"/>
          <cell r="D14"/>
          <cell r="G14"/>
          <cell r="BH14"/>
          <cell r="BI14"/>
          <cell r="BL14"/>
          <cell r="BM14"/>
          <cell r="BP14">
            <v>0</v>
          </cell>
        </row>
        <row r="15">
          <cell r="B15"/>
          <cell r="C15"/>
          <cell r="D15"/>
          <cell r="G15"/>
          <cell r="BH15"/>
          <cell r="BI15"/>
          <cell r="BL15"/>
          <cell r="BM15"/>
          <cell r="BP15">
            <v>0</v>
          </cell>
        </row>
        <row r="16">
          <cell r="B16"/>
          <cell r="C16"/>
          <cell r="D16"/>
          <cell r="G16"/>
          <cell r="BH16"/>
          <cell r="BI16"/>
          <cell r="BL16"/>
          <cell r="BM16"/>
          <cell r="BP16">
            <v>0</v>
          </cell>
        </row>
        <row r="17">
          <cell r="B17"/>
          <cell r="C17"/>
          <cell r="D17"/>
          <cell r="G17"/>
          <cell r="BH17"/>
          <cell r="BI17"/>
          <cell r="BL17"/>
          <cell r="BM17"/>
          <cell r="BP17">
            <v>0</v>
          </cell>
        </row>
        <row r="18">
          <cell r="B18"/>
          <cell r="C18"/>
          <cell r="D18"/>
          <cell r="G18"/>
          <cell r="BH18"/>
          <cell r="BI18"/>
          <cell r="BL18"/>
          <cell r="BM18"/>
          <cell r="BP18">
            <v>0</v>
          </cell>
        </row>
        <row r="19">
          <cell r="B19"/>
          <cell r="C19"/>
          <cell r="D19"/>
          <cell r="G19"/>
          <cell r="BH19"/>
          <cell r="BI19"/>
          <cell r="BL19"/>
          <cell r="BM19"/>
          <cell r="BP19">
            <v>0</v>
          </cell>
        </row>
        <row r="20">
          <cell r="B20"/>
          <cell r="C20"/>
          <cell r="D20"/>
          <cell r="G20"/>
          <cell r="BH20"/>
          <cell r="BI20"/>
          <cell r="BL20"/>
          <cell r="BM20"/>
          <cell r="BP20">
            <v>0</v>
          </cell>
        </row>
        <row r="21">
          <cell r="B21"/>
          <cell r="C21"/>
          <cell r="D21"/>
          <cell r="G21"/>
          <cell r="BH21"/>
          <cell r="BI21"/>
          <cell r="BL21"/>
          <cell r="BM21"/>
          <cell r="BP21">
            <v>0</v>
          </cell>
        </row>
        <row r="22">
          <cell r="B22"/>
          <cell r="C22"/>
          <cell r="D22"/>
          <cell r="G22"/>
          <cell r="BH22"/>
          <cell r="BI22"/>
          <cell r="BL22"/>
          <cell r="BM22"/>
          <cell r="BP22">
            <v>0</v>
          </cell>
        </row>
        <row r="23">
          <cell r="B23"/>
          <cell r="C23"/>
          <cell r="D23"/>
          <cell r="G23"/>
          <cell r="BH23"/>
          <cell r="BI23"/>
          <cell r="BL23"/>
          <cell r="BM23"/>
          <cell r="BP23">
            <v>0</v>
          </cell>
        </row>
        <row r="24">
          <cell r="B24"/>
          <cell r="C24"/>
          <cell r="D24"/>
          <cell r="G24"/>
          <cell r="BH24"/>
          <cell r="BI24"/>
          <cell r="BL24"/>
          <cell r="BM24"/>
          <cell r="BP24">
            <v>0</v>
          </cell>
        </row>
        <row r="25">
          <cell r="B25"/>
          <cell r="C25"/>
          <cell r="D25"/>
          <cell r="G25"/>
          <cell r="BH25"/>
          <cell r="BI25"/>
          <cell r="BL25"/>
          <cell r="BM25"/>
          <cell r="BP25">
            <v>0</v>
          </cell>
        </row>
        <row r="26">
          <cell r="B26"/>
          <cell r="C26"/>
          <cell r="D26"/>
          <cell r="G26"/>
          <cell r="BH26"/>
          <cell r="BI26"/>
          <cell r="BL26"/>
          <cell r="BM26"/>
          <cell r="BP26">
            <v>0</v>
          </cell>
        </row>
        <row r="27">
          <cell r="B27"/>
          <cell r="C27"/>
          <cell r="D27"/>
          <cell r="G27"/>
          <cell r="BH27"/>
          <cell r="BI27"/>
          <cell r="BL27"/>
          <cell r="BM27"/>
          <cell r="BP27">
            <v>0</v>
          </cell>
        </row>
        <row r="28">
          <cell r="B28"/>
          <cell r="C28"/>
          <cell r="D28"/>
          <cell r="G28"/>
          <cell r="BH28"/>
          <cell r="BI28"/>
          <cell r="BL28"/>
          <cell r="BM28"/>
          <cell r="BP28">
            <v>0</v>
          </cell>
        </row>
        <row r="29">
          <cell r="B29"/>
          <cell r="C29"/>
          <cell r="D29"/>
          <cell r="G29"/>
          <cell r="BH29"/>
          <cell r="BI29"/>
          <cell r="BL29"/>
          <cell r="BM29"/>
          <cell r="BP29">
            <v>0</v>
          </cell>
        </row>
        <row r="30">
          <cell r="B30"/>
          <cell r="C30"/>
          <cell r="D30"/>
          <cell r="G30"/>
          <cell r="BH30"/>
          <cell r="BI30"/>
          <cell r="BL30"/>
          <cell r="BM30"/>
          <cell r="BP30">
            <v>0</v>
          </cell>
        </row>
        <row r="31">
          <cell r="B31"/>
          <cell r="C31"/>
          <cell r="D31"/>
          <cell r="G31"/>
          <cell r="BH31"/>
          <cell r="BI31"/>
          <cell r="BL31"/>
          <cell r="BM31"/>
          <cell r="BP31">
            <v>0</v>
          </cell>
        </row>
        <row r="32">
          <cell r="B32"/>
          <cell r="C32"/>
          <cell r="D32"/>
          <cell r="G32"/>
          <cell r="BH32"/>
          <cell r="BI32"/>
          <cell r="BL32"/>
          <cell r="BM32"/>
          <cell r="BP32">
            <v>0</v>
          </cell>
        </row>
        <row r="33">
          <cell r="B33"/>
          <cell r="C33"/>
          <cell r="D33"/>
          <cell r="G33"/>
          <cell r="BH33"/>
          <cell r="BI33"/>
          <cell r="BL33"/>
          <cell r="BM33"/>
          <cell r="BP33">
            <v>0</v>
          </cell>
        </row>
        <row r="34">
          <cell r="B34"/>
          <cell r="C34"/>
          <cell r="D34"/>
          <cell r="G34"/>
          <cell r="BH34"/>
          <cell r="BI34"/>
          <cell r="BL34"/>
          <cell r="BM34"/>
          <cell r="BP34">
            <v>0</v>
          </cell>
        </row>
        <row r="35">
          <cell r="B35"/>
          <cell r="C35"/>
          <cell r="D35"/>
          <cell r="G35"/>
          <cell r="BH35"/>
          <cell r="BI35"/>
          <cell r="BL35"/>
          <cell r="BM35"/>
          <cell r="BP35">
            <v>0</v>
          </cell>
        </row>
        <row r="36">
          <cell r="B36"/>
          <cell r="C36"/>
          <cell r="D36"/>
          <cell r="G36"/>
          <cell r="BH36"/>
          <cell r="BI36"/>
          <cell r="BL36"/>
          <cell r="BM36"/>
          <cell r="BP36">
            <v>0</v>
          </cell>
        </row>
        <row r="37">
          <cell r="B37"/>
          <cell r="C37"/>
          <cell r="D37"/>
          <cell r="G37"/>
          <cell r="BH37"/>
          <cell r="BI37"/>
          <cell r="BL37"/>
          <cell r="BM37"/>
          <cell r="BP37">
            <v>0</v>
          </cell>
        </row>
        <row r="38">
          <cell r="B38"/>
          <cell r="C38"/>
          <cell r="D38"/>
          <cell r="G38"/>
          <cell r="BH38"/>
          <cell r="BI38"/>
          <cell r="BL38"/>
          <cell r="BM38"/>
          <cell r="BP38">
            <v>0</v>
          </cell>
        </row>
        <row r="39">
          <cell r="B39"/>
          <cell r="C39"/>
          <cell r="D39"/>
          <cell r="G39"/>
          <cell r="BH39"/>
          <cell r="BI39"/>
          <cell r="BL39"/>
          <cell r="BM39"/>
          <cell r="BP39">
            <v>0</v>
          </cell>
        </row>
        <row r="40">
          <cell r="B40"/>
          <cell r="C40"/>
          <cell r="D40"/>
          <cell r="G40"/>
          <cell r="BH40"/>
          <cell r="BI40"/>
          <cell r="BL40"/>
          <cell r="BM40"/>
          <cell r="BP40">
            <v>0</v>
          </cell>
        </row>
        <row r="41">
          <cell r="B41"/>
          <cell r="C41"/>
          <cell r="D41"/>
          <cell r="G41"/>
          <cell r="BH41"/>
          <cell r="BI41"/>
          <cell r="BL41"/>
          <cell r="BM41"/>
          <cell r="BP41">
            <v>0</v>
          </cell>
        </row>
        <row r="42">
          <cell r="B42"/>
          <cell r="C42"/>
          <cell r="D42"/>
          <cell r="G42"/>
          <cell r="BH42"/>
          <cell r="BI42"/>
          <cell r="BL42"/>
          <cell r="BM42"/>
          <cell r="BP42">
            <v>0</v>
          </cell>
        </row>
        <row r="43">
          <cell r="B43"/>
          <cell r="C43"/>
          <cell r="D43"/>
          <cell r="G43"/>
          <cell r="BH43"/>
          <cell r="BI43"/>
          <cell r="BL43"/>
          <cell r="BM43"/>
          <cell r="BP43">
            <v>0</v>
          </cell>
        </row>
        <row r="44">
          <cell r="B44"/>
          <cell r="C44"/>
          <cell r="D44"/>
          <cell r="G44"/>
          <cell r="BH44"/>
          <cell r="BI44"/>
          <cell r="BL44"/>
          <cell r="BM44"/>
          <cell r="BP44">
            <v>0</v>
          </cell>
        </row>
        <row r="45">
          <cell r="B45"/>
          <cell r="C45"/>
          <cell r="D45"/>
          <cell r="G45"/>
          <cell r="BH45"/>
          <cell r="BI45"/>
          <cell r="BL45"/>
          <cell r="BM45"/>
          <cell r="BP45">
            <v>0</v>
          </cell>
        </row>
        <row r="46">
          <cell r="B46"/>
          <cell r="C46"/>
          <cell r="D46"/>
          <cell r="G46"/>
          <cell r="BH46"/>
          <cell r="BI46"/>
          <cell r="BL46"/>
          <cell r="BM46"/>
          <cell r="BP46">
            <v>0</v>
          </cell>
        </row>
        <row r="47">
          <cell r="B47"/>
          <cell r="C47"/>
          <cell r="D47"/>
          <cell r="G47"/>
          <cell r="BH47"/>
          <cell r="BI47"/>
          <cell r="BL47"/>
          <cell r="BM47"/>
          <cell r="BP47">
            <v>0</v>
          </cell>
        </row>
        <row r="48">
          <cell r="B48"/>
          <cell r="C48"/>
          <cell r="D48"/>
          <cell r="G48"/>
          <cell r="BH48"/>
          <cell r="BI48"/>
          <cell r="BL48"/>
          <cell r="BM48"/>
          <cell r="BP48">
            <v>0</v>
          </cell>
        </row>
        <row r="49">
          <cell r="B49"/>
          <cell r="C49"/>
          <cell r="D49"/>
          <cell r="G49"/>
          <cell r="BH49"/>
          <cell r="BI49"/>
          <cell r="BL49"/>
          <cell r="BM49"/>
          <cell r="BP49">
            <v>0</v>
          </cell>
        </row>
        <row r="50">
          <cell r="B50"/>
          <cell r="C50"/>
          <cell r="D50"/>
          <cell r="G50"/>
          <cell r="BH50"/>
          <cell r="BI50"/>
          <cell r="BL50"/>
          <cell r="BM50"/>
          <cell r="BP50">
            <v>0</v>
          </cell>
        </row>
        <row r="51">
          <cell r="B51"/>
          <cell r="C51"/>
          <cell r="D51"/>
          <cell r="G51"/>
          <cell r="BH51"/>
          <cell r="BI51"/>
          <cell r="BL51"/>
          <cell r="BM51"/>
          <cell r="BP51">
            <v>0</v>
          </cell>
        </row>
        <row r="52">
          <cell r="B52"/>
          <cell r="C52"/>
          <cell r="D52"/>
          <cell r="G52"/>
          <cell r="BH52"/>
          <cell r="BI52"/>
          <cell r="BL52"/>
          <cell r="BM52"/>
          <cell r="BP52">
            <v>0</v>
          </cell>
        </row>
        <row r="53">
          <cell r="B53"/>
          <cell r="C53"/>
          <cell r="D53"/>
          <cell r="G53"/>
          <cell r="BH53"/>
          <cell r="BI53"/>
          <cell r="BL53"/>
          <cell r="BM53"/>
          <cell r="BP53">
            <v>0</v>
          </cell>
        </row>
        <row r="54">
          <cell r="B54"/>
          <cell r="C54"/>
          <cell r="D54"/>
          <cell r="G54"/>
          <cell r="BH54"/>
          <cell r="BI54"/>
          <cell r="BL54"/>
          <cell r="BM54"/>
          <cell r="BP54">
            <v>0</v>
          </cell>
        </row>
        <row r="55">
          <cell r="B55"/>
          <cell r="C55"/>
          <cell r="D55"/>
          <cell r="G55"/>
          <cell r="BH55"/>
          <cell r="BI55"/>
          <cell r="BL55"/>
          <cell r="BM55"/>
          <cell r="BP55">
            <v>0</v>
          </cell>
        </row>
        <row r="56">
          <cell r="B56"/>
          <cell r="C56"/>
          <cell r="D56"/>
          <cell r="G56"/>
          <cell r="BH56"/>
          <cell r="BI56"/>
          <cell r="BL56"/>
          <cell r="BM56"/>
          <cell r="BP56">
            <v>0</v>
          </cell>
        </row>
        <row r="57">
          <cell r="B57"/>
          <cell r="C57"/>
          <cell r="D57"/>
          <cell r="G57"/>
          <cell r="BH57"/>
          <cell r="BI57"/>
          <cell r="BL57"/>
          <cell r="BM57"/>
          <cell r="BP57">
            <v>0</v>
          </cell>
        </row>
        <row r="58">
          <cell r="B58"/>
          <cell r="C58"/>
          <cell r="D58"/>
          <cell r="G58"/>
          <cell r="BH58"/>
          <cell r="BI58"/>
          <cell r="BL58"/>
          <cell r="BM58"/>
          <cell r="BP58">
            <v>0</v>
          </cell>
        </row>
        <row r="59">
          <cell r="B59"/>
          <cell r="C59"/>
          <cell r="D59"/>
          <cell r="G59"/>
          <cell r="BH59"/>
          <cell r="BI59"/>
          <cell r="BL59"/>
          <cell r="BM59"/>
          <cell r="BP59">
            <v>0</v>
          </cell>
        </row>
        <row r="60">
          <cell r="B60"/>
          <cell r="C60"/>
          <cell r="D60"/>
          <cell r="G60"/>
          <cell r="BH60"/>
          <cell r="BI60"/>
          <cell r="BL60"/>
          <cell r="BM60"/>
          <cell r="BP60">
            <v>0</v>
          </cell>
        </row>
        <row r="61">
          <cell r="B61"/>
          <cell r="C61"/>
          <cell r="D61"/>
          <cell r="G61"/>
          <cell r="BH61"/>
          <cell r="BI61"/>
          <cell r="BL61"/>
          <cell r="BM61"/>
          <cell r="BP61">
            <v>0</v>
          </cell>
        </row>
        <row r="62">
          <cell r="B62"/>
          <cell r="C62"/>
          <cell r="D62"/>
          <cell r="G62"/>
          <cell r="BH62"/>
          <cell r="BI62"/>
          <cell r="BL62"/>
          <cell r="BM62"/>
          <cell r="BP62">
            <v>0</v>
          </cell>
        </row>
        <row r="63">
          <cell r="B63"/>
          <cell r="C63"/>
          <cell r="D63"/>
          <cell r="G63"/>
          <cell r="BH63"/>
          <cell r="BI63"/>
          <cell r="BL63"/>
          <cell r="BM63"/>
          <cell r="BP63">
            <v>0</v>
          </cell>
        </row>
        <row r="64">
          <cell r="B64"/>
          <cell r="C64"/>
          <cell r="D64"/>
          <cell r="G64"/>
          <cell r="BH64"/>
          <cell r="BI64"/>
          <cell r="BL64"/>
          <cell r="BM64"/>
          <cell r="BP64">
            <v>0</v>
          </cell>
        </row>
        <row r="65">
          <cell r="B65"/>
          <cell r="C65"/>
          <cell r="D65"/>
          <cell r="G65"/>
          <cell r="BH65"/>
          <cell r="BI65"/>
          <cell r="BL65"/>
          <cell r="BM65"/>
          <cell r="BP65">
            <v>0</v>
          </cell>
        </row>
        <row r="66">
          <cell r="B66"/>
          <cell r="C66"/>
          <cell r="D66"/>
          <cell r="G66"/>
          <cell r="BH66"/>
          <cell r="BI66"/>
          <cell r="BL66"/>
          <cell r="BM66"/>
          <cell r="BP66">
            <v>0</v>
          </cell>
        </row>
        <row r="67">
          <cell r="B67"/>
          <cell r="C67"/>
          <cell r="D67"/>
          <cell r="G67"/>
          <cell r="BH67"/>
          <cell r="BI67"/>
          <cell r="BL67"/>
          <cell r="BM67"/>
          <cell r="BP67">
            <v>0</v>
          </cell>
        </row>
        <row r="68">
          <cell r="B68"/>
          <cell r="C68"/>
          <cell r="D68"/>
          <cell r="G68"/>
          <cell r="BH68"/>
          <cell r="BI68"/>
          <cell r="BL68"/>
          <cell r="BM68"/>
          <cell r="BP68">
            <v>0</v>
          </cell>
        </row>
        <row r="69">
          <cell r="B69"/>
          <cell r="C69"/>
          <cell r="D69"/>
          <cell r="G69"/>
          <cell r="BH69"/>
          <cell r="BI69"/>
          <cell r="BL69"/>
          <cell r="BM69"/>
          <cell r="BP69">
            <v>0</v>
          </cell>
        </row>
        <row r="70">
          <cell r="B70"/>
          <cell r="C70"/>
          <cell r="D70"/>
          <cell r="G70"/>
          <cell r="BH70"/>
          <cell r="BI70"/>
          <cell r="BL70"/>
          <cell r="BM70"/>
          <cell r="BP70">
            <v>0</v>
          </cell>
        </row>
        <row r="71">
          <cell r="B71"/>
          <cell r="C71"/>
          <cell r="D71"/>
          <cell r="G71"/>
          <cell r="BH71"/>
          <cell r="BI71"/>
          <cell r="BL71"/>
          <cell r="BM71"/>
          <cell r="BP71">
            <v>0</v>
          </cell>
        </row>
        <row r="72">
          <cell r="B72"/>
          <cell r="C72"/>
          <cell r="D72"/>
          <cell r="G72"/>
          <cell r="BH72"/>
          <cell r="BI72"/>
          <cell r="BL72"/>
          <cell r="BM72"/>
          <cell r="BP72">
            <v>0</v>
          </cell>
        </row>
        <row r="73">
          <cell r="B73"/>
          <cell r="C73"/>
          <cell r="D73"/>
          <cell r="G73"/>
          <cell r="BH73"/>
          <cell r="BI73"/>
          <cell r="BL73"/>
          <cell r="BM73"/>
          <cell r="BP73">
            <v>0</v>
          </cell>
        </row>
        <row r="74">
          <cell r="B74"/>
          <cell r="C74"/>
          <cell r="D74"/>
          <cell r="G74"/>
          <cell r="BH74"/>
          <cell r="BI74"/>
          <cell r="BL74"/>
          <cell r="BM74"/>
          <cell r="BP74">
            <v>0</v>
          </cell>
        </row>
        <row r="75">
          <cell r="B75"/>
          <cell r="C75"/>
          <cell r="D75"/>
          <cell r="G75"/>
          <cell r="BH75"/>
          <cell r="BI75"/>
          <cell r="BL75"/>
          <cell r="BM75"/>
          <cell r="BP75">
            <v>0</v>
          </cell>
        </row>
        <row r="76">
          <cell r="B76"/>
          <cell r="C76"/>
          <cell r="D76"/>
          <cell r="G76"/>
          <cell r="BH76"/>
          <cell r="BI76"/>
          <cell r="BL76"/>
          <cell r="BM76"/>
          <cell r="BP76">
            <v>0</v>
          </cell>
        </row>
        <row r="77">
          <cell r="B77"/>
          <cell r="C77"/>
          <cell r="D77"/>
          <cell r="G77"/>
          <cell r="BH77"/>
          <cell r="BI77"/>
          <cell r="BL77"/>
          <cell r="BM77"/>
          <cell r="BP77">
            <v>0</v>
          </cell>
        </row>
        <row r="78">
          <cell r="B78"/>
          <cell r="C78"/>
          <cell r="D78"/>
          <cell r="G78"/>
          <cell r="BH78"/>
          <cell r="BI78"/>
          <cell r="BL78"/>
          <cell r="BM78"/>
          <cell r="BP78">
            <v>0</v>
          </cell>
        </row>
        <row r="79">
          <cell r="B79"/>
          <cell r="C79"/>
          <cell r="D79"/>
          <cell r="G79"/>
          <cell r="BH79"/>
          <cell r="BI79"/>
          <cell r="BL79"/>
          <cell r="BM79"/>
          <cell r="BP79">
            <v>0</v>
          </cell>
        </row>
        <row r="80">
          <cell r="B80"/>
          <cell r="C80"/>
          <cell r="D80"/>
          <cell r="G80"/>
          <cell r="BH80"/>
          <cell r="BI80"/>
          <cell r="BL80"/>
          <cell r="BM80"/>
          <cell r="BP80">
            <v>0</v>
          </cell>
        </row>
        <row r="81">
          <cell r="B81"/>
          <cell r="C81"/>
          <cell r="D81"/>
          <cell r="G81"/>
          <cell r="BH81"/>
          <cell r="BI81"/>
          <cell r="BL81"/>
          <cell r="BM81"/>
          <cell r="BP81">
            <v>0</v>
          </cell>
        </row>
        <row r="82">
          <cell r="B82"/>
          <cell r="C82"/>
          <cell r="D82"/>
          <cell r="G82"/>
          <cell r="BH82"/>
          <cell r="BI82"/>
          <cell r="BL82"/>
          <cell r="BM82"/>
          <cell r="BP82">
            <v>0</v>
          </cell>
        </row>
        <row r="83">
          <cell r="B83"/>
          <cell r="C83"/>
          <cell r="D83"/>
          <cell r="G83"/>
          <cell r="BH83"/>
          <cell r="BI83"/>
          <cell r="BL83"/>
          <cell r="BM83"/>
          <cell r="BP83">
            <v>0</v>
          </cell>
        </row>
        <row r="84">
          <cell r="B84"/>
          <cell r="C84"/>
          <cell r="D84"/>
          <cell r="G84"/>
          <cell r="BH84"/>
          <cell r="BI84"/>
          <cell r="BL84"/>
          <cell r="BM84"/>
          <cell r="BP84">
            <v>0</v>
          </cell>
        </row>
        <row r="85">
          <cell r="B85"/>
          <cell r="C85"/>
          <cell r="D85"/>
          <cell r="G85"/>
          <cell r="BH85"/>
          <cell r="BI85"/>
          <cell r="BL85"/>
          <cell r="BM85"/>
          <cell r="BP85">
            <v>0</v>
          </cell>
        </row>
        <row r="86">
          <cell r="B86"/>
          <cell r="C86"/>
          <cell r="D86"/>
          <cell r="G86"/>
          <cell r="BH86"/>
          <cell r="BI86"/>
          <cell r="BL86"/>
          <cell r="BM86"/>
          <cell r="BP86">
            <v>0</v>
          </cell>
        </row>
        <row r="87">
          <cell r="B87"/>
          <cell r="C87"/>
          <cell r="D87"/>
          <cell r="G87"/>
          <cell r="BH87"/>
          <cell r="BI87"/>
          <cell r="BL87"/>
          <cell r="BM87"/>
          <cell r="BP87">
            <v>0</v>
          </cell>
        </row>
        <row r="88">
          <cell r="B88"/>
          <cell r="C88"/>
          <cell r="D88"/>
          <cell r="G88"/>
          <cell r="BH88"/>
          <cell r="BI88"/>
          <cell r="BL88"/>
          <cell r="BM88"/>
          <cell r="BP88">
            <v>0</v>
          </cell>
        </row>
        <row r="89">
          <cell r="B89"/>
          <cell r="C89"/>
          <cell r="D89"/>
          <cell r="G89"/>
          <cell r="BH89"/>
          <cell r="BI89"/>
          <cell r="BL89"/>
          <cell r="BM89"/>
          <cell r="BP89">
            <v>0</v>
          </cell>
        </row>
        <row r="90">
          <cell r="B90"/>
          <cell r="C90"/>
          <cell r="D90"/>
          <cell r="G90"/>
          <cell r="BH90"/>
          <cell r="BI90"/>
          <cell r="BL90"/>
          <cell r="BM90"/>
          <cell r="BP90">
            <v>0</v>
          </cell>
        </row>
        <row r="91">
          <cell r="B91"/>
          <cell r="C91"/>
          <cell r="D91"/>
          <cell r="G91"/>
          <cell r="BH91"/>
          <cell r="BI91"/>
          <cell r="BL91"/>
          <cell r="BM91"/>
          <cell r="BP91">
            <v>0</v>
          </cell>
        </row>
        <row r="92">
          <cell r="E92">
            <v>0</v>
          </cell>
          <cell r="K92">
            <v>0</v>
          </cell>
          <cell r="N92">
            <v>0</v>
          </cell>
          <cell r="O92">
            <v>0</v>
          </cell>
          <cell r="P92">
            <v>0</v>
          </cell>
          <cell r="Q92">
            <v>0</v>
          </cell>
          <cell r="W92">
            <v>0</v>
          </cell>
          <cell r="X92">
            <v>0</v>
          </cell>
          <cell r="Y92">
            <v>0</v>
          </cell>
          <cell r="Z92">
            <v>0</v>
          </cell>
          <cell r="AG92">
            <v>0</v>
          </cell>
          <cell r="AH92">
            <v>0</v>
          </cell>
          <cell r="AI92">
            <v>0</v>
          </cell>
          <cell r="AJ92">
            <v>0</v>
          </cell>
          <cell r="AQ92">
            <v>0</v>
          </cell>
          <cell r="AR92">
            <v>0</v>
          </cell>
          <cell r="AS92">
            <v>0</v>
          </cell>
          <cell r="AT92">
            <v>0</v>
          </cell>
          <cell r="BA92">
            <v>0</v>
          </cell>
          <cell r="BB92">
            <v>0</v>
          </cell>
          <cell r="BC92">
            <v>0</v>
          </cell>
          <cell r="BD92">
            <v>0</v>
          </cell>
          <cell r="BJ92">
            <v>0</v>
          </cell>
          <cell r="BM92">
            <v>0</v>
          </cell>
          <cell r="BN92">
            <v>0</v>
          </cell>
        </row>
      </sheetData>
      <sheetData sheetId="1">
        <row r="2">
          <cell r="B2"/>
          <cell r="C2"/>
          <cell r="D2"/>
          <cell r="E2"/>
          <cell r="F2"/>
          <cell r="J2"/>
          <cell r="O2">
            <v>0</v>
          </cell>
          <cell r="P2">
            <v>0</v>
          </cell>
          <cell r="R2">
            <v>0</v>
          </cell>
          <cell r="T2">
            <v>0</v>
          </cell>
        </row>
        <row r="3">
          <cell r="B3"/>
          <cell r="C3"/>
          <cell r="D3"/>
          <cell r="E3"/>
          <cell r="F3"/>
          <cell r="J3"/>
          <cell r="O3">
            <v>0</v>
          </cell>
          <cell r="P3">
            <v>0</v>
          </cell>
          <cell r="R3">
            <v>0</v>
          </cell>
          <cell r="T3">
            <v>0</v>
          </cell>
        </row>
        <row r="4">
          <cell r="B4"/>
          <cell r="C4"/>
          <cell r="D4"/>
          <cell r="E4"/>
          <cell r="F4"/>
          <cell r="J4"/>
          <cell r="O4">
            <v>0</v>
          </cell>
          <cell r="P4">
            <v>0</v>
          </cell>
          <cell r="R4">
            <v>0</v>
          </cell>
          <cell r="T4">
            <v>0</v>
          </cell>
        </row>
        <row r="5">
          <cell r="B5"/>
          <cell r="C5"/>
          <cell r="D5"/>
          <cell r="E5"/>
          <cell r="F5"/>
          <cell r="J5"/>
          <cell r="O5">
            <v>0</v>
          </cell>
          <cell r="P5">
            <v>0</v>
          </cell>
          <cell r="R5">
            <v>0</v>
          </cell>
          <cell r="T5">
            <v>0</v>
          </cell>
        </row>
        <row r="6">
          <cell r="B6"/>
          <cell r="C6"/>
          <cell r="D6"/>
          <cell r="E6"/>
          <cell r="F6"/>
          <cell r="J6"/>
          <cell r="O6">
            <v>0</v>
          </cell>
          <cell r="P6">
            <v>0</v>
          </cell>
          <cell r="R6">
            <v>0</v>
          </cell>
          <cell r="T6">
            <v>0</v>
          </cell>
        </row>
        <row r="7">
          <cell r="B7"/>
          <cell r="C7"/>
          <cell r="D7"/>
          <cell r="E7"/>
          <cell r="F7"/>
          <cell r="J7"/>
          <cell r="O7">
            <v>0</v>
          </cell>
          <cell r="P7">
            <v>0</v>
          </cell>
          <cell r="R7">
            <v>0</v>
          </cell>
          <cell r="T7">
            <v>0</v>
          </cell>
        </row>
        <row r="8">
          <cell r="B8"/>
          <cell r="C8"/>
          <cell r="D8"/>
          <cell r="E8"/>
          <cell r="F8"/>
          <cell r="J8"/>
          <cell r="O8">
            <v>0</v>
          </cell>
          <cell r="P8">
            <v>0</v>
          </cell>
          <cell r="R8">
            <v>0</v>
          </cell>
          <cell r="T8">
            <v>0</v>
          </cell>
        </row>
        <row r="9">
          <cell r="B9"/>
          <cell r="C9"/>
          <cell r="D9"/>
          <cell r="E9"/>
          <cell r="F9"/>
          <cell r="J9"/>
          <cell r="O9">
            <v>0</v>
          </cell>
          <cell r="P9">
            <v>0</v>
          </cell>
          <cell r="R9">
            <v>0</v>
          </cell>
          <cell r="T9">
            <v>0</v>
          </cell>
        </row>
        <row r="10">
          <cell r="B10"/>
          <cell r="C10"/>
          <cell r="D10"/>
          <cell r="E10"/>
          <cell r="F10"/>
          <cell r="J10"/>
          <cell r="O10">
            <v>0</v>
          </cell>
          <cell r="P10">
            <v>0</v>
          </cell>
          <cell r="R10">
            <v>0</v>
          </cell>
          <cell r="T10">
            <v>0</v>
          </cell>
        </row>
        <row r="11">
          <cell r="B11"/>
          <cell r="C11"/>
          <cell r="D11"/>
          <cell r="E11"/>
          <cell r="F11"/>
          <cell r="J11"/>
          <cell r="O11">
            <v>0</v>
          </cell>
          <cell r="P11">
            <v>0</v>
          </cell>
          <cell r="R11">
            <v>0</v>
          </cell>
          <cell r="T11">
            <v>0</v>
          </cell>
        </row>
        <row r="12">
          <cell r="B12"/>
          <cell r="C12"/>
          <cell r="D12"/>
          <cell r="E12"/>
          <cell r="F12"/>
          <cell r="J12"/>
          <cell r="O12">
            <v>0</v>
          </cell>
          <cell r="P12">
            <v>0</v>
          </cell>
          <cell r="R12">
            <v>0</v>
          </cell>
          <cell r="T12">
            <v>0</v>
          </cell>
        </row>
        <row r="13">
          <cell r="B13"/>
          <cell r="C13"/>
          <cell r="D13"/>
          <cell r="E13"/>
          <cell r="F13"/>
          <cell r="J13"/>
          <cell r="O13">
            <v>0</v>
          </cell>
          <cell r="P13">
            <v>0</v>
          </cell>
          <cell r="R13">
            <v>0</v>
          </cell>
          <cell r="T13">
            <v>0</v>
          </cell>
        </row>
        <row r="14">
          <cell r="B14"/>
          <cell r="C14"/>
          <cell r="D14"/>
          <cell r="E14"/>
          <cell r="F14"/>
          <cell r="J14"/>
          <cell r="O14">
            <v>0</v>
          </cell>
          <cell r="P14">
            <v>0</v>
          </cell>
          <cell r="R14">
            <v>0</v>
          </cell>
          <cell r="T14">
            <v>0</v>
          </cell>
        </row>
        <row r="15">
          <cell r="B15"/>
          <cell r="C15"/>
          <cell r="D15"/>
          <cell r="E15"/>
          <cell r="F15"/>
          <cell r="J15"/>
          <cell r="O15">
            <v>0</v>
          </cell>
          <cell r="P15">
            <v>0</v>
          </cell>
          <cell r="R15">
            <v>0</v>
          </cell>
          <cell r="T15">
            <v>0</v>
          </cell>
        </row>
        <row r="16">
          <cell r="B16"/>
          <cell r="C16"/>
          <cell r="D16"/>
          <cell r="E16"/>
          <cell r="F16"/>
          <cell r="J16"/>
          <cell r="O16">
            <v>0</v>
          </cell>
          <cell r="P16">
            <v>0</v>
          </cell>
          <cell r="R16">
            <v>0</v>
          </cell>
          <cell r="T16">
            <v>0</v>
          </cell>
        </row>
        <row r="17">
          <cell r="B17"/>
          <cell r="C17"/>
          <cell r="D17"/>
          <cell r="E17"/>
          <cell r="F17"/>
          <cell r="J17"/>
          <cell r="O17">
            <v>0</v>
          </cell>
          <cell r="P17">
            <v>0</v>
          </cell>
          <cell r="R17">
            <v>0</v>
          </cell>
          <cell r="T17">
            <v>0</v>
          </cell>
        </row>
        <row r="18">
          <cell r="B18"/>
          <cell r="C18"/>
          <cell r="D18"/>
          <cell r="E18"/>
          <cell r="F18"/>
          <cell r="J18"/>
          <cell r="O18">
            <v>0</v>
          </cell>
          <cell r="P18">
            <v>0</v>
          </cell>
          <cell r="R18">
            <v>0</v>
          </cell>
          <cell r="T18">
            <v>0</v>
          </cell>
        </row>
        <row r="19">
          <cell r="B19"/>
          <cell r="C19"/>
          <cell r="D19"/>
          <cell r="E19"/>
          <cell r="F19"/>
          <cell r="J19"/>
          <cell r="O19">
            <v>0</v>
          </cell>
          <cell r="P19">
            <v>0</v>
          </cell>
          <cell r="R19">
            <v>0</v>
          </cell>
          <cell r="T19">
            <v>0</v>
          </cell>
        </row>
        <row r="20">
          <cell r="B20"/>
          <cell r="C20"/>
          <cell r="D20"/>
          <cell r="E20"/>
          <cell r="F20"/>
          <cell r="J20"/>
          <cell r="O20">
            <v>0</v>
          </cell>
          <cell r="P20">
            <v>0</v>
          </cell>
          <cell r="R20">
            <v>0</v>
          </cell>
          <cell r="T20">
            <v>0</v>
          </cell>
        </row>
        <row r="21">
          <cell r="B21"/>
          <cell r="C21"/>
          <cell r="D21"/>
          <cell r="E21"/>
          <cell r="F21"/>
          <cell r="J21"/>
          <cell r="O21">
            <v>0</v>
          </cell>
          <cell r="P21">
            <v>0</v>
          </cell>
          <cell r="R21">
            <v>0</v>
          </cell>
          <cell r="T21">
            <v>0</v>
          </cell>
        </row>
        <row r="22">
          <cell r="B22"/>
          <cell r="C22"/>
          <cell r="D22"/>
          <cell r="E22"/>
          <cell r="F22"/>
          <cell r="J22"/>
          <cell r="O22">
            <v>0</v>
          </cell>
          <cell r="P22">
            <v>0</v>
          </cell>
          <cell r="R22">
            <v>0</v>
          </cell>
          <cell r="T22">
            <v>0</v>
          </cell>
        </row>
        <row r="23">
          <cell r="B23"/>
          <cell r="C23"/>
          <cell r="D23"/>
          <cell r="E23"/>
          <cell r="F23"/>
          <cell r="J23"/>
          <cell r="O23">
            <v>0</v>
          </cell>
          <cell r="P23">
            <v>0</v>
          </cell>
          <cell r="R23">
            <v>0</v>
          </cell>
          <cell r="T23">
            <v>0</v>
          </cell>
        </row>
        <row r="24">
          <cell r="B24"/>
          <cell r="C24"/>
          <cell r="D24"/>
          <cell r="E24"/>
          <cell r="F24"/>
          <cell r="J24"/>
          <cell r="O24">
            <v>0</v>
          </cell>
          <cell r="P24">
            <v>0</v>
          </cell>
          <cell r="R24">
            <v>0</v>
          </cell>
          <cell r="T24">
            <v>0</v>
          </cell>
        </row>
        <row r="25">
          <cell r="B25"/>
          <cell r="C25"/>
          <cell r="D25"/>
          <cell r="E25"/>
          <cell r="F25"/>
          <cell r="J25"/>
          <cell r="O25">
            <v>0</v>
          </cell>
          <cell r="P25">
            <v>0</v>
          </cell>
          <cell r="R25">
            <v>0</v>
          </cell>
          <cell r="T25">
            <v>0</v>
          </cell>
        </row>
        <row r="26">
          <cell r="B26"/>
          <cell r="C26"/>
          <cell r="D26"/>
          <cell r="E26"/>
          <cell r="F26"/>
          <cell r="J26"/>
          <cell r="O26">
            <v>0</v>
          </cell>
          <cell r="P26">
            <v>0</v>
          </cell>
          <cell r="R26">
            <v>0</v>
          </cell>
          <cell r="T26">
            <v>0</v>
          </cell>
        </row>
        <row r="27">
          <cell r="B27"/>
          <cell r="C27"/>
          <cell r="D27"/>
          <cell r="E27"/>
          <cell r="F27"/>
          <cell r="J27"/>
          <cell r="O27">
            <v>0</v>
          </cell>
          <cell r="P27">
            <v>0</v>
          </cell>
          <cell r="R27">
            <v>0</v>
          </cell>
          <cell r="T27">
            <v>0</v>
          </cell>
        </row>
        <row r="28">
          <cell r="B28"/>
          <cell r="C28"/>
          <cell r="D28"/>
          <cell r="E28"/>
          <cell r="F28"/>
          <cell r="J28"/>
          <cell r="O28">
            <v>0</v>
          </cell>
          <cell r="P28">
            <v>0</v>
          </cell>
          <cell r="R28">
            <v>0</v>
          </cell>
          <cell r="T28">
            <v>0</v>
          </cell>
        </row>
        <row r="29">
          <cell r="B29"/>
          <cell r="C29"/>
          <cell r="D29"/>
          <cell r="E29"/>
          <cell r="F29"/>
          <cell r="J29"/>
          <cell r="O29">
            <v>0</v>
          </cell>
          <cell r="P29">
            <v>0</v>
          </cell>
          <cell r="R29">
            <v>0</v>
          </cell>
          <cell r="T29">
            <v>0</v>
          </cell>
        </row>
        <row r="30">
          <cell r="B30"/>
          <cell r="C30"/>
          <cell r="D30"/>
          <cell r="E30"/>
          <cell r="F30"/>
          <cell r="J30"/>
          <cell r="O30">
            <v>0</v>
          </cell>
          <cell r="P30">
            <v>0</v>
          </cell>
          <cell r="R30">
            <v>0</v>
          </cell>
          <cell r="T30">
            <v>0</v>
          </cell>
        </row>
        <row r="31">
          <cell r="B31"/>
          <cell r="C31"/>
          <cell r="D31"/>
          <cell r="E31"/>
          <cell r="F31"/>
          <cell r="J31"/>
          <cell r="O31">
            <v>0</v>
          </cell>
          <cell r="P31">
            <v>0</v>
          </cell>
          <cell r="R31">
            <v>0</v>
          </cell>
          <cell r="T31">
            <v>0</v>
          </cell>
        </row>
        <row r="32">
          <cell r="B32"/>
          <cell r="C32"/>
          <cell r="D32"/>
          <cell r="E32"/>
          <cell r="F32"/>
          <cell r="J32"/>
          <cell r="O32">
            <v>0</v>
          </cell>
          <cell r="P32">
            <v>0</v>
          </cell>
          <cell r="R32">
            <v>0</v>
          </cell>
          <cell r="T32">
            <v>0</v>
          </cell>
        </row>
        <row r="33">
          <cell r="B33"/>
          <cell r="C33"/>
          <cell r="D33"/>
          <cell r="E33"/>
          <cell r="F33"/>
          <cell r="J33"/>
          <cell r="O33">
            <v>0</v>
          </cell>
          <cell r="P33">
            <v>0</v>
          </cell>
          <cell r="R33">
            <v>0</v>
          </cell>
          <cell r="T33">
            <v>0</v>
          </cell>
        </row>
        <row r="34">
          <cell r="B34"/>
          <cell r="C34"/>
          <cell r="D34"/>
          <cell r="E34"/>
          <cell r="F34"/>
          <cell r="J34"/>
          <cell r="O34">
            <v>0</v>
          </cell>
          <cell r="P34">
            <v>0</v>
          </cell>
          <cell r="R34">
            <v>0</v>
          </cell>
          <cell r="T34">
            <v>0</v>
          </cell>
        </row>
        <row r="35">
          <cell r="B35"/>
          <cell r="C35"/>
          <cell r="D35"/>
          <cell r="E35"/>
          <cell r="F35"/>
          <cell r="J35"/>
          <cell r="O35">
            <v>0</v>
          </cell>
          <cell r="P35">
            <v>0</v>
          </cell>
          <cell r="R35">
            <v>0</v>
          </cell>
          <cell r="T35">
            <v>0</v>
          </cell>
        </row>
        <row r="36">
          <cell r="B36"/>
          <cell r="C36"/>
          <cell r="D36"/>
          <cell r="E36"/>
          <cell r="F36"/>
          <cell r="J36"/>
          <cell r="O36">
            <v>0</v>
          </cell>
          <cell r="P36">
            <v>0</v>
          </cell>
          <cell r="R36">
            <v>0</v>
          </cell>
          <cell r="T36">
            <v>0</v>
          </cell>
        </row>
        <row r="37">
          <cell r="B37"/>
          <cell r="C37"/>
          <cell r="D37"/>
          <cell r="E37"/>
          <cell r="F37"/>
          <cell r="J37"/>
          <cell r="O37">
            <v>0</v>
          </cell>
          <cell r="P37">
            <v>0</v>
          </cell>
          <cell r="R37">
            <v>0</v>
          </cell>
          <cell r="T37">
            <v>0</v>
          </cell>
        </row>
        <row r="38">
          <cell r="B38"/>
          <cell r="C38"/>
          <cell r="D38"/>
          <cell r="E38"/>
          <cell r="F38"/>
          <cell r="J38"/>
          <cell r="O38">
            <v>0</v>
          </cell>
          <cell r="P38">
            <v>0</v>
          </cell>
          <cell r="R38">
            <v>0</v>
          </cell>
          <cell r="T38">
            <v>0</v>
          </cell>
        </row>
        <row r="39">
          <cell r="B39"/>
          <cell r="C39"/>
          <cell r="D39"/>
          <cell r="E39"/>
          <cell r="F39"/>
          <cell r="J39"/>
          <cell r="O39">
            <v>0</v>
          </cell>
          <cell r="P39">
            <v>0</v>
          </cell>
          <cell r="R39">
            <v>0</v>
          </cell>
          <cell r="T39">
            <v>0</v>
          </cell>
        </row>
        <row r="40">
          <cell r="B40"/>
          <cell r="C40"/>
          <cell r="D40"/>
          <cell r="E40"/>
          <cell r="F40"/>
          <cell r="J40"/>
          <cell r="O40">
            <v>0</v>
          </cell>
          <cell r="P40">
            <v>0</v>
          </cell>
          <cell r="R40">
            <v>0</v>
          </cell>
          <cell r="T40">
            <v>0</v>
          </cell>
        </row>
        <row r="41">
          <cell r="B41"/>
          <cell r="C41"/>
          <cell r="D41"/>
          <cell r="E41"/>
          <cell r="F41"/>
          <cell r="J41"/>
          <cell r="O41">
            <v>0</v>
          </cell>
          <cell r="P41">
            <v>0</v>
          </cell>
          <cell r="R41">
            <v>0</v>
          </cell>
          <cell r="T41">
            <v>0</v>
          </cell>
        </row>
        <row r="42">
          <cell r="B42"/>
          <cell r="C42"/>
          <cell r="D42"/>
          <cell r="E42"/>
          <cell r="F42"/>
          <cell r="J42"/>
          <cell r="O42">
            <v>0</v>
          </cell>
          <cell r="P42">
            <v>0</v>
          </cell>
          <cell r="R42">
            <v>0</v>
          </cell>
          <cell r="T42">
            <v>0</v>
          </cell>
        </row>
        <row r="43">
          <cell r="B43"/>
          <cell r="C43"/>
          <cell r="D43"/>
          <cell r="E43"/>
          <cell r="F43"/>
          <cell r="J43"/>
          <cell r="O43">
            <v>0</v>
          </cell>
          <cell r="P43">
            <v>0</v>
          </cell>
          <cell r="R43">
            <v>0</v>
          </cell>
          <cell r="T43">
            <v>0</v>
          </cell>
        </row>
        <row r="44">
          <cell r="B44"/>
          <cell r="C44"/>
          <cell r="D44"/>
          <cell r="E44"/>
          <cell r="F44"/>
          <cell r="J44"/>
          <cell r="O44">
            <v>0</v>
          </cell>
          <cell r="P44">
            <v>0</v>
          </cell>
          <cell r="R44">
            <v>0</v>
          </cell>
          <cell r="T44">
            <v>0</v>
          </cell>
        </row>
        <row r="45">
          <cell r="B45"/>
          <cell r="C45"/>
          <cell r="D45"/>
          <cell r="E45"/>
          <cell r="F45"/>
          <cell r="J45"/>
          <cell r="O45">
            <v>0</v>
          </cell>
          <cell r="P45">
            <v>0</v>
          </cell>
          <cell r="R45">
            <v>0</v>
          </cell>
          <cell r="T45">
            <v>0</v>
          </cell>
        </row>
        <row r="46">
          <cell r="B46"/>
          <cell r="C46"/>
          <cell r="D46"/>
          <cell r="E46"/>
          <cell r="F46"/>
          <cell r="J46"/>
          <cell r="O46">
            <v>0</v>
          </cell>
          <cell r="P46">
            <v>0</v>
          </cell>
          <cell r="R46">
            <v>0</v>
          </cell>
          <cell r="T46">
            <v>0</v>
          </cell>
        </row>
        <row r="47">
          <cell r="B47"/>
          <cell r="C47"/>
          <cell r="D47"/>
          <cell r="E47"/>
          <cell r="F47"/>
          <cell r="J47"/>
          <cell r="O47">
            <v>0</v>
          </cell>
          <cell r="P47">
            <v>0</v>
          </cell>
          <cell r="R47">
            <v>0</v>
          </cell>
          <cell r="T47">
            <v>0</v>
          </cell>
        </row>
        <row r="48">
          <cell r="B48"/>
          <cell r="C48"/>
          <cell r="D48"/>
          <cell r="E48"/>
          <cell r="F48"/>
          <cell r="J48"/>
          <cell r="O48">
            <v>0</v>
          </cell>
          <cell r="P48">
            <v>0</v>
          </cell>
          <cell r="R48">
            <v>0</v>
          </cell>
          <cell r="T48">
            <v>0</v>
          </cell>
        </row>
        <row r="49">
          <cell r="B49"/>
          <cell r="C49"/>
          <cell r="D49"/>
          <cell r="E49"/>
          <cell r="F49"/>
          <cell r="J49"/>
          <cell r="O49">
            <v>0</v>
          </cell>
          <cell r="P49">
            <v>0</v>
          </cell>
          <cell r="R49">
            <v>0</v>
          </cell>
          <cell r="T49">
            <v>0</v>
          </cell>
        </row>
        <row r="50">
          <cell r="B50"/>
          <cell r="C50"/>
          <cell r="D50"/>
          <cell r="E50"/>
          <cell r="F50"/>
          <cell r="J50"/>
          <cell r="O50">
            <v>0</v>
          </cell>
          <cell r="P50">
            <v>0</v>
          </cell>
          <cell r="R50">
            <v>0</v>
          </cell>
          <cell r="T50">
            <v>0</v>
          </cell>
        </row>
        <row r="51">
          <cell r="B51"/>
          <cell r="C51"/>
          <cell r="D51"/>
          <cell r="E51"/>
          <cell r="F51"/>
          <cell r="J51"/>
          <cell r="O51">
            <v>0</v>
          </cell>
          <cell r="P51">
            <v>0</v>
          </cell>
          <cell r="R51">
            <v>0</v>
          </cell>
          <cell r="T51">
            <v>0</v>
          </cell>
        </row>
        <row r="52">
          <cell r="B52"/>
          <cell r="C52"/>
          <cell r="D52"/>
          <cell r="E52"/>
          <cell r="F52"/>
          <cell r="J52"/>
          <cell r="O52">
            <v>0</v>
          </cell>
          <cell r="P52">
            <v>0</v>
          </cell>
          <cell r="R52">
            <v>0</v>
          </cell>
          <cell r="T52">
            <v>0</v>
          </cell>
        </row>
        <row r="53">
          <cell r="B53"/>
          <cell r="C53"/>
          <cell r="D53"/>
          <cell r="E53"/>
          <cell r="F53"/>
          <cell r="J53"/>
          <cell r="O53">
            <v>0</v>
          </cell>
          <cell r="P53">
            <v>0</v>
          </cell>
          <cell r="R53">
            <v>0</v>
          </cell>
          <cell r="T53">
            <v>0</v>
          </cell>
        </row>
        <row r="54">
          <cell r="B54"/>
          <cell r="C54"/>
          <cell r="D54"/>
          <cell r="E54"/>
          <cell r="F54"/>
          <cell r="J54"/>
          <cell r="O54">
            <v>0</v>
          </cell>
          <cell r="P54">
            <v>0</v>
          </cell>
          <cell r="R54">
            <v>0</v>
          </cell>
          <cell r="T54">
            <v>0</v>
          </cell>
        </row>
        <row r="55">
          <cell r="B55"/>
          <cell r="C55"/>
          <cell r="D55"/>
          <cell r="E55"/>
          <cell r="F55"/>
          <cell r="J55"/>
          <cell r="O55">
            <v>0</v>
          </cell>
          <cell r="P55">
            <v>0</v>
          </cell>
          <cell r="R55">
            <v>0</v>
          </cell>
          <cell r="T55">
            <v>0</v>
          </cell>
        </row>
        <row r="56">
          <cell r="B56"/>
          <cell r="C56"/>
          <cell r="D56"/>
          <cell r="E56"/>
          <cell r="F56"/>
          <cell r="J56"/>
          <cell r="O56">
            <v>0</v>
          </cell>
          <cell r="P56">
            <v>0</v>
          </cell>
          <cell r="R56">
            <v>0</v>
          </cell>
          <cell r="T56">
            <v>0</v>
          </cell>
        </row>
        <row r="57">
          <cell r="B57"/>
          <cell r="C57"/>
          <cell r="D57"/>
          <cell r="E57"/>
          <cell r="F57"/>
          <cell r="J57"/>
          <cell r="O57">
            <v>0</v>
          </cell>
          <cell r="P57">
            <v>0</v>
          </cell>
          <cell r="R57">
            <v>0</v>
          </cell>
          <cell r="T57">
            <v>0</v>
          </cell>
        </row>
        <row r="58">
          <cell r="B58"/>
          <cell r="C58"/>
          <cell r="D58"/>
          <cell r="E58"/>
          <cell r="F58"/>
          <cell r="J58"/>
          <cell r="O58">
            <v>0</v>
          </cell>
          <cell r="P58">
            <v>0</v>
          </cell>
          <cell r="R58">
            <v>0</v>
          </cell>
          <cell r="T58">
            <v>0</v>
          </cell>
        </row>
        <row r="59">
          <cell r="B59"/>
          <cell r="C59"/>
          <cell r="D59"/>
          <cell r="E59"/>
          <cell r="F59"/>
          <cell r="J59"/>
          <cell r="O59">
            <v>0</v>
          </cell>
          <cell r="P59">
            <v>0</v>
          </cell>
          <cell r="R59">
            <v>0</v>
          </cell>
          <cell r="T59">
            <v>0</v>
          </cell>
        </row>
        <row r="60">
          <cell r="B60"/>
          <cell r="C60"/>
          <cell r="D60"/>
          <cell r="E60"/>
          <cell r="F60"/>
          <cell r="J60"/>
          <cell r="O60">
            <v>0</v>
          </cell>
          <cell r="P60">
            <v>0</v>
          </cell>
          <cell r="R60">
            <v>0</v>
          </cell>
          <cell r="T60">
            <v>0</v>
          </cell>
        </row>
        <row r="61">
          <cell r="B61"/>
          <cell r="C61"/>
          <cell r="D61"/>
          <cell r="E61"/>
          <cell r="F61"/>
          <cell r="J61"/>
          <cell r="O61">
            <v>0</v>
          </cell>
          <cell r="P61">
            <v>0</v>
          </cell>
          <cell r="R61">
            <v>0</v>
          </cell>
          <cell r="T61">
            <v>0</v>
          </cell>
        </row>
        <row r="62">
          <cell r="B62"/>
          <cell r="C62"/>
          <cell r="D62"/>
          <cell r="E62"/>
          <cell r="F62"/>
          <cell r="J62"/>
          <cell r="O62">
            <v>0</v>
          </cell>
          <cell r="P62">
            <v>0</v>
          </cell>
          <cell r="R62">
            <v>0</v>
          </cell>
          <cell r="T62">
            <v>0</v>
          </cell>
        </row>
        <row r="63">
          <cell r="B63"/>
          <cell r="C63"/>
          <cell r="D63"/>
          <cell r="E63"/>
          <cell r="F63"/>
          <cell r="J63"/>
          <cell r="O63">
            <v>0</v>
          </cell>
          <cell r="P63">
            <v>0</v>
          </cell>
          <cell r="R63">
            <v>0</v>
          </cell>
          <cell r="T63">
            <v>0</v>
          </cell>
        </row>
        <row r="64">
          <cell r="B64"/>
          <cell r="C64"/>
          <cell r="D64"/>
          <cell r="E64"/>
          <cell r="F64"/>
          <cell r="J64"/>
          <cell r="O64">
            <v>0</v>
          </cell>
          <cell r="P64">
            <v>0</v>
          </cell>
          <cell r="R64">
            <v>0</v>
          </cell>
          <cell r="T64">
            <v>0</v>
          </cell>
        </row>
        <row r="65">
          <cell r="B65"/>
          <cell r="C65"/>
          <cell r="D65"/>
          <cell r="E65"/>
          <cell r="F65"/>
          <cell r="J65"/>
          <cell r="O65">
            <v>0</v>
          </cell>
          <cell r="P65">
            <v>0</v>
          </cell>
          <cell r="R65">
            <v>0</v>
          </cell>
          <cell r="T65">
            <v>0</v>
          </cell>
        </row>
        <row r="66">
          <cell r="B66"/>
          <cell r="C66"/>
          <cell r="D66"/>
          <cell r="E66"/>
          <cell r="F66"/>
          <cell r="J66"/>
          <cell r="O66">
            <v>0</v>
          </cell>
          <cell r="P66">
            <v>0</v>
          </cell>
          <cell r="R66">
            <v>0</v>
          </cell>
          <cell r="T66">
            <v>0</v>
          </cell>
        </row>
        <row r="67">
          <cell r="B67"/>
          <cell r="C67"/>
          <cell r="D67"/>
          <cell r="E67"/>
          <cell r="F67"/>
          <cell r="J67"/>
          <cell r="O67">
            <v>0</v>
          </cell>
          <cell r="P67">
            <v>0</v>
          </cell>
          <cell r="R67">
            <v>0</v>
          </cell>
          <cell r="T67">
            <v>0</v>
          </cell>
        </row>
        <row r="68">
          <cell r="B68"/>
          <cell r="C68"/>
          <cell r="D68"/>
          <cell r="E68"/>
          <cell r="F68"/>
          <cell r="J68"/>
          <cell r="O68">
            <v>0</v>
          </cell>
          <cell r="P68">
            <v>0</v>
          </cell>
          <cell r="R68">
            <v>0</v>
          </cell>
          <cell r="T68">
            <v>0</v>
          </cell>
        </row>
        <row r="69">
          <cell r="B69"/>
          <cell r="C69"/>
          <cell r="D69"/>
          <cell r="E69"/>
          <cell r="F69"/>
          <cell r="J69"/>
          <cell r="O69">
            <v>0</v>
          </cell>
          <cell r="P69">
            <v>0</v>
          </cell>
          <cell r="R69">
            <v>0</v>
          </cell>
          <cell r="T69">
            <v>0</v>
          </cell>
        </row>
        <row r="70">
          <cell r="B70"/>
          <cell r="C70"/>
          <cell r="D70"/>
          <cell r="E70"/>
          <cell r="F70"/>
          <cell r="J70"/>
          <cell r="O70">
            <v>0</v>
          </cell>
          <cell r="P70">
            <v>0</v>
          </cell>
          <cell r="R70">
            <v>0</v>
          </cell>
          <cell r="T70">
            <v>0</v>
          </cell>
        </row>
        <row r="71">
          <cell r="B71"/>
          <cell r="C71"/>
          <cell r="D71"/>
          <cell r="E71"/>
          <cell r="F71"/>
          <cell r="J71"/>
          <cell r="O71">
            <v>0</v>
          </cell>
          <cell r="P71">
            <v>0</v>
          </cell>
          <cell r="R71">
            <v>0</v>
          </cell>
          <cell r="T71">
            <v>0</v>
          </cell>
        </row>
        <row r="72">
          <cell r="B72"/>
          <cell r="C72"/>
          <cell r="D72"/>
          <cell r="E72"/>
          <cell r="F72"/>
          <cell r="J72"/>
          <cell r="O72">
            <v>0</v>
          </cell>
          <cell r="P72">
            <v>0</v>
          </cell>
          <cell r="R72">
            <v>0</v>
          </cell>
          <cell r="T72">
            <v>0</v>
          </cell>
        </row>
        <row r="73">
          <cell r="B73"/>
          <cell r="C73"/>
          <cell r="D73"/>
          <cell r="E73"/>
          <cell r="F73"/>
          <cell r="J73"/>
          <cell r="O73">
            <v>0</v>
          </cell>
          <cell r="P73">
            <v>0</v>
          </cell>
          <cell r="R73">
            <v>0</v>
          </cell>
          <cell r="T73">
            <v>0</v>
          </cell>
        </row>
        <row r="74">
          <cell r="B74"/>
          <cell r="C74"/>
          <cell r="D74"/>
          <cell r="E74"/>
          <cell r="F74"/>
          <cell r="J74"/>
          <cell r="O74">
            <v>0</v>
          </cell>
          <cell r="P74">
            <v>0</v>
          </cell>
          <cell r="R74">
            <v>0</v>
          </cell>
          <cell r="T74">
            <v>0</v>
          </cell>
        </row>
        <row r="75">
          <cell r="B75"/>
          <cell r="C75"/>
          <cell r="D75"/>
          <cell r="E75"/>
          <cell r="F75"/>
          <cell r="J75"/>
          <cell r="O75">
            <v>0</v>
          </cell>
          <cell r="P75">
            <v>0</v>
          </cell>
          <cell r="R75">
            <v>0</v>
          </cell>
          <cell r="T75">
            <v>0</v>
          </cell>
        </row>
        <row r="76">
          <cell r="B76"/>
          <cell r="C76"/>
          <cell r="D76"/>
          <cell r="E76"/>
          <cell r="F76"/>
          <cell r="J76"/>
          <cell r="O76">
            <v>0</v>
          </cell>
          <cell r="P76">
            <v>0</v>
          </cell>
          <cell r="R76">
            <v>0</v>
          </cell>
          <cell r="T76">
            <v>0</v>
          </cell>
        </row>
        <row r="77">
          <cell r="B77"/>
          <cell r="C77"/>
          <cell r="D77"/>
          <cell r="E77"/>
          <cell r="F77"/>
          <cell r="J77"/>
          <cell r="O77">
            <v>0</v>
          </cell>
          <cell r="P77">
            <v>0</v>
          </cell>
          <cell r="R77">
            <v>0</v>
          </cell>
          <cell r="T77">
            <v>0</v>
          </cell>
        </row>
        <row r="78">
          <cell r="B78"/>
          <cell r="C78"/>
          <cell r="D78"/>
          <cell r="E78"/>
          <cell r="F78"/>
          <cell r="J78"/>
          <cell r="O78">
            <v>0</v>
          </cell>
          <cell r="P78">
            <v>0</v>
          </cell>
          <cell r="R78">
            <v>0</v>
          </cell>
          <cell r="T78">
            <v>0</v>
          </cell>
        </row>
        <row r="79">
          <cell r="B79"/>
          <cell r="C79"/>
          <cell r="D79"/>
          <cell r="E79"/>
          <cell r="F79"/>
          <cell r="J79"/>
          <cell r="O79">
            <v>0</v>
          </cell>
          <cell r="P79">
            <v>0</v>
          </cell>
          <cell r="R79">
            <v>0</v>
          </cell>
          <cell r="T79">
            <v>0</v>
          </cell>
        </row>
        <row r="80">
          <cell r="B80"/>
          <cell r="C80"/>
          <cell r="D80"/>
          <cell r="E80"/>
          <cell r="F80"/>
          <cell r="J80"/>
          <cell r="O80">
            <v>0</v>
          </cell>
          <cell r="P80">
            <v>0</v>
          </cell>
          <cell r="R80">
            <v>0</v>
          </cell>
          <cell r="T80">
            <v>0</v>
          </cell>
        </row>
        <row r="81">
          <cell r="B81"/>
          <cell r="C81"/>
          <cell r="D81"/>
          <cell r="E81"/>
          <cell r="F81"/>
          <cell r="J81"/>
          <cell r="O81">
            <v>0</v>
          </cell>
          <cell r="P81">
            <v>0</v>
          </cell>
          <cell r="R81">
            <v>0</v>
          </cell>
          <cell r="T81">
            <v>0</v>
          </cell>
        </row>
        <row r="82">
          <cell r="B82"/>
          <cell r="C82"/>
          <cell r="D82"/>
          <cell r="E82"/>
          <cell r="F82"/>
          <cell r="J82"/>
          <cell r="O82">
            <v>0</v>
          </cell>
          <cell r="P82">
            <v>0</v>
          </cell>
          <cell r="R82">
            <v>0</v>
          </cell>
          <cell r="T82">
            <v>0</v>
          </cell>
        </row>
        <row r="83">
          <cell r="B83"/>
          <cell r="C83"/>
          <cell r="D83"/>
          <cell r="E83"/>
          <cell r="F83"/>
          <cell r="J83"/>
          <cell r="O83">
            <v>0</v>
          </cell>
          <cell r="P83">
            <v>0</v>
          </cell>
          <cell r="R83">
            <v>0</v>
          </cell>
          <cell r="T83">
            <v>0</v>
          </cell>
        </row>
        <row r="84">
          <cell r="B84"/>
          <cell r="C84"/>
          <cell r="D84"/>
          <cell r="E84"/>
          <cell r="F84"/>
          <cell r="J84"/>
          <cell r="O84">
            <v>0</v>
          </cell>
          <cell r="P84">
            <v>0</v>
          </cell>
          <cell r="R84">
            <v>0</v>
          </cell>
          <cell r="T84">
            <v>0</v>
          </cell>
        </row>
        <row r="85">
          <cell r="B85"/>
          <cell r="C85"/>
          <cell r="D85"/>
          <cell r="E85"/>
          <cell r="F85"/>
          <cell r="J85"/>
          <cell r="O85">
            <v>0</v>
          </cell>
          <cell r="P85">
            <v>0</v>
          </cell>
          <cell r="R85">
            <v>0</v>
          </cell>
          <cell r="T85">
            <v>0</v>
          </cell>
        </row>
        <row r="86">
          <cell r="B86"/>
          <cell r="C86"/>
          <cell r="D86"/>
          <cell r="E86"/>
          <cell r="F86"/>
          <cell r="J86"/>
          <cell r="O86">
            <v>0</v>
          </cell>
          <cell r="P86">
            <v>0</v>
          </cell>
          <cell r="R86">
            <v>0</v>
          </cell>
          <cell r="T86">
            <v>0</v>
          </cell>
        </row>
        <row r="87">
          <cell r="B87"/>
          <cell r="C87"/>
          <cell r="D87"/>
          <cell r="E87"/>
          <cell r="F87"/>
          <cell r="J87"/>
          <cell r="O87">
            <v>0</v>
          </cell>
          <cell r="P87">
            <v>0</v>
          </cell>
          <cell r="R87">
            <v>0</v>
          </cell>
          <cell r="T87">
            <v>0</v>
          </cell>
        </row>
        <row r="88">
          <cell r="B88"/>
          <cell r="C88"/>
          <cell r="D88"/>
          <cell r="E88"/>
          <cell r="F88"/>
          <cell r="J88"/>
          <cell r="O88">
            <v>0</v>
          </cell>
          <cell r="P88">
            <v>0</v>
          </cell>
          <cell r="R88">
            <v>0</v>
          </cell>
          <cell r="T88">
            <v>0</v>
          </cell>
        </row>
        <row r="89">
          <cell r="B89"/>
          <cell r="C89"/>
          <cell r="D89"/>
          <cell r="E89"/>
          <cell r="F89"/>
          <cell r="J89"/>
          <cell r="O89">
            <v>0</v>
          </cell>
          <cell r="P89">
            <v>0</v>
          </cell>
          <cell r="R89">
            <v>0</v>
          </cell>
          <cell r="T89">
            <v>0</v>
          </cell>
        </row>
        <row r="90">
          <cell r="B90"/>
          <cell r="C90"/>
          <cell r="D90"/>
          <cell r="E90"/>
          <cell r="F90"/>
          <cell r="J90"/>
          <cell r="O90">
            <v>0</v>
          </cell>
          <cell r="P90">
            <v>0</v>
          </cell>
          <cell r="R90">
            <v>0</v>
          </cell>
          <cell r="T90">
            <v>0</v>
          </cell>
        </row>
        <row r="91">
          <cell r="B91"/>
          <cell r="C91"/>
          <cell r="D91"/>
          <cell r="E91"/>
          <cell r="F91"/>
          <cell r="J91"/>
          <cell r="O91">
            <v>0</v>
          </cell>
          <cell r="P91">
            <v>0</v>
          </cell>
          <cell r="R91">
            <v>0</v>
          </cell>
          <cell r="T91">
            <v>0</v>
          </cell>
        </row>
        <row r="92">
          <cell r="G92">
            <v>0</v>
          </cell>
          <cell r="I92">
            <v>0</v>
          </cell>
          <cell r="M92">
            <v>0</v>
          </cell>
          <cell r="V92">
            <v>0</v>
          </cell>
          <cell r="X92">
            <v>0</v>
          </cell>
          <cell r="Y92">
            <v>0</v>
          </cell>
          <cell r="AA92">
            <v>0</v>
          </cell>
          <cell r="AB92">
            <v>0</v>
          </cell>
        </row>
      </sheetData>
      <sheetData sheetId="2">
        <row r="3">
          <cell r="B3"/>
          <cell r="C3"/>
          <cell r="D3"/>
          <cell r="E3"/>
          <cell r="F3"/>
          <cell r="G3"/>
        </row>
        <row r="4">
          <cell r="B4"/>
          <cell r="C4"/>
          <cell r="D4"/>
          <cell r="E4"/>
          <cell r="F4"/>
          <cell r="G4"/>
        </row>
        <row r="5">
          <cell r="B5"/>
          <cell r="C5"/>
          <cell r="D5"/>
          <cell r="E5"/>
          <cell r="F5"/>
          <cell r="G5"/>
        </row>
        <row r="6">
          <cell r="B6"/>
          <cell r="C6"/>
          <cell r="D6"/>
          <cell r="E6"/>
          <cell r="F6"/>
          <cell r="G6"/>
        </row>
        <row r="7">
          <cell r="B7"/>
          <cell r="C7"/>
          <cell r="D7"/>
          <cell r="E7"/>
          <cell r="F7"/>
          <cell r="G7"/>
        </row>
        <row r="8">
          <cell r="B8"/>
          <cell r="C8"/>
          <cell r="D8"/>
          <cell r="E8"/>
          <cell r="F8"/>
          <cell r="G8"/>
        </row>
        <row r="9">
          <cell r="B9"/>
          <cell r="C9"/>
          <cell r="D9"/>
          <cell r="E9"/>
          <cell r="F9"/>
          <cell r="G9"/>
        </row>
        <row r="10">
          <cell r="B10"/>
          <cell r="C10"/>
          <cell r="D10"/>
          <cell r="E10"/>
          <cell r="F10"/>
          <cell r="G10"/>
        </row>
        <row r="11">
          <cell r="B11"/>
          <cell r="C11"/>
          <cell r="D11"/>
          <cell r="E11"/>
          <cell r="F11"/>
          <cell r="G11"/>
        </row>
        <row r="12">
          <cell r="B12"/>
          <cell r="C12"/>
          <cell r="D12"/>
          <cell r="E12"/>
          <cell r="F12"/>
          <cell r="G12"/>
        </row>
        <row r="13">
          <cell r="B13"/>
          <cell r="C13"/>
          <cell r="D13"/>
          <cell r="E13"/>
          <cell r="F13"/>
          <cell r="G13"/>
        </row>
        <row r="14">
          <cell r="B14"/>
          <cell r="C14"/>
          <cell r="D14"/>
          <cell r="E14"/>
          <cell r="F14"/>
          <cell r="G14"/>
        </row>
        <row r="15">
          <cell r="B15"/>
          <cell r="C15"/>
          <cell r="D15"/>
          <cell r="E15"/>
          <cell r="F15"/>
          <cell r="G15"/>
        </row>
        <row r="16">
          <cell r="B16"/>
          <cell r="C16"/>
          <cell r="D16"/>
          <cell r="E16"/>
          <cell r="F16"/>
          <cell r="G16"/>
        </row>
        <row r="17">
          <cell r="B17"/>
          <cell r="C17"/>
          <cell r="D17"/>
          <cell r="E17"/>
          <cell r="F17"/>
          <cell r="G17"/>
        </row>
        <row r="18">
          <cell r="B18"/>
          <cell r="C18"/>
          <cell r="D18"/>
          <cell r="E18"/>
          <cell r="F18"/>
          <cell r="G18"/>
        </row>
        <row r="19">
          <cell r="B19"/>
          <cell r="C19"/>
          <cell r="D19"/>
          <cell r="E19"/>
          <cell r="F19"/>
          <cell r="G19"/>
        </row>
        <row r="20">
          <cell r="B20"/>
          <cell r="C20"/>
          <cell r="D20"/>
          <cell r="E20"/>
          <cell r="F20"/>
          <cell r="G20"/>
        </row>
        <row r="21">
          <cell r="B21"/>
          <cell r="C21"/>
          <cell r="D21"/>
          <cell r="E21"/>
          <cell r="F21"/>
          <cell r="G21"/>
        </row>
        <row r="22">
          <cell r="B22"/>
          <cell r="C22"/>
          <cell r="D22"/>
          <cell r="E22"/>
          <cell r="F22"/>
          <cell r="G22"/>
        </row>
        <row r="23">
          <cell r="B23"/>
          <cell r="C23"/>
          <cell r="D23"/>
          <cell r="E23"/>
          <cell r="F23"/>
          <cell r="G23"/>
        </row>
        <row r="24">
          <cell r="B24"/>
          <cell r="C24"/>
          <cell r="D24"/>
          <cell r="E24"/>
          <cell r="F24"/>
          <cell r="G24"/>
        </row>
        <row r="25">
          <cell r="B25"/>
          <cell r="C25"/>
          <cell r="D25"/>
          <cell r="E25"/>
          <cell r="F25"/>
          <cell r="G25"/>
        </row>
        <row r="26">
          <cell r="B26"/>
          <cell r="C26"/>
          <cell r="D26"/>
          <cell r="E26"/>
          <cell r="F26"/>
          <cell r="G26"/>
        </row>
        <row r="27">
          <cell r="B27"/>
          <cell r="C27"/>
          <cell r="D27"/>
          <cell r="E27"/>
          <cell r="F27"/>
          <cell r="G27"/>
        </row>
        <row r="28">
          <cell r="B28"/>
          <cell r="C28"/>
          <cell r="D28"/>
          <cell r="E28"/>
          <cell r="F28"/>
          <cell r="G28"/>
        </row>
        <row r="29">
          <cell r="B29"/>
          <cell r="C29"/>
          <cell r="D29"/>
          <cell r="E29"/>
          <cell r="F29"/>
          <cell r="G29"/>
        </row>
        <row r="30">
          <cell r="B30"/>
          <cell r="C30"/>
          <cell r="D30"/>
          <cell r="E30"/>
          <cell r="F30"/>
          <cell r="G30"/>
        </row>
        <row r="31">
          <cell r="B31"/>
          <cell r="C31"/>
          <cell r="D31"/>
          <cell r="E31"/>
          <cell r="F31"/>
          <cell r="G31"/>
        </row>
        <row r="32">
          <cell r="B32"/>
          <cell r="C32"/>
          <cell r="D32"/>
          <cell r="E32"/>
          <cell r="F32"/>
          <cell r="G32"/>
        </row>
        <row r="33">
          <cell r="B33"/>
          <cell r="C33"/>
          <cell r="D33"/>
          <cell r="E33"/>
          <cell r="F33"/>
          <cell r="G33"/>
        </row>
        <row r="34">
          <cell r="B34"/>
          <cell r="C34"/>
          <cell r="D34"/>
          <cell r="E34"/>
          <cell r="F34"/>
          <cell r="G34"/>
        </row>
        <row r="35">
          <cell r="B35"/>
          <cell r="C35"/>
          <cell r="D35"/>
          <cell r="E35"/>
          <cell r="F35"/>
          <cell r="G35"/>
        </row>
        <row r="36">
          <cell r="B36"/>
          <cell r="C36"/>
          <cell r="D36"/>
          <cell r="E36"/>
          <cell r="F36"/>
          <cell r="G36"/>
        </row>
        <row r="37">
          <cell r="B37"/>
          <cell r="C37"/>
          <cell r="D37"/>
          <cell r="E37"/>
          <cell r="F37"/>
          <cell r="G37"/>
        </row>
        <row r="38">
          <cell r="B38"/>
          <cell r="C38"/>
          <cell r="D38"/>
          <cell r="E38"/>
          <cell r="F38"/>
          <cell r="G38"/>
        </row>
        <row r="39">
          <cell r="B39"/>
          <cell r="C39"/>
          <cell r="D39"/>
          <cell r="E39"/>
          <cell r="F39"/>
          <cell r="G39"/>
        </row>
        <row r="40">
          <cell r="B40"/>
          <cell r="C40"/>
          <cell r="D40"/>
          <cell r="E40"/>
          <cell r="F40"/>
          <cell r="G40"/>
        </row>
        <row r="41">
          <cell r="B41"/>
          <cell r="C41"/>
          <cell r="D41"/>
          <cell r="E41"/>
          <cell r="F41"/>
          <cell r="G41"/>
        </row>
        <row r="42">
          <cell r="B42"/>
          <cell r="C42"/>
          <cell r="D42"/>
          <cell r="E42"/>
          <cell r="F42"/>
          <cell r="G42"/>
        </row>
        <row r="43">
          <cell r="B43"/>
          <cell r="C43"/>
          <cell r="D43"/>
          <cell r="E43"/>
          <cell r="F43"/>
          <cell r="G43"/>
        </row>
        <row r="44">
          <cell r="B44"/>
          <cell r="C44"/>
          <cell r="D44"/>
          <cell r="E44"/>
          <cell r="F44"/>
          <cell r="G44"/>
        </row>
        <row r="45">
          <cell r="B45"/>
          <cell r="C45"/>
          <cell r="D45"/>
          <cell r="E45"/>
          <cell r="F45"/>
          <cell r="G45"/>
        </row>
        <row r="46">
          <cell r="B46"/>
          <cell r="C46"/>
          <cell r="D46"/>
          <cell r="E46"/>
          <cell r="F46"/>
          <cell r="G46"/>
        </row>
        <row r="47">
          <cell r="B47"/>
          <cell r="C47"/>
          <cell r="D47"/>
          <cell r="E47"/>
          <cell r="F47"/>
          <cell r="G47"/>
        </row>
        <row r="48">
          <cell r="B48"/>
          <cell r="C48"/>
          <cell r="D48"/>
          <cell r="E48"/>
          <cell r="F48"/>
          <cell r="G48"/>
        </row>
        <row r="49">
          <cell r="B49"/>
          <cell r="C49"/>
          <cell r="D49"/>
          <cell r="E49"/>
          <cell r="F49"/>
          <cell r="G49"/>
        </row>
        <row r="50">
          <cell r="B50"/>
          <cell r="C50"/>
          <cell r="D50"/>
          <cell r="E50"/>
          <cell r="F50"/>
          <cell r="G50"/>
        </row>
        <row r="51">
          <cell r="B51"/>
          <cell r="C51"/>
          <cell r="D51"/>
          <cell r="E51"/>
          <cell r="F51"/>
          <cell r="G51"/>
        </row>
        <row r="52">
          <cell r="B52"/>
          <cell r="C52"/>
          <cell r="D52"/>
          <cell r="E52"/>
          <cell r="F52"/>
          <cell r="G52"/>
        </row>
        <row r="53">
          <cell r="B53"/>
          <cell r="C53"/>
          <cell r="D53"/>
          <cell r="E53"/>
          <cell r="F53"/>
          <cell r="G53"/>
        </row>
        <row r="54">
          <cell r="B54"/>
          <cell r="C54"/>
          <cell r="D54"/>
          <cell r="E54"/>
          <cell r="F54"/>
          <cell r="G54"/>
        </row>
        <row r="55">
          <cell r="B55"/>
          <cell r="C55"/>
          <cell r="D55"/>
          <cell r="E55"/>
          <cell r="F55"/>
          <cell r="G55"/>
        </row>
        <row r="56">
          <cell r="B56"/>
          <cell r="C56"/>
          <cell r="D56"/>
          <cell r="E56"/>
          <cell r="F56"/>
          <cell r="G56"/>
        </row>
        <row r="57">
          <cell r="B57"/>
          <cell r="C57"/>
          <cell r="D57"/>
          <cell r="E57"/>
          <cell r="F57"/>
          <cell r="G57"/>
        </row>
        <row r="58">
          <cell r="B58"/>
          <cell r="C58"/>
          <cell r="D58"/>
          <cell r="E58"/>
          <cell r="F58"/>
          <cell r="G58"/>
        </row>
        <row r="59">
          <cell r="B59"/>
          <cell r="C59"/>
          <cell r="D59"/>
          <cell r="E59"/>
          <cell r="F59"/>
          <cell r="G59"/>
        </row>
        <row r="60">
          <cell r="B60"/>
          <cell r="C60"/>
          <cell r="D60"/>
          <cell r="E60"/>
          <cell r="F60"/>
          <cell r="G60"/>
        </row>
        <row r="61">
          <cell r="B61"/>
          <cell r="C61"/>
          <cell r="D61"/>
          <cell r="E61"/>
          <cell r="F61"/>
          <cell r="G61"/>
        </row>
        <row r="62">
          <cell r="B62"/>
          <cell r="C62"/>
          <cell r="D62"/>
          <cell r="E62"/>
          <cell r="F62"/>
          <cell r="G62"/>
        </row>
        <row r="63">
          <cell r="B63"/>
          <cell r="C63"/>
          <cell r="D63"/>
          <cell r="E63"/>
          <cell r="F63"/>
          <cell r="G63"/>
        </row>
        <row r="64">
          <cell r="B64"/>
          <cell r="C64"/>
          <cell r="D64"/>
          <cell r="E64"/>
          <cell r="F64"/>
          <cell r="G64"/>
        </row>
        <row r="65">
          <cell r="B65"/>
          <cell r="C65"/>
          <cell r="D65"/>
          <cell r="E65"/>
          <cell r="F65"/>
          <cell r="G65"/>
        </row>
        <row r="66">
          <cell r="B66"/>
          <cell r="C66"/>
          <cell r="D66"/>
          <cell r="E66"/>
          <cell r="F66"/>
          <cell r="G66"/>
        </row>
        <row r="67">
          <cell r="B67"/>
          <cell r="C67"/>
          <cell r="D67"/>
          <cell r="E67"/>
          <cell r="F67"/>
          <cell r="G67"/>
        </row>
        <row r="68">
          <cell r="B68"/>
          <cell r="C68"/>
          <cell r="D68"/>
          <cell r="E68"/>
          <cell r="F68"/>
          <cell r="G68"/>
        </row>
        <row r="69">
          <cell r="B69"/>
          <cell r="C69"/>
          <cell r="D69"/>
          <cell r="E69"/>
          <cell r="F69"/>
          <cell r="G69"/>
        </row>
        <row r="70">
          <cell r="B70"/>
          <cell r="C70"/>
          <cell r="D70"/>
          <cell r="E70"/>
          <cell r="F70"/>
          <cell r="G70"/>
        </row>
        <row r="71">
          <cell r="B71"/>
          <cell r="C71"/>
          <cell r="D71"/>
          <cell r="E71"/>
          <cell r="F71"/>
          <cell r="G71"/>
        </row>
        <row r="72">
          <cell r="B72"/>
          <cell r="C72"/>
          <cell r="D72"/>
          <cell r="E72"/>
          <cell r="F72"/>
          <cell r="G72"/>
        </row>
        <row r="73">
          <cell r="B73"/>
          <cell r="C73"/>
          <cell r="D73"/>
          <cell r="E73"/>
          <cell r="F73"/>
          <cell r="G73"/>
        </row>
        <row r="74">
          <cell r="B74"/>
          <cell r="C74"/>
          <cell r="D74"/>
          <cell r="E74"/>
          <cell r="F74"/>
          <cell r="G74"/>
        </row>
        <row r="75">
          <cell r="B75"/>
          <cell r="C75"/>
          <cell r="D75"/>
          <cell r="E75"/>
          <cell r="F75"/>
          <cell r="G75"/>
        </row>
        <row r="76">
          <cell r="B76"/>
          <cell r="C76"/>
          <cell r="D76"/>
          <cell r="E76"/>
          <cell r="F76"/>
          <cell r="G76"/>
        </row>
        <row r="77">
          <cell r="B77"/>
          <cell r="C77"/>
          <cell r="D77"/>
          <cell r="E77"/>
          <cell r="F77"/>
          <cell r="G77"/>
        </row>
        <row r="78">
          <cell r="B78"/>
          <cell r="C78"/>
          <cell r="D78"/>
          <cell r="E78"/>
          <cell r="F78"/>
          <cell r="G78"/>
        </row>
        <row r="79">
          <cell r="B79"/>
          <cell r="C79"/>
          <cell r="D79"/>
          <cell r="E79"/>
          <cell r="F79"/>
          <cell r="G79"/>
        </row>
        <row r="80">
          <cell r="B80"/>
          <cell r="C80"/>
          <cell r="D80"/>
          <cell r="E80"/>
          <cell r="F80"/>
          <cell r="G80"/>
        </row>
        <row r="81">
          <cell r="B81"/>
          <cell r="C81"/>
          <cell r="D81"/>
          <cell r="E81"/>
          <cell r="F81"/>
          <cell r="G81"/>
        </row>
        <row r="82">
          <cell r="B82"/>
          <cell r="C82"/>
          <cell r="D82"/>
          <cell r="E82"/>
          <cell r="F82"/>
          <cell r="G82"/>
        </row>
        <row r="83">
          <cell r="B83"/>
          <cell r="C83"/>
          <cell r="D83"/>
          <cell r="E83"/>
          <cell r="F83"/>
          <cell r="G83"/>
        </row>
        <row r="84">
          <cell r="B84"/>
          <cell r="C84"/>
          <cell r="D84"/>
          <cell r="E84"/>
          <cell r="F84"/>
          <cell r="G84"/>
        </row>
        <row r="85">
          <cell r="B85"/>
          <cell r="C85"/>
          <cell r="D85"/>
          <cell r="E85"/>
          <cell r="F85"/>
          <cell r="G85"/>
        </row>
        <row r="86">
          <cell r="B86"/>
          <cell r="C86"/>
          <cell r="D86"/>
          <cell r="E86"/>
          <cell r="F86"/>
          <cell r="G86"/>
        </row>
        <row r="87">
          <cell r="B87"/>
          <cell r="C87"/>
          <cell r="D87"/>
          <cell r="E87"/>
          <cell r="F87"/>
          <cell r="G87"/>
        </row>
        <row r="88">
          <cell r="B88"/>
          <cell r="C88"/>
          <cell r="D88"/>
          <cell r="E88"/>
          <cell r="F88"/>
          <cell r="G88"/>
        </row>
        <row r="89">
          <cell r="B89"/>
          <cell r="C89"/>
          <cell r="D89"/>
          <cell r="E89"/>
          <cell r="F89"/>
          <cell r="G89"/>
        </row>
        <row r="90">
          <cell r="B90"/>
          <cell r="C90"/>
          <cell r="D90"/>
          <cell r="E90"/>
          <cell r="F90"/>
          <cell r="G90"/>
        </row>
        <row r="91">
          <cell r="B91"/>
          <cell r="C91"/>
          <cell r="D91"/>
          <cell r="E91"/>
          <cell r="F91"/>
          <cell r="G91"/>
        </row>
        <row r="92">
          <cell r="B92"/>
          <cell r="C92"/>
          <cell r="D92"/>
          <cell r="E92"/>
          <cell r="F92"/>
          <cell r="G92"/>
        </row>
        <row r="93">
          <cell r="K93">
            <v>0</v>
          </cell>
          <cell r="Q93">
            <v>0</v>
          </cell>
          <cell r="S93">
            <v>0</v>
          </cell>
          <cell r="U93">
            <v>0</v>
          </cell>
          <cell r="V93">
            <v>0</v>
          </cell>
          <cell r="AD93">
            <v>0</v>
          </cell>
          <cell r="AE93">
            <v>0</v>
          </cell>
          <cell r="AG93">
            <v>0</v>
          </cell>
          <cell r="AH93">
            <v>0</v>
          </cell>
          <cell r="AI93">
            <v>0</v>
          </cell>
          <cell r="AJ93">
            <v>0</v>
          </cell>
        </row>
      </sheetData>
      <sheetData sheetId="3">
        <row r="2">
          <cell r="K2"/>
        </row>
        <row r="3">
          <cell r="K3"/>
        </row>
        <row r="4">
          <cell r="K4"/>
        </row>
        <row r="5">
          <cell r="K5"/>
        </row>
        <row r="6">
          <cell r="K6"/>
        </row>
        <row r="7">
          <cell r="K7"/>
        </row>
        <row r="8">
          <cell r="K8"/>
        </row>
        <row r="9">
          <cell r="K9"/>
        </row>
        <row r="10">
          <cell r="K10"/>
        </row>
        <row r="11">
          <cell r="K11"/>
        </row>
        <row r="12">
          <cell r="K12"/>
        </row>
        <row r="13">
          <cell r="K13"/>
        </row>
        <row r="14">
          <cell r="K14"/>
        </row>
        <row r="15">
          <cell r="K15"/>
        </row>
        <row r="16">
          <cell r="K16"/>
        </row>
        <row r="17">
          <cell r="K17"/>
        </row>
        <row r="18">
          <cell r="K18"/>
        </row>
        <row r="19">
          <cell r="K19"/>
        </row>
        <row r="20">
          <cell r="K20"/>
        </row>
        <row r="21">
          <cell r="K21"/>
        </row>
        <row r="22">
          <cell r="K22"/>
        </row>
        <row r="23">
          <cell r="K23"/>
        </row>
        <row r="24">
          <cell r="K24"/>
        </row>
        <row r="25">
          <cell r="K25"/>
        </row>
        <row r="26">
          <cell r="K26"/>
        </row>
        <row r="27">
          <cell r="K27"/>
        </row>
        <row r="28">
          <cell r="K28"/>
        </row>
        <row r="29">
          <cell r="K29"/>
        </row>
        <row r="30">
          <cell r="K30"/>
        </row>
        <row r="31">
          <cell r="K31"/>
        </row>
        <row r="32">
          <cell r="K32"/>
        </row>
        <row r="33">
          <cell r="K33"/>
        </row>
        <row r="34">
          <cell r="K34"/>
        </row>
        <row r="35">
          <cell r="K35"/>
        </row>
        <row r="36">
          <cell r="K36"/>
        </row>
        <row r="37">
          <cell r="K37"/>
        </row>
        <row r="38">
          <cell r="K38"/>
        </row>
        <row r="39">
          <cell r="K39"/>
        </row>
        <row r="40">
          <cell r="K40"/>
        </row>
        <row r="41">
          <cell r="K41"/>
        </row>
        <row r="42">
          <cell r="K42"/>
        </row>
        <row r="43">
          <cell r="K43"/>
        </row>
        <row r="44">
          <cell r="K44"/>
        </row>
        <row r="45">
          <cell r="K45"/>
        </row>
        <row r="46">
          <cell r="K46"/>
        </row>
        <row r="47">
          <cell r="K47"/>
        </row>
        <row r="48">
          <cell r="K48"/>
        </row>
        <row r="49">
          <cell r="K49"/>
        </row>
        <row r="50">
          <cell r="K50"/>
        </row>
        <row r="51">
          <cell r="K51"/>
        </row>
        <row r="52">
          <cell r="K52"/>
        </row>
        <row r="53">
          <cell r="K53"/>
        </row>
        <row r="54">
          <cell r="K54"/>
        </row>
        <row r="55">
          <cell r="K55"/>
        </row>
        <row r="56">
          <cell r="K56"/>
        </row>
        <row r="57">
          <cell r="K57"/>
        </row>
        <row r="58">
          <cell r="K58"/>
        </row>
        <row r="59">
          <cell r="K59"/>
        </row>
        <row r="60">
          <cell r="K60"/>
        </row>
        <row r="61">
          <cell r="K61"/>
        </row>
        <row r="62">
          <cell r="K62"/>
        </row>
        <row r="63">
          <cell r="K63"/>
        </row>
        <row r="64">
          <cell r="K64"/>
        </row>
        <row r="65">
          <cell r="K65"/>
        </row>
        <row r="66">
          <cell r="K66"/>
        </row>
        <row r="67">
          <cell r="K67"/>
        </row>
        <row r="68">
          <cell r="K68"/>
        </row>
        <row r="69">
          <cell r="K69"/>
        </row>
        <row r="70">
          <cell r="K70"/>
        </row>
        <row r="71">
          <cell r="K71"/>
        </row>
        <row r="72">
          <cell r="K72"/>
        </row>
        <row r="73">
          <cell r="K73"/>
        </row>
        <row r="74">
          <cell r="K74"/>
        </row>
        <row r="75">
          <cell r="K75"/>
        </row>
        <row r="76">
          <cell r="K76"/>
        </row>
        <row r="77">
          <cell r="K77"/>
        </row>
        <row r="78">
          <cell r="K78"/>
        </row>
        <row r="79">
          <cell r="K79"/>
        </row>
        <row r="80">
          <cell r="K80"/>
        </row>
        <row r="81">
          <cell r="K81"/>
        </row>
        <row r="82">
          <cell r="K82"/>
        </row>
        <row r="83">
          <cell r="K83"/>
        </row>
        <row r="84">
          <cell r="K84"/>
        </row>
        <row r="85">
          <cell r="K85"/>
        </row>
        <row r="86">
          <cell r="K86"/>
        </row>
        <row r="87">
          <cell r="K87"/>
        </row>
        <row r="88">
          <cell r="K88"/>
        </row>
        <row r="89">
          <cell r="K89"/>
        </row>
        <row r="90">
          <cell r="K90"/>
        </row>
        <row r="91">
          <cell r="K91"/>
        </row>
        <row r="92">
          <cell r="E92">
            <v>0</v>
          </cell>
          <cell r="H92">
            <v>0</v>
          </cell>
          <cell r="J92">
            <v>0</v>
          </cell>
        </row>
      </sheetData>
      <sheetData sheetId="4">
        <row r="2">
          <cell r="B2"/>
          <cell r="I2"/>
          <cell r="J2"/>
          <cell r="K2"/>
          <cell r="O2">
            <v>0</v>
          </cell>
        </row>
        <row r="3">
          <cell r="B3"/>
          <cell r="I3"/>
          <cell r="J3"/>
          <cell r="K3"/>
          <cell r="O3">
            <v>0</v>
          </cell>
        </row>
        <row r="4">
          <cell r="B4"/>
          <cell r="I4"/>
          <cell r="J4"/>
          <cell r="K4"/>
          <cell r="O4">
            <v>0</v>
          </cell>
        </row>
        <row r="5">
          <cell r="B5"/>
          <cell r="I5"/>
          <cell r="J5"/>
          <cell r="K5"/>
          <cell r="O5">
            <v>0</v>
          </cell>
        </row>
        <row r="6">
          <cell r="B6"/>
          <cell r="I6"/>
          <cell r="J6"/>
          <cell r="K6"/>
          <cell r="O6">
            <v>0</v>
          </cell>
        </row>
        <row r="7">
          <cell r="B7"/>
          <cell r="I7"/>
          <cell r="J7"/>
          <cell r="K7"/>
          <cell r="O7">
            <v>0</v>
          </cell>
        </row>
        <row r="8">
          <cell r="B8"/>
          <cell r="I8"/>
          <cell r="J8"/>
          <cell r="K8"/>
          <cell r="O8">
            <v>0</v>
          </cell>
        </row>
        <row r="9">
          <cell r="B9"/>
          <cell r="I9"/>
          <cell r="J9"/>
          <cell r="K9"/>
          <cell r="O9">
            <v>0</v>
          </cell>
        </row>
        <row r="10">
          <cell r="B10"/>
          <cell r="I10"/>
          <cell r="J10"/>
          <cell r="K10"/>
          <cell r="O10">
            <v>0</v>
          </cell>
        </row>
        <row r="11">
          <cell r="B11"/>
          <cell r="I11"/>
          <cell r="J11"/>
          <cell r="K11"/>
          <cell r="O11">
            <v>0</v>
          </cell>
        </row>
        <row r="12">
          <cell r="B12"/>
          <cell r="I12"/>
          <cell r="J12"/>
          <cell r="K12"/>
          <cell r="O12">
            <v>0</v>
          </cell>
        </row>
        <row r="13">
          <cell r="B13"/>
          <cell r="I13"/>
          <cell r="J13"/>
          <cell r="K13"/>
          <cell r="O13">
            <v>0</v>
          </cell>
        </row>
        <row r="14">
          <cell r="B14"/>
          <cell r="I14"/>
          <cell r="J14"/>
          <cell r="K14"/>
          <cell r="O14">
            <v>0</v>
          </cell>
        </row>
        <row r="15">
          <cell r="B15"/>
          <cell r="I15"/>
          <cell r="J15"/>
          <cell r="K15"/>
          <cell r="O15">
            <v>0</v>
          </cell>
        </row>
        <row r="16">
          <cell r="B16"/>
          <cell r="I16"/>
          <cell r="J16"/>
          <cell r="K16"/>
          <cell r="O16">
            <v>0</v>
          </cell>
        </row>
        <row r="17">
          <cell r="B17"/>
          <cell r="I17"/>
          <cell r="J17"/>
          <cell r="K17"/>
          <cell r="O17">
            <v>0</v>
          </cell>
        </row>
        <row r="18">
          <cell r="B18"/>
          <cell r="I18"/>
          <cell r="J18"/>
          <cell r="K18"/>
          <cell r="O18">
            <v>0</v>
          </cell>
        </row>
        <row r="19">
          <cell r="B19"/>
          <cell r="I19"/>
          <cell r="J19"/>
          <cell r="K19"/>
          <cell r="O19">
            <v>0</v>
          </cell>
        </row>
        <row r="20">
          <cell r="B20"/>
          <cell r="I20"/>
          <cell r="J20"/>
          <cell r="K20"/>
          <cell r="O20">
            <v>0</v>
          </cell>
        </row>
        <row r="21">
          <cell r="B21"/>
          <cell r="I21"/>
          <cell r="J21"/>
          <cell r="K21"/>
          <cell r="O21">
            <v>0</v>
          </cell>
        </row>
        <row r="22">
          <cell r="B22"/>
          <cell r="I22"/>
          <cell r="J22"/>
          <cell r="K22"/>
          <cell r="O22">
            <v>0</v>
          </cell>
        </row>
        <row r="23">
          <cell r="B23"/>
          <cell r="I23"/>
          <cell r="J23"/>
          <cell r="K23"/>
          <cell r="O23">
            <v>0</v>
          </cell>
        </row>
        <row r="24">
          <cell r="B24"/>
          <cell r="I24"/>
          <cell r="J24"/>
          <cell r="K24"/>
          <cell r="O24">
            <v>0</v>
          </cell>
        </row>
        <row r="25">
          <cell r="B25"/>
          <cell r="I25"/>
          <cell r="J25"/>
          <cell r="K25"/>
          <cell r="O25">
            <v>0</v>
          </cell>
        </row>
        <row r="26">
          <cell r="B26"/>
          <cell r="I26"/>
          <cell r="J26"/>
          <cell r="K26"/>
          <cell r="O26">
            <v>0</v>
          </cell>
        </row>
        <row r="27">
          <cell r="B27"/>
          <cell r="I27"/>
          <cell r="J27"/>
          <cell r="K27"/>
          <cell r="O27">
            <v>0</v>
          </cell>
        </row>
        <row r="28">
          <cell r="B28"/>
          <cell r="I28"/>
          <cell r="J28"/>
          <cell r="K28"/>
          <cell r="O28">
            <v>0</v>
          </cell>
        </row>
        <row r="29">
          <cell r="B29"/>
          <cell r="I29"/>
          <cell r="J29"/>
          <cell r="K29"/>
          <cell r="O29">
            <v>0</v>
          </cell>
        </row>
        <row r="30">
          <cell r="B30"/>
          <cell r="I30"/>
          <cell r="J30"/>
          <cell r="K30"/>
          <cell r="O30">
            <v>0</v>
          </cell>
        </row>
        <row r="31">
          <cell r="B31"/>
          <cell r="I31"/>
          <cell r="J31"/>
          <cell r="K31"/>
          <cell r="O31">
            <v>0</v>
          </cell>
        </row>
        <row r="32">
          <cell r="B32"/>
          <cell r="I32"/>
          <cell r="J32"/>
          <cell r="K32"/>
          <cell r="O32">
            <v>0</v>
          </cell>
        </row>
        <row r="33">
          <cell r="B33"/>
          <cell r="I33"/>
          <cell r="J33"/>
          <cell r="K33"/>
          <cell r="O33">
            <v>0</v>
          </cell>
        </row>
        <row r="34">
          <cell r="B34"/>
          <cell r="I34"/>
          <cell r="J34"/>
          <cell r="K34"/>
          <cell r="O34">
            <v>0</v>
          </cell>
        </row>
        <row r="35">
          <cell r="B35"/>
          <cell r="I35"/>
          <cell r="J35"/>
          <cell r="K35"/>
          <cell r="O35">
            <v>0</v>
          </cell>
        </row>
        <row r="36">
          <cell r="B36"/>
          <cell r="I36"/>
          <cell r="J36"/>
          <cell r="K36"/>
          <cell r="O36">
            <v>0</v>
          </cell>
        </row>
        <row r="37">
          <cell r="B37"/>
          <cell r="I37"/>
          <cell r="J37"/>
          <cell r="K37"/>
          <cell r="O37">
            <v>0</v>
          </cell>
        </row>
        <row r="38">
          <cell r="B38"/>
          <cell r="I38"/>
          <cell r="J38"/>
          <cell r="K38"/>
          <cell r="O38">
            <v>0</v>
          </cell>
        </row>
        <row r="39">
          <cell r="B39"/>
          <cell r="I39"/>
          <cell r="J39"/>
          <cell r="K39"/>
          <cell r="O39">
            <v>0</v>
          </cell>
        </row>
        <row r="40">
          <cell r="B40"/>
          <cell r="I40"/>
          <cell r="J40"/>
          <cell r="K40"/>
          <cell r="O40">
            <v>0</v>
          </cell>
        </row>
        <row r="41">
          <cell r="B41"/>
          <cell r="I41"/>
          <cell r="J41"/>
          <cell r="K41"/>
          <cell r="O41">
            <v>0</v>
          </cell>
        </row>
        <row r="42">
          <cell r="B42"/>
          <cell r="I42"/>
          <cell r="J42"/>
          <cell r="K42"/>
          <cell r="O42">
            <v>0</v>
          </cell>
        </row>
        <row r="43">
          <cell r="B43"/>
          <cell r="I43"/>
          <cell r="J43"/>
          <cell r="K43"/>
          <cell r="O43">
            <v>0</v>
          </cell>
        </row>
        <row r="44">
          <cell r="B44"/>
          <cell r="I44"/>
          <cell r="J44"/>
          <cell r="K44"/>
          <cell r="O44">
            <v>0</v>
          </cell>
        </row>
        <row r="45">
          <cell r="B45"/>
          <cell r="I45"/>
          <cell r="J45"/>
          <cell r="K45"/>
          <cell r="O45">
            <v>0</v>
          </cell>
        </row>
        <row r="46">
          <cell r="B46"/>
          <cell r="I46"/>
          <cell r="J46"/>
          <cell r="K46"/>
          <cell r="O46">
            <v>0</v>
          </cell>
        </row>
        <row r="47">
          <cell r="B47"/>
          <cell r="I47"/>
          <cell r="J47"/>
          <cell r="K47"/>
          <cell r="O47">
            <v>0</v>
          </cell>
        </row>
        <row r="48">
          <cell r="B48"/>
          <cell r="I48"/>
          <cell r="J48"/>
          <cell r="K48"/>
          <cell r="O48">
            <v>0</v>
          </cell>
        </row>
        <row r="49">
          <cell r="B49"/>
          <cell r="I49"/>
          <cell r="J49"/>
          <cell r="K49"/>
          <cell r="O49">
            <v>0</v>
          </cell>
        </row>
        <row r="50">
          <cell r="B50"/>
          <cell r="I50"/>
          <cell r="J50"/>
          <cell r="K50"/>
          <cell r="O50">
            <v>0</v>
          </cell>
        </row>
        <row r="51">
          <cell r="B51"/>
          <cell r="I51"/>
          <cell r="J51"/>
          <cell r="K51"/>
          <cell r="O51">
            <v>0</v>
          </cell>
        </row>
        <row r="52">
          <cell r="B52"/>
          <cell r="I52"/>
          <cell r="J52"/>
          <cell r="K52"/>
          <cell r="O52">
            <v>0</v>
          </cell>
        </row>
        <row r="53">
          <cell r="B53"/>
          <cell r="I53"/>
          <cell r="J53"/>
          <cell r="K53"/>
          <cell r="O53">
            <v>0</v>
          </cell>
        </row>
        <row r="54">
          <cell r="B54"/>
          <cell r="I54"/>
          <cell r="J54"/>
          <cell r="K54"/>
          <cell r="O54">
            <v>0</v>
          </cell>
        </row>
        <row r="55">
          <cell r="B55"/>
          <cell r="I55"/>
          <cell r="J55"/>
          <cell r="K55"/>
          <cell r="O55">
            <v>0</v>
          </cell>
        </row>
        <row r="56">
          <cell r="B56"/>
          <cell r="I56"/>
          <cell r="J56"/>
          <cell r="K56"/>
          <cell r="O56">
            <v>0</v>
          </cell>
        </row>
        <row r="57">
          <cell r="B57"/>
          <cell r="I57"/>
          <cell r="J57"/>
          <cell r="K57"/>
          <cell r="O57">
            <v>0</v>
          </cell>
        </row>
        <row r="58">
          <cell r="B58"/>
          <cell r="I58"/>
          <cell r="J58"/>
          <cell r="K58"/>
          <cell r="O58">
            <v>0</v>
          </cell>
        </row>
        <row r="59">
          <cell r="B59"/>
          <cell r="I59"/>
          <cell r="J59"/>
          <cell r="K59"/>
          <cell r="O59">
            <v>0</v>
          </cell>
        </row>
        <row r="60">
          <cell r="B60"/>
          <cell r="I60"/>
          <cell r="J60"/>
          <cell r="K60"/>
          <cell r="O60">
            <v>0</v>
          </cell>
        </row>
        <row r="61">
          <cell r="B61"/>
          <cell r="I61"/>
          <cell r="J61"/>
          <cell r="K61"/>
          <cell r="O61">
            <v>0</v>
          </cell>
        </row>
        <row r="62">
          <cell r="B62"/>
          <cell r="I62"/>
          <cell r="J62"/>
          <cell r="K62"/>
          <cell r="O62">
            <v>0</v>
          </cell>
        </row>
        <row r="63">
          <cell r="B63"/>
          <cell r="I63"/>
          <cell r="J63"/>
          <cell r="K63"/>
          <cell r="O63">
            <v>0</v>
          </cell>
        </row>
        <row r="64">
          <cell r="B64"/>
          <cell r="I64"/>
          <cell r="J64"/>
          <cell r="K64"/>
          <cell r="O64">
            <v>0</v>
          </cell>
        </row>
        <row r="65">
          <cell r="B65"/>
          <cell r="I65"/>
          <cell r="J65"/>
          <cell r="K65"/>
          <cell r="O65">
            <v>0</v>
          </cell>
        </row>
        <row r="66">
          <cell r="B66"/>
          <cell r="I66"/>
          <cell r="J66"/>
          <cell r="K66"/>
          <cell r="O66">
            <v>0</v>
          </cell>
        </row>
        <row r="67">
          <cell r="B67"/>
          <cell r="I67"/>
          <cell r="J67"/>
          <cell r="K67"/>
          <cell r="O67">
            <v>0</v>
          </cell>
        </row>
        <row r="68">
          <cell r="B68"/>
          <cell r="I68"/>
          <cell r="J68"/>
          <cell r="K68"/>
          <cell r="O68">
            <v>0</v>
          </cell>
        </row>
        <row r="69">
          <cell r="B69"/>
          <cell r="I69"/>
          <cell r="J69"/>
          <cell r="K69"/>
          <cell r="O69">
            <v>0</v>
          </cell>
        </row>
        <row r="70">
          <cell r="B70"/>
          <cell r="I70"/>
          <cell r="J70"/>
          <cell r="K70"/>
          <cell r="O70">
            <v>0</v>
          </cell>
        </row>
        <row r="71">
          <cell r="B71"/>
          <cell r="I71"/>
          <cell r="J71"/>
          <cell r="K71"/>
          <cell r="O71">
            <v>0</v>
          </cell>
        </row>
        <row r="72">
          <cell r="B72"/>
          <cell r="I72"/>
          <cell r="J72"/>
          <cell r="K72"/>
          <cell r="O72">
            <v>0</v>
          </cell>
        </row>
        <row r="73">
          <cell r="B73"/>
          <cell r="I73"/>
          <cell r="J73"/>
          <cell r="K73"/>
          <cell r="O73">
            <v>0</v>
          </cell>
        </row>
        <row r="74">
          <cell r="B74"/>
          <cell r="I74"/>
          <cell r="J74"/>
          <cell r="K74"/>
          <cell r="O74">
            <v>0</v>
          </cell>
        </row>
        <row r="75">
          <cell r="B75"/>
          <cell r="I75"/>
          <cell r="J75"/>
          <cell r="K75"/>
          <cell r="O75">
            <v>0</v>
          </cell>
        </row>
        <row r="76">
          <cell r="B76"/>
          <cell r="I76"/>
          <cell r="J76"/>
          <cell r="K76"/>
          <cell r="O76">
            <v>0</v>
          </cell>
        </row>
        <row r="77">
          <cell r="B77"/>
          <cell r="I77"/>
          <cell r="J77"/>
          <cell r="K77"/>
          <cell r="O77">
            <v>0</v>
          </cell>
        </row>
        <row r="78">
          <cell r="B78"/>
          <cell r="I78"/>
          <cell r="J78"/>
          <cell r="K78"/>
          <cell r="O78">
            <v>0</v>
          </cell>
        </row>
        <row r="79">
          <cell r="B79"/>
          <cell r="I79"/>
          <cell r="J79"/>
          <cell r="K79"/>
          <cell r="O79">
            <v>0</v>
          </cell>
        </row>
        <row r="80">
          <cell r="B80"/>
          <cell r="I80"/>
          <cell r="J80"/>
          <cell r="K80"/>
          <cell r="O80">
            <v>0</v>
          </cell>
        </row>
        <row r="81">
          <cell r="B81"/>
          <cell r="I81"/>
          <cell r="J81"/>
          <cell r="K81"/>
          <cell r="O81">
            <v>0</v>
          </cell>
        </row>
        <row r="82">
          <cell r="B82"/>
          <cell r="I82"/>
          <cell r="J82"/>
          <cell r="K82"/>
          <cell r="O82">
            <v>0</v>
          </cell>
        </row>
        <row r="83">
          <cell r="B83"/>
          <cell r="I83"/>
          <cell r="J83"/>
          <cell r="K83"/>
          <cell r="O83">
            <v>0</v>
          </cell>
        </row>
        <row r="84">
          <cell r="B84"/>
          <cell r="I84"/>
          <cell r="J84"/>
          <cell r="K84"/>
          <cell r="O84">
            <v>0</v>
          </cell>
        </row>
        <row r="85">
          <cell r="B85"/>
          <cell r="I85"/>
          <cell r="J85"/>
          <cell r="K85"/>
          <cell r="O85">
            <v>0</v>
          </cell>
        </row>
        <row r="86">
          <cell r="B86"/>
          <cell r="I86"/>
          <cell r="J86"/>
          <cell r="K86"/>
          <cell r="O86">
            <v>0</v>
          </cell>
        </row>
        <row r="87">
          <cell r="B87"/>
          <cell r="I87"/>
          <cell r="J87"/>
          <cell r="K87"/>
          <cell r="O87">
            <v>0</v>
          </cell>
        </row>
        <row r="88">
          <cell r="B88"/>
          <cell r="I88"/>
          <cell r="J88"/>
          <cell r="K88"/>
          <cell r="O88">
            <v>0</v>
          </cell>
        </row>
        <row r="89">
          <cell r="B89"/>
          <cell r="I89"/>
          <cell r="J89"/>
          <cell r="K89"/>
          <cell r="O89">
            <v>0</v>
          </cell>
        </row>
        <row r="90">
          <cell r="B90"/>
          <cell r="I90"/>
          <cell r="J90"/>
          <cell r="K90"/>
          <cell r="O90">
            <v>0</v>
          </cell>
        </row>
        <row r="91">
          <cell r="B91"/>
          <cell r="I91"/>
          <cell r="J91"/>
          <cell r="K91"/>
          <cell r="O91">
            <v>0</v>
          </cell>
        </row>
        <row r="92">
          <cell r="C92">
            <v>0</v>
          </cell>
          <cell r="D92">
            <v>0</v>
          </cell>
          <cell r="E92">
            <v>0</v>
          </cell>
          <cell r="F92">
            <v>0</v>
          </cell>
          <cell r="H92">
            <v>0</v>
          </cell>
          <cell r="L92">
            <v>0</v>
          </cell>
          <cell r="M92">
            <v>0</v>
          </cell>
        </row>
      </sheetData>
      <sheetData sheetId="5">
        <row r="2">
          <cell r="F2"/>
        </row>
        <row r="3">
          <cell r="F3"/>
        </row>
        <row r="4">
          <cell r="F4"/>
        </row>
        <row r="5">
          <cell r="F5"/>
        </row>
        <row r="6">
          <cell r="F6"/>
        </row>
        <row r="7">
          <cell r="F7"/>
        </row>
        <row r="8">
          <cell r="F8"/>
        </row>
        <row r="9">
          <cell r="F9"/>
        </row>
        <row r="10">
          <cell r="F10"/>
        </row>
        <row r="11">
          <cell r="F11"/>
        </row>
        <row r="12">
          <cell r="F12"/>
        </row>
        <row r="13">
          <cell r="F13"/>
        </row>
        <row r="14">
          <cell r="F14"/>
        </row>
        <row r="15">
          <cell r="F15"/>
        </row>
        <row r="16">
          <cell r="F16"/>
        </row>
        <row r="17">
          <cell r="F17"/>
        </row>
        <row r="18">
          <cell r="F18"/>
        </row>
        <row r="19">
          <cell r="F19"/>
        </row>
        <row r="20">
          <cell r="F20"/>
        </row>
        <row r="21">
          <cell r="F21"/>
        </row>
        <row r="22">
          <cell r="F22"/>
        </row>
        <row r="23">
          <cell r="F23"/>
        </row>
        <row r="24">
          <cell r="F24"/>
        </row>
        <row r="25">
          <cell r="F25"/>
        </row>
        <row r="26">
          <cell r="F26"/>
        </row>
        <row r="27">
          <cell r="F27"/>
        </row>
        <row r="28">
          <cell r="F28"/>
        </row>
        <row r="29">
          <cell r="F29"/>
        </row>
        <row r="30">
          <cell r="F30"/>
        </row>
        <row r="31">
          <cell r="F31"/>
        </row>
        <row r="32">
          <cell r="F32"/>
        </row>
        <row r="33">
          <cell r="F33"/>
        </row>
        <row r="34">
          <cell r="F34"/>
        </row>
        <row r="35">
          <cell r="F35"/>
        </row>
        <row r="36">
          <cell r="F36"/>
        </row>
        <row r="37">
          <cell r="F37"/>
        </row>
        <row r="38">
          <cell r="F38"/>
        </row>
        <row r="39">
          <cell r="F39"/>
        </row>
        <row r="40">
          <cell r="F40"/>
        </row>
        <row r="41">
          <cell r="F41"/>
        </row>
        <row r="42">
          <cell r="F42"/>
        </row>
        <row r="43">
          <cell r="F43"/>
        </row>
        <row r="44">
          <cell r="F44"/>
        </row>
        <row r="45">
          <cell r="F45"/>
        </row>
        <row r="46">
          <cell r="F46"/>
        </row>
        <row r="47">
          <cell r="F47"/>
        </row>
        <row r="48">
          <cell r="F48"/>
        </row>
        <row r="49">
          <cell r="F49"/>
        </row>
        <row r="50">
          <cell r="F50"/>
        </row>
        <row r="51">
          <cell r="F51"/>
        </row>
        <row r="52">
          <cell r="E52">
            <v>0</v>
          </cell>
        </row>
      </sheetData>
      <sheetData sheetId="6">
        <row r="2">
          <cell r="B2"/>
        </row>
        <row r="3">
          <cell r="B3"/>
        </row>
        <row r="4">
          <cell r="B4"/>
        </row>
        <row r="5">
          <cell r="B5"/>
        </row>
        <row r="6">
          <cell r="B6"/>
        </row>
        <row r="7">
          <cell r="B7"/>
        </row>
        <row r="8">
          <cell r="B8"/>
        </row>
        <row r="9">
          <cell r="B9"/>
        </row>
        <row r="10">
          <cell r="B10"/>
        </row>
        <row r="11">
          <cell r="B11"/>
        </row>
        <row r="12">
          <cell r="B12"/>
        </row>
        <row r="13">
          <cell r="B13"/>
        </row>
        <row r="14">
          <cell r="B14"/>
        </row>
        <row r="15">
          <cell r="B15"/>
        </row>
        <row r="16">
          <cell r="B16"/>
        </row>
        <row r="17">
          <cell r="B17"/>
        </row>
        <row r="18">
          <cell r="B18"/>
        </row>
        <row r="19">
          <cell r="B19"/>
        </row>
        <row r="20">
          <cell r="B20"/>
        </row>
        <row r="21">
          <cell r="B21"/>
        </row>
        <row r="22">
          <cell r="B22"/>
        </row>
        <row r="23">
          <cell r="B23"/>
        </row>
        <row r="24">
          <cell r="B24"/>
        </row>
        <row r="25">
          <cell r="B25"/>
        </row>
        <row r="26">
          <cell r="B26"/>
        </row>
        <row r="27">
          <cell r="B27"/>
        </row>
        <row r="28">
          <cell r="B28"/>
        </row>
        <row r="29">
          <cell r="B29"/>
        </row>
        <row r="30">
          <cell r="B30"/>
        </row>
        <row r="31">
          <cell r="B31"/>
        </row>
        <row r="32">
          <cell r="B32"/>
        </row>
        <row r="33">
          <cell r="B33"/>
        </row>
        <row r="34">
          <cell r="B34"/>
        </row>
        <row r="35">
          <cell r="B35"/>
        </row>
        <row r="36">
          <cell r="B36"/>
        </row>
        <row r="37">
          <cell r="B37"/>
        </row>
        <row r="38">
          <cell r="B38"/>
        </row>
        <row r="39">
          <cell r="B39"/>
        </row>
        <row r="40">
          <cell r="B40"/>
        </row>
        <row r="41">
          <cell r="B41"/>
        </row>
        <row r="42">
          <cell r="B42"/>
        </row>
        <row r="43">
          <cell r="B43"/>
        </row>
        <row r="44">
          <cell r="B44"/>
        </row>
        <row r="45">
          <cell r="B45"/>
        </row>
        <row r="46">
          <cell r="B46"/>
        </row>
        <row r="47">
          <cell r="B47"/>
        </row>
        <row r="48">
          <cell r="B48"/>
        </row>
        <row r="49">
          <cell r="B49"/>
        </row>
        <row r="50">
          <cell r="B50"/>
        </row>
        <row r="51">
          <cell r="B51"/>
        </row>
        <row r="52">
          <cell r="B52"/>
        </row>
        <row r="53">
          <cell r="B53"/>
        </row>
        <row r="54">
          <cell r="B54"/>
        </row>
        <row r="55">
          <cell r="B55"/>
        </row>
        <row r="56">
          <cell r="B56"/>
        </row>
        <row r="57">
          <cell r="B57"/>
        </row>
        <row r="58">
          <cell r="B58"/>
        </row>
        <row r="59">
          <cell r="B59"/>
        </row>
        <row r="60">
          <cell r="B60"/>
        </row>
        <row r="61">
          <cell r="B61"/>
        </row>
        <row r="62">
          <cell r="B62"/>
        </row>
        <row r="63">
          <cell r="B63"/>
        </row>
        <row r="64">
          <cell r="B64"/>
        </row>
        <row r="65">
          <cell r="B65"/>
        </row>
        <row r="66">
          <cell r="B66"/>
        </row>
        <row r="67">
          <cell r="B67"/>
        </row>
        <row r="68">
          <cell r="B68"/>
        </row>
        <row r="69">
          <cell r="B69"/>
        </row>
        <row r="70">
          <cell r="B70"/>
        </row>
        <row r="71">
          <cell r="B71"/>
        </row>
        <row r="72">
          <cell r="B72"/>
        </row>
        <row r="73">
          <cell r="B73"/>
        </row>
        <row r="74">
          <cell r="B74"/>
        </row>
        <row r="75">
          <cell r="B75"/>
        </row>
        <row r="76">
          <cell r="B76"/>
        </row>
        <row r="77">
          <cell r="B77"/>
        </row>
        <row r="78">
          <cell r="B78"/>
        </row>
        <row r="79">
          <cell r="B79"/>
        </row>
        <row r="80">
          <cell r="B80"/>
        </row>
        <row r="81">
          <cell r="B81"/>
        </row>
        <row r="82">
          <cell r="B82"/>
        </row>
        <row r="83">
          <cell r="B83"/>
        </row>
        <row r="84">
          <cell r="B84"/>
        </row>
        <row r="85">
          <cell r="B85"/>
        </row>
        <row r="86">
          <cell r="B86"/>
        </row>
        <row r="87">
          <cell r="B87"/>
        </row>
        <row r="88">
          <cell r="B88"/>
        </row>
        <row r="89">
          <cell r="B89"/>
        </row>
        <row r="90">
          <cell r="B90"/>
        </row>
        <row r="91">
          <cell r="B91"/>
        </row>
        <row r="92">
          <cell r="B92"/>
        </row>
        <row r="93">
          <cell r="B93"/>
        </row>
        <row r="94">
          <cell r="B94"/>
        </row>
        <row r="95">
          <cell r="B95"/>
        </row>
        <row r="96">
          <cell r="B96"/>
        </row>
        <row r="97">
          <cell r="B97"/>
        </row>
        <row r="98">
          <cell r="B98"/>
        </row>
        <row r="99">
          <cell r="B99"/>
        </row>
        <row r="100">
          <cell r="B100"/>
        </row>
        <row r="101">
          <cell r="B101"/>
        </row>
        <row r="102">
          <cell r="B102"/>
        </row>
        <row r="103">
          <cell r="B103"/>
        </row>
        <row r="104">
          <cell r="B104"/>
        </row>
        <row r="105">
          <cell r="B105"/>
        </row>
        <row r="106">
          <cell r="B106"/>
        </row>
        <row r="107">
          <cell r="B107"/>
        </row>
        <row r="108">
          <cell r="B108"/>
        </row>
        <row r="109">
          <cell r="B109"/>
        </row>
        <row r="110">
          <cell r="B110"/>
        </row>
        <row r="111">
          <cell r="B111"/>
        </row>
        <row r="112">
          <cell r="B112"/>
        </row>
        <row r="113">
          <cell r="B113"/>
        </row>
        <row r="114">
          <cell r="B114"/>
        </row>
        <row r="115">
          <cell r="B115"/>
        </row>
        <row r="116">
          <cell r="B116"/>
        </row>
        <row r="117">
          <cell r="B117"/>
        </row>
        <row r="118">
          <cell r="B118"/>
        </row>
        <row r="119">
          <cell r="B119"/>
        </row>
        <row r="120">
          <cell r="B120"/>
        </row>
        <row r="121">
          <cell r="B121"/>
        </row>
        <row r="122">
          <cell r="D122">
            <v>0</v>
          </cell>
          <cell r="E122">
            <v>0</v>
          </cell>
          <cell r="F122">
            <v>0</v>
          </cell>
          <cell r="H122">
            <v>0</v>
          </cell>
        </row>
      </sheetData>
      <sheetData sheetId="7">
        <row r="2">
          <cell r="B2"/>
        </row>
        <row r="3">
          <cell r="B3"/>
        </row>
        <row r="4">
          <cell r="B4"/>
        </row>
        <row r="5">
          <cell r="B5"/>
        </row>
        <row r="6">
          <cell r="B6"/>
        </row>
        <row r="7">
          <cell r="B7"/>
        </row>
        <row r="8">
          <cell r="B8"/>
        </row>
        <row r="9">
          <cell r="B9"/>
        </row>
        <row r="10">
          <cell r="B10"/>
        </row>
        <row r="11">
          <cell r="B11"/>
        </row>
        <row r="12">
          <cell r="B12"/>
        </row>
        <row r="13">
          <cell r="B13"/>
        </row>
        <row r="14">
          <cell r="B14"/>
        </row>
        <row r="15">
          <cell r="B15"/>
        </row>
        <row r="16">
          <cell r="B16"/>
        </row>
        <row r="17">
          <cell r="B17"/>
        </row>
        <row r="18">
          <cell r="B18"/>
        </row>
        <row r="19">
          <cell r="B19"/>
        </row>
        <row r="20">
          <cell r="B20"/>
        </row>
        <row r="21">
          <cell r="B21"/>
        </row>
        <row r="22">
          <cell r="B22"/>
        </row>
        <row r="23">
          <cell r="B23"/>
        </row>
        <row r="24">
          <cell r="B24"/>
        </row>
        <row r="25">
          <cell r="B25"/>
        </row>
        <row r="26">
          <cell r="B26"/>
        </row>
        <row r="27">
          <cell r="B27"/>
        </row>
        <row r="28">
          <cell r="B28"/>
        </row>
        <row r="29">
          <cell r="B29"/>
        </row>
        <row r="30">
          <cell r="B30"/>
        </row>
        <row r="31">
          <cell r="B31"/>
        </row>
        <row r="32">
          <cell r="B32"/>
        </row>
        <row r="33">
          <cell r="B33"/>
        </row>
        <row r="34">
          <cell r="B34"/>
        </row>
        <row r="35">
          <cell r="B35"/>
        </row>
        <row r="36">
          <cell r="B36"/>
        </row>
        <row r="37">
          <cell r="B37"/>
        </row>
        <row r="38">
          <cell r="B38"/>
        </row>
        <row r="39">
          <cell r="B39"/>
        </row>
        <row r="40">
          <cell r="B40"/>
        </row>
        <row r="41">
          <cell r="B41"/>
        </row>
        <row r="42">
          <cell r="B42"/>
        </row>
        <row r="43">
          <cell r="B43"/>
        </row>
        <row r="44">
          <cell r="B44"/>
        </row>
        <row r="45">
          <cell r="B45"/>
        </row>
        <row r="46">
          <cell r="B46"/>
        </row>
        <row r="47">
          <cell r="B47"/>
        </row>
        <row r="48">
          <cell r="B48"/>
        </row>
        <row r="49">
          <cell r="B49"/>
        </row>
        <row r="50">
          <cell r="B50"/>
        </row>
        <row r="51">
          <cell r="B51"/>
        </row>
        <row r="52">
          <cell r="B52"/>
        </row>
        <row r="53">
          <cell r="B53"/>
        </row>
        <row r="54">
          <cell r="B54"/>
        </row>
        <row r="55">
          <cell r="B55"/>
        </row>
        <row r="56">
          <cell r="B56"/>
        </row>
        <row r="57">
          <cell r="B57"/>
        </row>
        <row r="58">
          <cell r="B58"/>
        </row>
        <row r="59">
          <cell r="B59"/>
        </row>
        <row r="60">
          <cell r="B60"/>
        </row>
        <row r="61">
          <cell r="B61"/>
        </row>
        <row r="62">
          <cell r="B62"/>
        </row>
        <row r="63">
          <cell r="B63"/>
        </row>
        <row r="64">
          <cell r="B64"/>
        </row>
        <row r="65">
          <cell r="B65"/>
        </row>
        <row r="66">
          <cell r="B66"/>
        </row>
        <row r="67">
          <cell r="B67"/>
        </row>
        <row r="68">
          <cell r="B68"/>
        </row>
        <row r="69">
          <cell r="B69"/>
        </row>
        <row r="70">
          <cell r="B70"/>
        </row>
        <row r="71">
          <cell r="B71"/>
        </row>
        <row r="72">
          <cell r="B72"/>
        </row>
        <row r="73">
          <cell r="B73"/>
        </row>
        <row r="74">
          <cell r="B74"/>
        </row>
        <row r="75">
          <cell r="B75"/>
        </row>
        <row r="76">
          <cell r="B76"/>
        </row>
        <row r="77">
          <cell r="B77"/>
        </row>
        <row r="78">
          <cell r="B78"/>
        </row>
        <row r="79">
          <cell r="B79"/>
        </row>
        <row r="80">
          <cell r="B80"/>
        </row>
        <row r="81">
          <cell r="B81"/>
        </row>
        <row r="82">
          <cell r="B82"/>
        </row>
        <row r="83">
          <cell r="B83"/>
        </row>
        <row r="84">
          <cell r="B84"/>
        </row>
        <row r="85">
          <cell r="B85"/>
        </row>
        <row r="86">
          <cell r="B86"/>
        </row>
        <row r="87">
          <cell r="B87"/>
        </row>
        <row r="88">
          <cell r="B88"/>
        </row>
        <row r="89">
          <cell r="B89"/>
        </row>
        <row r="90">
          <cell r="B90"/>
        </row>
        <row r="91">
          <cell r="B91"/>
        </row>
        <row r="92">
          <cell r="F92">
            <v>0</v>
          </cell>
          <cell r="G92">
            <v>0</v>
          </cell>
          <cell r="H92">
            <v>0</v>
          </cell>
          <cell r="I92">
            <v>0</v>
          </cell>
          <cell r="K92">
            <v>0</v>
          </cell>
        </row>
      </sheetData>
      <sheetData sheetId="8"/>
      <sheetData sheetId="9"/>
      <sheetData sheetId="10">
        <row r="2">
          <cell r="A2" t="e">
            <v>#REF!</v>
          </cell>
          <cell r="M2" t="e">
            <v>#REF!</v>
          </cell>
          <cell r="N2" t="e">
            <v>#REF!</v>
          </cell>
          <cell r="O2" t="e">
            <v>#REF!</v>
          </cell>
          <cell r="P2" t="e">
            <v>#REF!</v>
          </cell>
          <cell r="Q2" t="e">
            <v>#REF!</v>
          </cell>
          <cell r="W2">
            <v>0</v>
          </cell>
        </row>
        <row r="3">
          <cell r="F3" t="e">
            <v>#REF!</v>
          </cell>
          <cell r="G3" t="e">
            <v>#REF!</v>
          </cell>
          <cell r="W3">
            <v>0</v>
          </cell>
        </row>
        <row r="4">
          <cell r="W4">
            <v>0</v>
          </cell>
        </row>
        <row r="5">
          <cell r="W5">
            <v>0</v>
          </cell>
        </row>
        <row r="6">
          <cell r="W6">
            <v>0</v>
          </cell>
        </row>
        <row r="7">
          <cell r="W7">
            <v>0</v>
          </cell>
        </row>
        <row r="8">
          <cell r="M8" t="e">
            <v>#REF!</v>
          </cell>
          <cell r="N8" t="e">
            <v>#REF!</v>
          </cell>
          <cell r="P8" t="e">
            <v>#REF!</v>
          </cell>
          <cell r="Q8" t="e">
            <v>#REF!</v>
          </cell>
          <cell r="R8" t="e">
            <v>#REF!</v>
          </cell>
          <cell r="W8">
            <v>0</v>
          </cell>
        </row>
        <row r="9">
          <cell r="F9">
            <v>0</v>
          </cell>
          <cell r="G9">
            <v>0</v>
          </cell>
          <cell r="W9">
            <v>0</v>
          </cell>
        </row>
        <row r="10">
          <cell r="W10">
            <v>0</v>
          </cell>
        </row>
        <row r="11">
          <cell r="W11">
            <v>0</v>
          </cell>
        </row>
        <row r="12">
          <cell r="W12">
            <v>0</v>
          </cell>
        </row>
        <row r="13">
          <cell r="A13" t="e">
            <v>#REF!</v>
          </cell>
          <cell r="G13" t="e">
            <v>#REF!</v>
          </cell>
          <cell r="H13" t="e">
            <v>#REF!</v>
          </cell>
          <cell r="I13" t="e">
            <v>#REF!</v>
          </cell>
          <cell r="M13" t="e">
            <v>#REF!</v>
          </cell>
          <cell r="N13" t="e">
            <v>#REF!</v>
          </cell>
          <cell r="O13" t="e">
            <v>#REF!</v>
          </cell>
          <cell r="P13" t="e">
            <v>#REF!</v>
          </cell>
          <cell r="W13">
            <v>0</v>
          </cell>
        </row>
        <row r="14">
          <cell r="W14">
            <v>0</v>
          </cell>
        </row>
        <row r="15">
          <cell r="W15">
            <v>0</v>
          </cell>
        </row>
        <row r="16">
          <cell r="W16">
            <v>0</v>
          </cell>
        </row>
        <row r="17">
          <cell r="W17">
            <v>0</v>
          </cell>
        </row>
        <row r="18">
          <cell r="W18">
            <v>0</v>
          </cell>
        </row>
        <row r="19">
          <cell r="W19">
            <v>0</v>
          </cell>
        </row>
        <row r="20">
          <cell r="W20">
            <v>0</v>
          </cell>
        </row>
        <row r="21">
          <cell r="M21" t="e">
            <v>#REF!</v>
          </cell>
          <cell r="N21" t="e">
            <v>#REF!</v>
          </cell>
          <cell r="O21" t="e">
            <v>#REF!</v>
          </cell>
          <cell r="P21" t="e">
            <v>#REF!</v>
          </cell>
          <cell r="Q21" t="e">
            <v>#REF!</v>
          </cell>
          <cell r="R21"/>
          <cell r="W21">
            <v>0</v>
          </cell>
        </row>
        <row r="22">
          <cell r="W22">
            <v>0</v>
          </cell>
        </row>
        <row r="23">
          <cell r="W23">
            <v>0</v>
          </cell>
        </row>
        <row r="24">
          <cell r="W24">
            <v>0</v>
          </cell>
        </row>
        <row r="25">
          <cell r="W25">
            <v>0</v>
          </cell>
        </row>
        <row r="26">
          <cell r="W26">
            <v>0</v>
          </cell>
        </row>
        <row r="27">
          <cell r="W27">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72"/>
  <sheetViews>
    <sheetView topLeftCell="A4" zoomScaleNormal="100" zoomScaleSheetLayoutView="100" zoomScalePageLayoutView="60" workbookViewId="0">
      <selection activeCell="D13" sqref="D13:D14"/>
    </sheetView>
  </sheetViews>
  <sheetFormatPr defaultRowHeight="13.2" x14ac:dyDescent="0.25"/>
  <cols>
    <col min="2" max="2" width="35.77734375" customWidth="1"/>
    <col min="3" max="3" width="10.21875" style="1" customWidth="1"/>
    <col min="4" max="4" width="11.44140625" style="1" customWidth="1"/>
    <col min="5" max="5" width="11.44140625" style="38" customWidth="1"/>
    <col min="6" max="6" width="11.44140625" style="64" customWidth="1"/>
    <col min="8" max="8" width="51.77734375" bestFit="1" customWidth="1"/>
    <col min="18" max="18" width="11.77734375" customWidth="1"/>
  </cols>
  <sheetData>
    <row r="1" spans="1:22" x14ac:dyDescent="0.25">
      <c r="J1" s="200"/>
      <c r="K1" s="200"/>
      <c r="L1" s="200"/>
      <c r="M1" s="200"/>
      <c r="N1" s="200"/>
      <c r="O1" s="200"/>
      <c r="P1" s="200"/>
      <c r="Q1" s="200"/>
      <c r="R1" s="200"/>
      <c r="S1" s="200"/>
      <c r="T1" s="200"/>
      <c r="U1" s="200"/>
      <c r="V1" s="200"/>
    </row>
    <row r="2" spans="1:22" x14ac:dyDescent="0.25">
      <c r="J2" s="200"/>
      <c r="K2" s="200" t="s">
        <v>1255</v>
      </c>
      <c r="L2" s="200"/>
      <c r="M2" s="200"/>
      <c r="N2" s="200"/>
      <c r="O2" s="200"/>
      <c r="P2" s="200"/>
      <c r="Q2" s="200"/>
      <c r="R2" s="200"/>
      <c r="S2" s="200"/>
      <c r="T2" s="200"/>
      <c r="U2" s="200"/>
      <c r="V2" s="200"/>
    </row>
    <row r="3" spans="1:22" x14ac:dyDescent="0.25">
      <c r="J3" s="200"/>
      <c r="K3" s="200" t="s">
        <v>1256</v>
      </c>
      <c r="L3" s="200"/>
      <c r="M3" s="200"/>
      <c r="N3" s="200"/>
      <c r="O3" s="200"/>
      <c r="P3" s="200"/>
      <c r="Q3" s="200"/>
      <c r="R3" s="200"/>
      <c r="S3" s="200"/>
      <c r="T3" s="200"/>
      <c r="U3" s="200"/>
      <c r="V3" s="200"/>
    </row>
    <row r="4" spans="1:22" x14ac:dyDescent="0.25">
      <c r="J4" s="200"/>
      <c r="K4" s="200" t="s">
        <v>1264</v>
      </c>
      <c r="L4" s="200"/>
      <c r="M4" s="200"/>
      <c r="N4" s="200"/>
      <c r="O4" s="200"/>
      <c r="P4" s="200"/>
      <c r="Q4" s="200"/>
      <c r="R4" s="200"/>
      <c r="S4" s="200"/>
      <c r="T4" s="200"/>
      <c r="U4" s="200"/>
      <c r="V4" s="200"/>
    </row>
    <row r="5" spans="1:22" x14ac:dyDescent="0.25">
      <c r="J5" s="200"/>
      <c r="K5" s="200" t="s">
        <v>1257</v>
      </c>
      <c r="L5" s="200"/>
      <c r="M5" s="200"/>
      <c r="N5" s="200"/>
      <c r="O5" s="200"/>
      <c r="P5" s="200"/>
      <c r="Q5" s="200"/>
      <c r="R5" s="200"/>
      <c r="S5" s="200"/>
      <c r="T5" s="200"/>
      <c r="U5" s="200"/>
      <c r="V5" s="200"/>
    </row>
    <row r="6" spans="1:22" ht="13.8" thickBot="1" x14ac:dyDescent="0.3">
      <c r="J6" s="200"/>
      <c r="K6" s="197" t="s">
        <v>1265</v>
      </c>
      <c r="L6" s="200"/>
      <c r="M6" s="200"/>
      <c r="N6" s="200"/>
      <c r="O6" s="200"/>
      <c r="P6" s="200"/>
      <c r="Q6" s="200"/>
      <c r="R6" s="200"/>
      <c r="S6" s="200"/>
      <c r="T6" s="200"/>
      <c r="U6" s="200"/>
      <c r="V6" s="200"/>
    </row>
    <row r="7" spans="1:22" ht="13.8" thickBot="1" x14ac:dyDescent="0.3">
      <c r="A7" s="5" t="s">
        <v>0</v>
      </c>
      <c r="B7" s="5" t="s">
        <v>1</v>
      </c>
      <c r="C7" s="5" t="s">
        <v>2</v>
      </c>
      <c r="D7" s="5" t="s">
        <v>3</v>
      </c>
      <c r="E7" s="33" t="s">
        <v>4</v>
      </c>
      <c r="F7" s="61" t="s">
        <v>5</v>
      </c>
      <c r="H7" s="199" t="s">
        <v>1294</v>
      </c>
      <c r="J7" s="200"/>
      <c r="K7" s="197" t="s">
        <v>1258</v>
      </c>
      <c r="L7" s="200"/>
      <c r="M7" s="200"/>
      <c r="N7" s="200"/>
      <c r="O7" s="200"/>
      <c r="P7" s="200"/>
      <c r="Q7" s="200"/>
      <c r="R7" s="200"/>
      <c r="S7" s="200"/>
      <c r="T7" s="200"/>
      <c r="U7" s="200"/>
      <c r="V7" s="200"/>
    </row>
    <row r="8" spans="1:22" x14ac:dyDescent="0.25">
      <c r="A8" s="3"/>
      <c r="B8" s="3"/>
      <c r="C8" s="4"/>
      <c r="D8" s="4"/>
      <c r="E8" s="41" t="s">
        <v>6</v>
      </c>
      <c r="F8" s="84" t="s">
        <v>6</v>
      </c>
      <c r="J8" s="200"/>
      <c r="K8" s="197" t="s">
        <v>1267</v>
      </c>
      <c r="L8" s="200"/>
      <c r="M8" s="200"/>
      <c r="N8" s="200"/>
      <c r="O8" s="200"/>
      <c r="P8" s="200"/>
      <c r="Q8" s="200"/>
      <c r="R8" s="200"/>
      <c r="S8" s="200"/>
      <c r="T8" s="200"/>
      <c r="U8" s="200"/>
      <c r="V8" s="200"/>
    </row>
    <row r="9" spans="1:22" s="43" customFormat="1" ht="26.4" x14ac:dyDescent="0.25">
      <c r="A9" s="114" t="s">
        <v>7</v>
      </c>
      <c r="B9" s="114" t="s">
        <v>8</v>
      </c>
      <c r="C9" s="115"/>
      <c r="D9" s="115"/>
      <c r="E9" s="116"/>
      <c r="F9" s="79"/>
      <c r="J9" s="197"/>
      <c r="K9" s="197"/>
      <c r="L9" s="197"/>
      <c r="M9" s="197"/>
      <c r="N9" s="197"/>
      <c r="O9" s="197"/>
      <c r="P9" s="197"/>
      <c r="Q9" s="197"/>
      <c r="R9" s="197"/>
      <c r="S9" s="197"/>
      <c r="T9" s="197"/>
      <c r="U9" s="197"/>
      <c r="V9" s="197"/>
    </row>
    <row r="10" spans="1:22" s="43" customFormat="1" ht="26.4" x14ac:dyDescent="0.3">
      <c r="A10" s="30" t="s">
        <v>9</v>
      </c>
      <c r="B10" s="66" t="s">
        <v>10</v>
      </c>
      <c r="C10" s="30" t="s">
        <v>11</v>
      </c>
      <c r="D10" s="31" t="s">
        <v>716</v>
      </c>
      <c r="E10" s="31" t="s">
        <v>1120</v>
      </c>
      <c r="F10" s="79" t="s">
        <v>1184</v>
      </c>
      <c r="J10" s="197"/>
      <c r="K10" s="197"/>
      <c r="L10" s="197"/>
      <c r="M10" s="197"/>
      <c r="N10" s="201" t="s">
        <v>1299</v>
      </c>
      <c r="O10" s="197"/>
      <c r="P10" s="197"/>
      <c r="Q10" s="197"/>
      <c r="R10" s="197"/>
      <c r="S10" s="197"/>
      <c r="T10" s="197"/>
      <c r="U10" s="197"/>
      <c r="V10" s="197"/>
    </row>
    <row r="11" spans="1:22" s="43" customFormat="1" ht="26.4" x14ac:dyDescent="0.25">
      <c r="A11" s="30" t="s">
        <v>12</v>
      </c>
      <c r="B11" s="66" t="s">
        <v>13</v>
      </c>
      <c r="C11" s="30" t="s">
        <v>11</v>
      </c>
      <c r="D11" s="31" t="s">
        <v>716</v>
      </c>
      <c r="E11" s="31" t="s">
        <v>1120</v>
      </c>
      <c r="F11" s="79" t="s">
        <v>1184</v>
      </c>
      <c r="H11" s="43" t="s">
        <v>1293</v>
      </c>
      <c r="J11" s="197"/>
      <c r="K11" s="197"/>
      <c r="L11" s="197"/>
      <c r="M11" s="197"/>
      <c r="N11" s="197"/>
      <c r="O11" s="197"/>
      <c r="P11" s="197"/>
      <c r="Q11" s="197"/>
      <c r="R11" s="197"/>
      <c r="S11" s="197"/>
      <c r="T11" s="197"/>
      <c r="U11" s="197"/>
      <c r="V11" s="197"/>
    </row>
    <row r="12" spans="1:22" s="43" customFormat="1" ht="39.6" x14ac:dyDescent="0.25">
      <c r="A12" s="30" t="s">
        <v>14</v>
      </c>
      <c r="B12" s="66" t="s">
        <v>15</v>
      </c>
      <c r="C12" s="30" t="s">
        <v>11</v>
      </c>
      <c r="D12" s="31" t="s">
        <v>716</v>
      </c>
      <c r="E12" s="31" t="s">
        <v>1120</v>
      </c>
      <c r="F12" s="79" t="s">
        <v>1184</v>
      </c>
    </row>
    <row r="13" spans="1:22" s="43" customFormat="1" ht="26.4" x14ac:dyDescent="0.25">
      <c r="A13" s="30" t="s">
        <v>16</v>
      </c>
      <c r="B13" s="66" t="s">
        <v>17</v>
      </c>
      <c r="C13" s="30" t="s">
        <v>11</v>
      </c>
      <c r="D13" s="31" t="s">
        <v>716</v>
      </c>
      <c r="E13" s="31" t="s">
        <v>1120</v>
      </c>
      <c r="F13" s="79" t="s">
        <v>1184</v>
      </c>
      <c r="R13" s="31" t="s">
        <v>716</v>
      </c>
    </row>
    <row r="14" spans="1:22" s="43" customFormat="1" ht="39.6" x14ac:dyDescent="0.25">
      <c r="A14" s="30" t="s">
        <v>18</v>
      </c>
      <c r="B14" s="66" t="s">
        <v>19</v>
      </c>
      <c r="C14" s="30" t="s">
        <v>11</v>
      </c>
      <c r="D14" s="31" t="s">
        <v>716</v>
      </c>
      <c r="E14" s="31" t="s">
        <v>1120</v>
      </c>
      <c r="F14" s="79" t="s">
        <v>1184</v>
      </c>
      <c r="R14" s="31" t="s">
        <v>1120</v>
      </c>
    </row>
    <row r="15" spans="1:22" s="43" customFormat="1" ht="39.6" x14ac:dyDescent="0.25">
      <c r="A15" s="30" t="s">
        <v>20</v>
      </c>
      <c r="B15" s="66" t="s">
        <v>21</v>
      </c>
      <c r="C15" s="30" t="s">
        <v>11</v>
      </c>
      <c r="D15" s="31" t="s">
        <v>716</v>
      </c>
      <c r="E15" s="31" t="s">
        <v>1120</v>
      </c>
      <c r="F15" s="79" t="s">
        <v>1184</v>
      </c>
      <c r="R15" s="90" t="s">
        <v>1184</v>
      </c>
    </row>
    <row r="16" spans="1:22" s="43" customFormat="1" ht="26.4" x14ac:dyDescent="0.25">
      <c r="A16" s="30" t="s">
        <v>22</v>
      </c>
      <c r="B16" s="66" t="s">
        <v>23</v>
      </c>
      <c r="C16" s="30" t="s">
        <v>11</v>
      </c>
      <c r="D16" s="31" t="s">
        <v>716</v>
      </c>
      <c r="E16" s="31" t="s">
        <v>1120</v>
      </c>
      <c r="F16" s="79" t="s">
        <v>1184</v>
      </c>
    </row>
    <row r="17" spans="1:6" s="43" customFormat="1" ht="39.6" x14ac:dyDescent="0.25">
      <c r="A17" s="30" t="s">
        <v>24</v>
      </c>
      <c r="B17" s="66" t="s">
        <v>25</v>
      </c>
      <c r="C17" s="30" t="s">
        <v>11</v>
      </c>
      <c r="D17" s="31" t="s">
        <v>716</v>
      </c>
      <c r="E17" s="31" t="s">
        <v>1120</v>
      </c>
      <c r="F17" s="79" t="s">
        <v>1184</v>
      </c>
    </row>
    <row r="18" spans="1:6" s="43" customFormat="1" ht="39.6" x14ac:dyDescent="0.25">
      <c r="A18" s="30" t="s">
        <v>26</v>
      </c>
      <c r="B18" s="66" t="s">
        <v>27</v>
      </c>
      <c r="C18" s="30" t="s">
        <v>11</v>
      </c>
      <c r="D18" s="31" t="s">
        <v>716</v>
      </c>
      <c r="E18" s="31" t="s">
        <v>1120</v>
      </c>
      <c r="F18" s="79" t="s">
        <v>1184</v>
      </c>
    </row>
    <row r="19" spans="1:6" s="43" customFormat="1" ht="26.4" x14ac:dyDescent="0.25">
      <c r="A19" s="30" t="s">
        <v>28</v>
      </c>
      <c r="B19" s="66" t="s">
        <v>29</v>
      </c>
      <c r="C19" s="30" t="s">
        <v>11</v>
      </c>
      <c r="D19" s="31" t="s">
        <v>716</v>
      </c>
      <c r="E19" s="31" t="s">
        <v>1120</v>
      </c>
      <c r="F19" s="79" t="s">
        <v>1184</v>
      </c>
    </row>
    <row r="20" spans="1:6" s="43" customFormat="1" ht="39.6" x14ac:dyDescent="0.25">
      <c r="A20" s="30" t="s">
        <v>30</v>
      </c>
      <c r="B20" s="66" t="s">
        <v>31</v>
      </c>
      <c r="C20" s="30" t="s">
        <v>11</v>
      </c>
      <c r="D20" s="31" t="s">
        <v>716</v>
      </c>
      <c r="E20" s="31" t="s">
        <v>1120</v>
      </c>
      <c r="F20" s="79" t="s">
        <v>1184</v>
      </c>
    </row>
    <row r="21" spans="1:6" s="43" customFormat="1" ht="26.4" x14ac:dyDescent="0.25">
      <c r="A21" s="30" t="s">
        <v>32</v>
      </c>
      <c r="B21" s="66" t="s">
        <v>1105</v>
      </c>
      <c r="C21" s="30" t="s">
        <v>45</v>
      </c>
      <c r="D21" s="31" t="s">
        <v>716</v>
      </c>
      <c r="E21" s="31" t="s">
        <v>1120</v>
      </c>
      <c r="F21" s="79" t="s">
        <v>1184</v>
      </c>
    </row>
    <row r="22" spans="1:6" s="43" customFormat="1" ht="29.1" customHeight="1" x14ac:dyDescent="0.25">
      <c r="A22" s="30" t="s">
        <v>33</v>
      </c>
      <c r="B22" s="66" t="s">
        <v>34</v>
      </c>
      <c r="C22" s="30" t="s">
        <v>45</v>
      </c>
      <c r="D22" s="31" t="s">
        <v>716</v>
      </c>
      <c r="E22" s="31" t="s">
        <v>1120</v>
      </c>
      <c r="F22" s="79" t="s">
        <v>1184</v>
      </c>
    </row>
    <row r="23" spans="1:6" s="43" customFormat="1" ht="39.6" x14ac:dyDescent="0.25">
      <c r="A23" s="30" t="s">
        <v>35</v>
      </c>
      <c r="B23" s="66" t="s">
        <v>36</v>
      </c>
      <c r="C23" s="30" t="s">
        <v>45</v>
      </c>
      <c r="D23" s="31" t="s">
        <v>716</v>
      </c>
      <c r="E23" s="31" t="s">
        <v>1120</v>
      </c>
      <c r="F23" s="79" t="s">
        <v>1184</v>
      </c>
    </row>
    <row r="24" spans="1:6" s="43" customFormat="1" ht="26.4" x14ac:dyDescent="0.25">
      <c r="A24" s="30" t="s">
        <v>38</v>
      </c>
      <c r="B24" s="66" t="s">
        <v>39</v>
      </c>
      <c r="C24" s="30" t="s">
        <v>45</v>
      </c>
      <c r="D24" s="31" t="s">
        <v>716</v>
      </c>
      <c r="E24" s="31" t="s">
        <v>1120</v>
      </c>
      <c r="F24" s="79" t="s">
        <v>1184</v>
      </c>
    </row>
    <row r="25" spans="1:6" s="43" customFormat="1" ht="39.6" x14ac:dyDescent="0.25">
      <c r="A25" s="30" t="s">
        <v>40</v>
      </c>
      <c r="B25" s="66" t="s">
        <v>41</v>
      </c>
      <c r="C25" s="30" t="s">
        <v>45</v>
      </c>
      <c r="D25" s="31" t="s">
        <v>716</v>
      </c>
      <c r="E25" s="31" t="s">
        <v>1120</v>
      </c>
      <c r="F25" s="79" t="s">
        <v>1184</v>
      </c>
    </row>
    <row r="26" spans="1:6" s="43" customFormat="1" ht="39.6" x14ac:dyDescent="0.25">
      <c r="A26" s="30" t="s">
        <v>42</v>
      </c>
      <c r="B26" s="66" t="s">
        <v>43</v>
      </c>
      <c r="C26" s="30" t="s">
        <v>45</v>
      </c>
      <c r="D26" s="31" t="s">
        <v>716</v>
      </c>
      <c r="E26" s="31" t="s">
        <v>1120</v>
      </c>
      <c r="F26" s="79" t="s">
        <v>1184</v>
      </c>
    </row>
    <row r="27" spans="1:6" s="43" customFormat="1" ht="150" customHeight="1" x14ac:dyDescent="0.25">
      <c r="A27" s="30" t="s">
        <v>44</v>
      </c>
      <c r="B27" s="66" t="s">
        <v>1119</v>
      </c>
      <c r="C27" s="30" t="s">
        <v>45</v>
      </c>
      <c r="D27" s="31" t="s">
        <v>716</v>
      </c>
      <c r="E27" s="31" t="s">
        <v>1120</v>
      </c>
      <c r="F27" s="79" t="s">
        <v>1184</v>
      </c>
    </row>
    <row r="28" spans="1:6" s="43" customFormat="1" ht="26.4" x14ac:dyDescent="0.25">
      <c r="A28" s="30" t="s">
        <v>46</v>
      </c>
      <c r="B28" s="66" t="s">
        <v>47</v>
      </c>
      <c r="C28" s="30" t="s">
        <v>48</v>
      </c>
      <c r="D28" s="31" t="s">
        <v>716</v>
      </c>
      <c r="E28" s="31" t="s">
        <v>1120</v>
      </c>
      <c r="F28" s="79" t="s">
        <v>1184</v>
      </c>
    </row>
    <row r="29" spans="1:6" s="43" customFormat="1" ht="26.4" x14ac:dyDescent="0.25">
      <c r="A29" s="30" t="s">
        <v>49</v>
      </c>
      <c r="B29" s="66" t="s">
        <v>50</v>
      </c>
      <c r="C29" s="30" t="s">
        <v>11</v>
      </c>
      <c r="D29" s="31" t="s">
        <v>716</v>
      </c>
      <c r="E29" s="31" t="s">
        <v>1120</v>
      </c>
      <c r="F29" s="79" t="s">
        <v>1184</v>
      </c>
    </row>
    <row r="30" spans="1:6" s="43" customFormat="1" ht="26.4" x14ac:dyDescent="0.25">
      <c r="A30" s="30" t="s">
        <v>51</v>
      </c>
      <c r="B30" s="66" t="s">
        <v>52</v>
      </c>
      <c r="C30" s="30" t="s">
        <v>53</v>
      </c>
      <c r="D30" s="31" t="s">
        <v>54</v>
      </c>
      <c r="E30" s="31" t="s">
        <v>1120</v>
      </c>
      <c r="F30" s="79" t="s">
        <v>1184</v>
      </c>
    </row>
    <row r="31" spans="1:6" s="43" customFormat="1" ht="26.4" x14ac:dyDescent="0.25">
      <c r="A31" s="30" t="s">
        <v>55</v>
      </c>
      <c r="B31" s="66" t="s">
        <v>56</v>
      </c>
      <c r="C31" s="30" t="s">
        <v>53</v>
      </c>
      <c r="D31" s="31" t="s">
        <v>54</v>
      </c>
      <c r="E31" s="31" t="s">
        <v>1120</v>
      </c>
      <c r="F31" s="79" t="s">
        <v>1184</v>
      </c>
    </row>
    <row r="32" spans="1:6" s="43" customFormat="1" ht="39.6" x14ac:dyDescent="0.25">
      <c r="A32" s="30" t="s">
        <v>57</v>
      </c>
      <c r="B32" s="66" t="s">
        <v>58</v>
      </c>
      <c r="C32" s="30" t="s">
        <v>53</v>
      </c>
      <c r="D32" s="31" t="s">
        <v>54</v>
      </c>
      <c r="E32" s="31" t="s">
        <v>1120</v>
      </c>
      <c r="F32" s="79" t="s">
        <v>1184</v>
      </c>
    </row>
    <row r="33" spans="1:8" s="43" customFormat="1" ht="39.6" x14ac:dyDescent="0.25">
      <c r="A33" s="30" t="s">
        <v>59</v>
      </c>
      <c r="B33" s="66" t="s">
        <v>60</v>
      </c>
      <c r="C33" s="30" t="s">
        <v>53</v>
      </c>
      <c r="D33" s="31" t="s">
        <v>54</v>
      </c>
      <c r="E33" s="31" t="s">
        <v>1120</v>
      </c>
      <c r="F33" s="79" t="s">
        <v>1184</v>
      </c>
    </row>
    <row r="34" spans="1:8" s="43" customFormat="1" ht="39.6" x14ac:dyDescent="0.25">
      <c r="A34" s="30" t="s">
        <v>61</v>
      </c>
      <c r="B34" s="66" t="s">
        <v>62</v>
      </c>
      <c r="C34" s="30" t="s">
        <v>53</v>
      </c>
      <c r="D34" s="31" t="s">
        <v>54</v>
      </c>
      <c r="E34" s="31" t="s">
        <v>1120</v>
      </c>
      <c r="F34" s="79" t="s">
        <v>1184</v>
      </c>
    </row>
    <row r="35" spans="1:8" s="43" customFormat="1" ht="26.4" x14ac:dyDescent="0.25">
      <c r="A35" s="30" t="s">
        <v>63</v>
      </c>
      <c r="B35" s="66" t="s">
        <v>64</v>
      </c>
      <c r="C35" s="30" t="s">
        <v>65</v>
      </c>
      <c r="D35" s="179">
        <f>[1]Boreholes!$E92+'[1]Trial Pits'!$G92+(2*([1]Trenches!$K93))+'[1]Inspection pit'!$H92+[1]DPH!$H122+[1]CPT!$K92 + '[1]Dynamic Sampling'!$H92+'[1]Soakaway (BRE)'!$E$52</f>
        <v>0</v>
      </c>
      <c r="E35" s="60"/>
      <c r="F35" s="79"/>
      <c r="H35" s="43" t="s">
        <v>1254</v>
      </c>
    </row>
    <row r="36" spans="1:8" s="43" customFormat="1" ht="39.6" x14ac:dyDescent="0.25">
      <c r="A36" s="30" t="s">
        <v>66</v>
      </c>
      <c r="B36" s="66" t="s">
        <v>67</v>
      </c>
      <c r="C36" s="30" t="s">
        <v>68</v>
      </c>
      <c r="D36" s="179">
        <f>D35</f>
        <v>0</v>
      </c>
      <c r="E36" s="60"/>
      <c r="F36" s="79"/>
      <c r="H36" s="43" t="s">
        <v>1254</v>
      </c>
    </row>
    <row r="37" spans="1:8" s="43" customFormat="1" ht="39.6" x14ac:dyDescent="0.25">
      <c r="A37" s="30" t="s">
        <v>69</v>
      </c>
      <c r="B37" s="66" t="s">
        <v>70</v>
      </c>
      <c r="C37" s="30" t="s">
        <v>11</v>
      </c>
      <c r="D37" s="31" t="s">
        <v>716</v>
      </c>
      <c r="E37" s="31" t="s">
        <v>1120</v>
      </c>
      <c r="F37" s="79" t="s">
        <v>1184</v>
      </c>
    </row>
    <row r="38" spans="1:8" s="43" customFormat="1" ht="26.4" x14ac:dyDescent="0.25">
      <c r="A38" s="30" t="s">
        <v>71</v>
      </c>
      <c r="B38" s="66" t="s">
        <v>72</v>
      </c>
      <c r="C38" s="30" t="s">
        <v>37</v>
      </c>
      <c r="D38" s="31" t="s">
        <v>716</v>
      </c>
      <c r="E38" s="31" t="s">
        <v>1120</v>
      </c>
      <c r="F38" s="79" t="s">
        <v>1184</v>
      </c>
    </row>
    <row r="39" spans="1:8" s="43" customFormat="1" ht="26.4" x14ac:dyDescent="0.25">
      <c r="A39" s="30" t="s">
        <v>73</v>
      </c>
      <c r="B39" s="66" t="s">
        <v>74</v>
      </c>
      <c r="C39" s="30" t="s">
        <v>75</v>
      </c>
      <c r="D39" s="31" t="s">
        <v>716</v>
      </c>
      <c r="E39" s="31" t="s">
        <v>1120</v>
      </c>
      <c r="F39" s="79" t="s">
        <v>1184</v>
      </c>
    </row>
    <row r="40" spans="1:8" s="43" customFormat="1" ht="26.4" x14ac:dyDescent="0.25">
      <c r="A40" s="30" t="s">
        <v>76</v>
      </c>
      <c r="B40" s="66" t="s">
        <v>77</v>
      </c>
      <c r="C40" s="30" t="s">
        <v>45</v>
      </c>
      <c r="D40" s="31" t="s">
        <v>716</v>
      </c>
      <c r="E40" s="31" t="s">
        <v>1120</v>
      </c>
      <c r="F40" s="79" t="s">
        <v>1184</v>
      </c>
    </row>
    <row r="41" spans="1:8" s="43" customFormat="1" ht="26.4" x14ac:dyDescent="0.25">
      <c r="A41" s="30" t="s">
        <v>78</v>
      </c>
      <c r="B41" s="66" t="s">
        <v>79</v>
      </c>
      <c r="C41" s="30" t="s">
        <v>80</v>
      </c>
      <c r="D41" s="31" t="s">
        <v>716</v>
      </c>
      <c r="E41" s="31" t="s">
        <v>1120</v>
      </c>
      <c r="F41" s="79" t="s">
        <v>1184</v>
      </c>
    </row>
    <row r="42" spans="1:8" s="43" customFormat="1" ht="39.6" x14ac:dyDescent="0.25">
      <c r="A42" s="30" t="s">
        <v>81</v>
      </c>
      <c r="B42" s="66" t="s">
        <v>82</v>
      </c>
      <c r="C42" s="30" t="s">
        <v>45</v>
      </c>
      <c r="D42" s="31" t="s">
        <v>716</v>
      </c>
      <c r="E42" s="31" t="s">
        <v>1120</v>
      </c>
      <c r="F42" s="79" t="s">
        <v>1184</v>
      </c>
    </row>
    <row r="43" spans="1:8" s="43" customFormat="1" ht="26.4" x14ac:dyDescent="0.25">
      <c r="A43" s="30" t="s">
        <v>83</v>
      </c>
      <c r="B43" s="66" t="s">
        <v>84</v>
      </c>
      <c r="C43" s="30" t="s">
        <v>80</v>
      </c>
      <c r="D43" s="31" t="s">
        <v>716</v>
      </c>
      <c r="E43" s="31" t="s">
        <v>1120</v>
      </c>
      <c r="F43" s="79" t="s">
        <v>1184</v>
      </c>
    </row>
    <row r="44" spans="1:8" s="43" customFormat="1" ht="39.6" x14ac:dyDescent="0.25">
      <c r="A44" s="30" t="s">
        <v>85</v>
      </c>
      <c r="B44" s="66" t="s">
        <v>86</v>
      </c>
      <c r="C44" s="30" t="s">
        <v>45</v>
      </c>
      <c r="D44" s="31" t="s">
        <v>716</v>
      </c>
      <c r="E44" s="31" t="s">
        <v>1120</v>
      </c>
      <c r="F44" s="79" t="s">
        <v>1184</v>
      </c>
    </row>
    <row r="45" spans="1:8" s="43" customFormat="1" ht="26.4" x14ac:dyDescent="0.25">
      <c r="A45" s="30" t="s">
        <v>87</v>
      </c>
      <c r="B45" s="66" t="s">
        <v>88</v>
      </c>
      <c r="C45" s="30" t="s">
        <v>45</v>
      </c>
      <c r="D45" s="31" t="s">
        <v>716</v>
      </c>
      <c r="E45" s="31" t="s">
        <v>1120</v>
      </c>
      <c r="F45" s="79" t="s">
        <v>1184</v>
      </c>
    </row>
    <row r="46" spans="1:8" s="43" customFormat="1" ht="52.8" x14ac:dyDescent="0.25">
      <c r="A46" s="30" t="s">
        <v>89</v>
      </c>
      <c r="B46" s="66" t="s">
        <v>90</v>
      </c>
      <c r="C46" s="30" t="s">
        <v>11</v>
      </c>
      <c r="D46" s="31" t="s">
        <v>716</v>
      </c>
      <c r="E46" s="31" t="s">
        <v>1120</v>
      </c>
      <c r="F46" s="79" t="s">
        <v>1184</v>
      </c>
    </row>
    <row r="47" spans="1:8" s="43" customFormat="1" ht="32.549999999999997" customHeight="1" x14ac:dyDescent="0.25">
      <c r="A47" s="30" t="s">
        <v>91</v>
      </c>
      <c r="B47" s="66" t="s">
        <v>1180</v>
      </c>
      <c r="C47" s="30" t="s">
        <v>11</v>
      </c>
      <c r="D47" s="31" t="s">
        <v>716</v>
      </c>
      <c r="E47" s="31" t="s">
        <v>1120</v>
      </c>
      <c r="F47" s="79" t="s">
        <v>1184</v>
      </c>
    </row>
    <row r="48" spans="1:8" s="43" customFormat="1" ht="26.4" x14ac:dyDescent="0.25">
      <c r="A48" s="30" t="s">
        <v>92</v>
      </c>
      <c r="B48" s="66" t="s">
        <v>93</v>
      </c>
      <c r="C48" s="30" t="s">
        <v>80</v>
      </c>
      <c r="D48" s="31" t="s">
        <v>716</v>
      </c>
      <c r="E48" s="31" t="s">
        <v>1120</v>
      </c>
      <c r="F48" s="79" t="s">
        <v>1184</v>
      </c>
    </row>
    <row r="49" spans="1:6" s="43" customFormat="1" ht="29.55" customHeight="1" x14ac:dyDescent="0.25">
      <c r="A49" s="30" t="s">
        <v>94</v>
      </c>
      <c r="B49" s="66" t="s">
        <v>95</v>
      </c>
      <c r="C49" s="30" t="s">
        <v>11</v>
      </c>
      <c r="D49" s="31" t="s">
        <v>716</v>
      </c>
      <c r="E49" s="31" t="s">
        <v>1120</v>
      </c>
      <c r="F49" s="79" t="s">
        <v>1184</v>
      </c>
    </row>
    <row r="50" spans="1:6" s="43" customFormat="1" ht="26.4" x14ac:dyDescent="0.25">
      <c r="A50" s="30" t="s">
        <v>97</v>
      </c>
      <c r="B50" s="66" t="s">
        <v>98</v>
      </c>
      <c r="C50" s="30" t="s">
        <v>68</v>
      </c>
      <c r="D50" s="31" t="s">
        <v>716</v>
      </c>
      <c r="E50" s="31" t="s">
        <v>1120</v>
      </c>
      <c r="F50" s="79" t="s">
        <v>1184</v>
      </c>
    </row>
    <row r="51" spans="1:6" s="43" customFormat="1" ht="26.4" x14ac:dyDescent="0.25">
      <c r="A51" s="30" t="s">
        <v>99</v>
      </c>
      <c r="B51" s="66" t="s">
        <v>100</v>
      </c>
      <c r="C51" s="30" t="s">
        <v>11</v>
      </c>
      <c r="D51" s="31" t="s">
        <v>716</v>
      </c>
      <c r="E51" s="31" t="s">
        <v>1120</v>
      </c>
      <c r="F51" s="79" t="s">
        <v>1184</v>
      </c>
    </row>
    <row r="52" spans="1:6" s="43" customFormat="1" ht="26.4" x14ac:dyDescent="0.25">
      <c r="A52" s="30" t="s">
        <v>101</v>
      </c>
      <c r="B52" s="66" t="s">
        <v>102</v>
      </c>
      <c r="C52" s="30" t="s">
        <v>11</v>
      </c>
      <c r="D52" s="31" t="s">
        <v>716</v>
      </c>
      <c r="E52" s="31" t="s">
        <v>1120</v>
      </c>
      <c r="F52" s="79" t="s">
        <v>1184</v>
      </c>
    </row>
    <row r="53" spans="1:6" s="43" customFormat="1" ht="26.4" x14ac:dyDescent="0.25">
      <c r="A53" s="30" t="s">
        <v>103</v>
      </c>
      <c r="B53" s="66" t="s">
        <v>104</v>
      </c>
      <c r="C53" s="30" t="s">
        <v>68</v>
      </c>
      <c r="D53" s="31" t="s">
        <v>716</v>
      </c>
      <c r="E53" s="31" t="s">
        <v>1120</v>
      </c>
      <c r="F53" s="79" t="s">
        <v>1184</v>
      </c>
    </row>
    <row r="54" spans="1:6" s="43" customFormat="1" ht="26.4" x14ac:dyDescent="0.25">
      <c r="A54" s="30" t="s">
        <v>105</v>
      </c>
      <c r="B54" s="66" t="s">
        <v>106</v>
      </c>
      <c r="C54" s="30" t="s">
        <v>11</v>
      </c>
      <c r="D54" s="31" t="s">
        <v>716</v>
      </c>
      <c r="E54" s="31" t="s">
        <v>1120</v>
      </c>
      <c r="F54" s="79" t="s">
        <v>1184</v>
      </c>
    </row>
    <row r="55" spans="1:6" s="43" customFormat="1" ht="28.05" customHeight="1" x14ac:dyDescent="0.25">
      <c r="A55" s="30" t="s">
        <v>107</v>
      </c>
      <c r="B55" s="66" t="s">
        <v>108</v>
      </c>
      <c r="C55" s="30" t="s">
        <v>11</v>
      </c>
      <c r="D55" s="31" t="s">
        <v>716</v>
      </c>
      <c r="E55" s="31" t="s">
        <v>1120</v>
      </c>
      <c r="F55" s="79" t="s">
        <v>1184</v>
      </c>
    </row>
    <row r="56" spans="1:6" s="43" customFormat="1" ht="26.4" x14ac:dyDescent="0.25">
      <c r="A56" s="30" t="s">
        <v>109</v>
      </c>
      <c r="B56" s="66" t="s">
        <v>110</v>
      </c>
      <c r="C56" s="30" t="s">
        <v>68</v>
      </c>
      <c r="D56" s="31" t="s">
        <v>716</v>
      </c>
      <c r="E56" s="31" t="s">
        <v>1120</v>
      </c>
      <c r="F56" s="79" t="s">
        <v>1184</v>
      </c>
    </row>
    <row r="57" spans="1:6" s="43" customFormat="1" ht="26.4" x14ac:dyDescent="0.25">
      <c r="A57" s="30" t="s">
        <v>111</v>
      </c>
      <c r="B57" s="66" t="s">
        <v>112</v>
      </c>
      <c r="C57" s="30" t="s">
        <v>11</v>
      </c>
      <c r="D57" s="31" t="s">
        <v>716</v>
      </c>
      <c r="E57" s="31" t="s">
        <v>1120</v>
      </c>
      <c r="F57" s="79" t="s">
        <v>1184</v>
      </c>
    </row>
    <row r="58" spans="1:6" s="43" customFormat="1" ht="26.4" x14ac:dyDescent="0.25">
      <c r="A58" s="30" t="s">
        <v>113</v>
      </c>
      <c r="B58" s="66" t="s">
        <v>114</v>
      </c>
      <c r="C58" s="30" t="s">
        <v>11</v>
      </c>
      <c r="D58" s="31" t="s">
        <v>716</v>
      </c>
      <c r="E58" s="31" t="s">
        <v>1120</v>
      </c>
      <c r="F58" s="79" t="s">
        <v>1184</v>
      </c>
    </row>
    <row r="59" spans="1:6" s="43" customFormat="1" ht="26.4" x14ac:dyDescent="0.25">
      <c r="A59" s="30" t="s">
        <v>115</v>
      </c>
      <c r="B59" s="66" t="s">
        <v>116</v>
      </c>
      <c r="C59" s="30" t="s">
        <v>68</v>
      </c>
      <c r="D59" s="31" t="s">
        <v>716</v>
      </c>
      <c r="E59" s="31" t="s">
        <v>1120</v>
      </c>
      <c r="F59" s="79" t="s">
        <v>1184</v>
      </c>
    </row>
    <row r="60" spans="1:6" s="43" customFormat="1" ht="26.4" x14ac:dyDescent="0.25">
      <c r="A60" s="30" t="s">
        <v>117</v>
      </c>
      <c r="B60" s="66" t="s">
        <v>118</v>
      </c>
      <c r="C60" s="30" t="s">
        <v>11</v>
      </c>
      <c r="D60" s="31" t="s">
        <v>716</v>
      </c>
      <c r="E60" s="31" t="s">
        <v>1120</v>
      </c>
      <c r="F60" s="79" t="s">
        <v>1184</v>
      </c>
    </row>
    <row r="61" spans="1:6" s="43" customFormat="1" ht="26.4" x14ac:dyDescent="0.25">
      <c r="A61" s="30" t="s">
        <v>119</v>
      </c>
      <c r="B61" s="66" t="s">
        <v>1101</v>
      </c>
      <c r="C61" s="30" t="s">
        <v>11</v>
      </c>
      <c r="D61" s="31" t="s">
        <v>716</v>
      </c>
      <c r="E61" s="31" t="s">
        <v>1120</v>
      </c>
      <c r="F61" s="79" t="s">
        <v>1184</v>
      </c>
    </row>
    <row r="62" spans="1:6" s="43" customFormat="1" ht="26.4" x14ac:dyDescent="0.25">
      <c r="A62" s="30" t="s">
        <v>120</v>
      </c>
      <c r="B62" s="66" t="s">
        <v>1102</v>
      </c>
      <c r="C62" s="30" t="s">
        <v>11</v>
      </c>
      <c r="D62" s="31" t="s">
        <v>716</v>
      </c>
      <c r="E62" s="31" t="s">
        <v>1120</v>
      </c>
      <c r="F62" s="79" t="s">
        <v>1184</v>
      </c>
    </row>
    <row r="63" spans="1:6" s="43" customFormat="1" ht="26.4" x14ac:dyDescent="0.25">
      <c r="A63" s="30" t="s">
        <v>121</v>
      </c>
      <c r="B63" s="66" t="s">
        <v>1242</v>
      </c>
      <c r="C63" s="30" t="s">
        <v>11</v>
      </c>
      <c r="D63" s="31" t="s">
        <v>716</v>
      </c>
      <c r="E63" s="31" t="s">
        <v>1120</v>
      </c>
      <c r="F63" s="79"/>
    </row>
    <row r="64" spans="1:6" s="43" customFormat="1" ht="26.4" x14ac:dyDescent="0.25">
      <c r="A64" s="30" t="s">
        <v>122</v>
      </c>
      <c r="B64" s="66" t="s">
        <v>1106</v>
      </c>
      <c r="C64" s="30" t="s">
        <v>123</v>
      </c>
      <c r="D64" s="31" t="s">
        <v>716</v>
      </c>
      <c r="E64" s="31" t="s">
        <v>1120</v>
      </c>
      <c r="F64" s="79"/>
    </row>
    <row r="65" spans="1:6" s="43" customFormat="1" ht="26.4" x14ac:dyDescent="0.25">
      <c r="A65" s="30" t="s">
        <v>124</v>
      </c>
      <c r="B65" s="66" t="s">
        <v>125</v>
      </c>
      <c r="C65" s="30" t="s">
        <v>123</v>
      </c>
      <c r="D65" s="31"/>
      <c r="E65" s="31"/>
      <c r="F65" s="79"/>
    </row>
    <row r="66" spans="1:6" s="43" customFormat="1" ht="26.4" x14ac:dyDescent="0.25">
      <c r="A66" s="30" t="s">
        <v>126</v>
      </c>
      <c r="B66" s="66" t="s">
        <v>127</v>
      </c>
      <c r="C66" s="30" t="s">
        <v>11</v>
      </c>
      <c r="D66" s="31" t="s">
        <v>1107</v>
      </c>
      <c r="E66" s="60" t="s">
        <v>1120</v>
      </c>
      <c r="F66" s="79" t="s">
        <v>1184</v>
      </c>
    </row>
    <row r="67" spans="1:6" s="43" customFormat="1" ht="26.4" x14ac:dyDescent="0.25">
      <c r="A67" s="30" t="s">
        <v>128</v>
      </c>
      <c r="B67" s="66" t="s">
        <v>129</v>
      </c>
      <c r="C67" s="30" t="s">
        <v>11</v>
      </c>
      <c r="D67" s="31" t="s">
        <v>716</v>
      </c>
      <c r="E67" s="60" t="s">
        <v>1120</v>
      </c>
      <c r="F67" s="79" t="s">
        <v>1184</v>
      </c>
    </row>
    <row r="68" spans="1:6" s="43" customFormat="1" ht="26.4" x14ac:dyDescent="0.25">
      <c r="A68" s="30" t="s">
        <v>130</v>
      </c>
      <c r="B68" s="66" t="s">
        <v>131</v>
      </c>
      <c r="C68" s="30" t="s">
        <v>11</v>
      </c>
      <c r="D68" s="31" t="s">
        <v>716</v>
      </c>
      <c r="E68" s="60" t="s">
        <v>1120</v>
      </c>
      <c r="F68" s="79" t="s">
        <v>1184</v>
      </c>
    </row>
    <row r="69" spans="1:6" s="43" customFormat="1" ht="26.4" x14ac:dyDescent="0.25">
      <c r="A69" s="30" t="s">
        <v>132</v>
      </c>
      <c r="B69" s="66" t="s">
        <v>1178</v>
      </c>
      <c r="C69" s="30" t="s">
        <v>11</v>
      </c>
      <c r="D69" s="31" t="s">
        <v>716</v>
      </c>
      <c r="E69" s="60" t="s">
        <v>1120</v>
      </c>
      <c r="F69" s="79" t="s">
        <v>1184</v>
      </c>
    </row>
    <row r="70" spans="1:6" s="43" customFormat="1" ht="52.8" x14ac:dyDescent="0.25">
      <c r="A70" s="30" t="s">
        <v>133</v>
      </c>
      <c r="B70" s="66" t="s">
        <v>134</v>
      </c>
      <c r="C70" s="30" t="s">
        <v>11</v>
      </c>
      <c r="D70" s="31" t="s">
        <v>716</v>
      </c>
      <c r="E70" s="60" t="s">
        <v>1120</v>
      </c>
      <c r="F70" s="79" t="s">
        <v>1184</v>
      </c>
    </row>
    <row r="71" spans="1:6" s="43" customFormat="1" ht="27" customHeight="1" x14ac:dyDescent="0.25">
      <c r="A71" s="30" t="s">
        <v>135</v>
      </c>
      <c r="B71" s="66"/>
      <c r="C71" s="117"/>
      <c r="D71" s="31"/>
      <c r="E71" s="31"/>
      <c r="F71" s="79"/>
    </row>
    <row r="72" spans="1:6" ht="12.75" customHeight="1" x14ac:dyDescent="0.25">
      <c r="B72" s="74" t="s">
        <v>136</v>
      </c>
      <c r="C72" s="75"/>
      <c r="D72" s="75"/>
      <c r="E72" s="37"/>
      <c r="F72" s="84"/>
    </row>
  </sheetData>
  <pageMargins left="0.70866141732283472" right="0.70866141732283472" top="0.74803149606299213" bottom="0.74803149606299213" header="0.31496062992125984" footer="0.31496062992125984"/>
  <pageSetup paperSize="9" scale="97" fitToHeight="0" orientation="portrait" r:id="rId1"/>
  <headerFooter>
    <oddHeader>&amp;LWater Rock LIHAF&amp;RCork County Council</oddHeader>
    <oddFooter>&amp;C&amp;A&amp;RPage &amp;P&amp;LJob Number 5163809</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K45"/>
  <sheetViews>
    <sheetView zoomScaleNormal="100" zoomScaleSheetLayoutView="90" zoomScalePageLayoutView="60" workbookViewId="0">
      <selection activeCell="L14" sqref="L14"/>
    </sheetView>
  </sheetViews>
  <sheetFormatPr defaultRowHeight="13.2" x14ac:dyDescent="0.25"/>
  <cols>
    <col min="2" max="2" width="35.77734375" customWidth="1"/>
    <col min="3" max="3" width="9.21875" style="1" customWidth="1"/>
    <col min="4" max="5" width="11.44140625" style="1" customWidth="1"/>
    <col min="6" max="6" width="11.44140625" style="64" customWidth="1"/>
    <col min="7" max="7" width="1.5546875" style="1" customWidth="1"/>
  </cols>
  <sheetData>
    <row r="2" spans="1:9" s="53" customFormat="1" x14ac:dyDescent="0.25">
      <c r="C2" s="54"/>
      <c r="D2" s="54"/>
      <c r="E2" s="54"/>
      <c r="F2" s="77"/>
      <c r="G2" s="54"/>
    </row>
    <row r="6" spans="1:9" s="1" customFormat="1" x14ac:dyDescent="0.25">
      <c r="F6" s="64"/>
    </row>
    <row r="7" spans="1:9" s="1" customFormat="1" x14ac:dyDescent="0.25">
      <c r="A7" s="5" t="s">
        <v>0</v>
      </c>
      <c r="B7" s="5" t="s">
        <v>1</v>
      </c>
      <c r="C7" s="5" t="s">
        <v>2</v>
      </c>
      <c r="D7" s="5" t="s">
        <v>3</v>
      </c>
      <c r="E7" s="5" t="s">
        <v>4</v>
      </c>
      <c r="F7" s="61" t="s">
        <v>5</v>
      </c>
      <c r="G7" s="97"/>
    </row>
    <row r="8" spans="1:9" x14ac:dyDescent="0.25">
      <c r="A8" s="7"/>
      <c r="B8" s="7"/>
      <c r="C8" s="8"/>
      <c r="D8" s="8"/>
      <c r="E8" s="8" t="s">
        <v>6</v>
      </c>
      <c r="F8" s="62" t="s">
        <v>6</v>
      </c>
    </row>
    <row r="9" spans="1:9" s="58" customFormat="1" ht="39.6" x14ac:dyDescent="0.25">
      <c r="A9" s="80" t="s">
        <v>137</v>
      </c>
      <c r="B9" s="80" t="s">
        <v>1168</v>
      </c>
      <c r="C9" s="81"/>
      <c r="D9" s="82"/>
      <c r="E9" s="83"/>
      <c r="F9" s="99"/>
      <c r="G9" s="98"/>
    </row>
    <row r="10" spans="1:9" s="43" customFormat="1" ht="52.8" x14ac:dyDescent="0.25">
      <c r="A10" s="30" t="s">
        <v>138</v>
      </c>
      <c r="B10" s="30" t="s">
        <v>139</v>
      </c>
      <c r="C10" s="31" t="s">
        <v>1127</v>
      </c>
      <c r="D10" s="31" t="s">
        <v>1127</v>
      </c>
      <c r="E10" s="31" t="s">
        <v>1120</v>
      </c>
      <c r="F10" s="79" t="s">
        <v>1184</v>
      </c>
      <c r="G10" s="72"/>
    </row>
    <row r="11" spans="1:9" s="43" customFormat="1" ht="52.8" x14ac:dyDescent="0.25">
      <c r="A11" s="30" t="s">
        <v>1158</v>
      </c>
      <c r="B11" s="30" t="s">
        <v>1185</v>
      </c>
      <c r="C11" s="31" t="s">
        <v>68</v>
      </c>
      <c r="D11" s="179" t="e">
        <f>COUNTIFS([1]Boreholes!$B$2:$B91,"CP",[1]Boreholes!$C$2:$C91,"NO")</f>
        <v>#VALUE!</v>
      </c>
      <c r="E11" s="31"/>
      <c r="F11" s="79"/>
      <c r="G11" s="72"/>
    </row>
    <row r="12" spans="1:9" s="43" customFormat="1" ht="66" x14ac:dyDescent="0.25">
      <c r="A12" s="30" t="s">
        <v>1160</v>
      </c>
      <c r="B12" s="30" t="s">
        <v>1186</v>
      </c>
      <c r="C12" s="31" t="s">
        <v>68</v>
      </c>
      <c r="D12" s="179" t="e">
        <f>COUNTIFS([1]Boreholes!$B$2:$B91,"CP",[1]Boreholes!$C$2:$C91,"YES")</f>
        <v>#VALUE!</v>
      </c>
      <c r="E12" s="31"/>
      <c r="F12" s="79"/>
      <c r="G12" s="72"/>
    </row>
    <row r="13" spans="1:9" s="43" customFormat="1" ht="66" x14ac:dyDescent="0.25">
      <c r="A13" s="30" t="s">
        <v>1159</v>
      </c>
      <c r="B13" s="30" t="s">
        <v>1187</v>
      </c>
      <c r="C13" s="31" t="s">
        <v>68</v>
      </c>
      <c r="D13" s="179" t="e">
        <f>COUNTIFS([1]Boreholes!$B$2:$B91,"CP/RC",[1]Boreholes!$C$2:$C91,"NO")</f>
        <v>#VALUE!</v>
      </c>
      <c r="E13" s="31"/>
      <c r="F13" s="79"/>
      <c r="G13" s="72"/>
    </row>
    <row r="14" spans="1:9" s="43" customFormat="1" ht="79.2" x14ac:dyDescent="0.25">
      <c r="A14" s="30" t="s">
        <v>1161</v>
      </c>
      <c r="B14" s="30" t="s">
        <v>1188</v>
      </c>
      <c r="C14" s="31" t="s">
        <v>68</v>
      </c>
      <c r="D14" s="179" t="e">
        <f>COUNTIFS([1]Boreholes!$B$2:$B91,"CP/RC",[1]Boreholes!$C$2:$C91,"YES")</f>
        <v>#VALUE!</v>
      </c>
      <c r="E14" s="31"/>
      <c r="F14" s="79"/>
      <c r="G14" s="72"/>
    </row>
    <row r="15" spans="1:9" s="43" customFormat="1" ht="52.8" x14ac:dyDescent="0.25">
      <c r="A15" s="30" t="s">
        <v>140</v>
      </c>
      <c r="B15" s="30" t="s">
        <v>141</v>
      </c>
      <c r="C15" s="31" t="s">
        <v>1128</v>
      </c>
      <c r="D15" s="31" t="s">
        <v>1128</v>
      </c>
      <c r="E15" s="31" t="s">
        <v>1120</v>
      </c>
      <c r="F15" s="79" t="s">
        <v>1184</v>
      </c>
      <c r="G15" s="72"/>
    </row>
    <row r="16" spans="1:9" s="43" customFormat="1" ht="26.4" x14ac:dyDescent="0.25">
      <c r="A16" s="30" t="s">
        <v>1121</v>
      </c>
      <c r="B16" s="30" t="s">
        <v>1122</v>
      </c>
      <c r="C16" s="31" t="s">
        <v>68</v>
      </c>
      <c r="D16" s="180" t="e">
        <f>COUNTIFS([1]Boreholes!$B$2:$B91,"CP",[1]Boreholes!$D$2:$D91,"YES")</f>
        <v>#VALUE!</v>
      </c>
      <c r="E16" s="31"/>
      <c r="F16" s="79"/>
      <c r="G16" s="72"/>
      <c r="I16" s="43" t="s">
        <v>1261</v>
      </c>
    </row>
    <row r="17" spans="1:11" s="43" customFormat="1" ht="26.4" x14ac:dyDescent="0.25">
      <c r="A17" s="30" t="s">
        <v>1123</v>
      </c>
      <c r="B17" s="30" t="s">
        <v>1124</v>
      </c>
      <c r="C17" s="31" t="s">
        <v>68</v>
      </c>
      <c r="D17" s="180" t="e">
        <f>COUNTIFS([1]Boreholes!$B$2:$B91,"CP/RC",[1]Boreholes!$D$2:$D91,"YES")</f>
        <v>#VALUE!</v>
      </c>
      <c r="E17" s="31"/>
      <c r="F17" s="79"/>
      <c r="G17" s="72"/>
      <c r="I17" s="43" t="s">
        <v>1261</v>
      </c>
    </row>
    <row r="18" spans="1:11" s="43" customFormat="1" ht="64.5" customHeight="1" x14ac:dyDescent="0.25">
      <c r="A18" s="30" t="s">
        <v>142</v>
      </c>
      <c r="B18" s="30" t="s">
        <v>143</v>
      </c>
      <c r="C18" s="31" t="s">
        <v>68</v>
      </c>
      <c r="D18" s="179" t="e">
        <f>D11+D12+D13+D14</f>
        <v>#VALUE!</v>
      </c>
      <c r="E18" s="31"/>
      <c r="F18" s="79"/>
      <c r="G18" s="72"/>
    </row>
    <row r="19" spans="1:11" s="43" customFormat="1" ht="39.6" x14ac:dyDescent="0.25">
      <c r="A19" s="30" t="s">
        <v>1155</v>
      </c>
      <c r="B19" s="30" t="s">
        <v>1169</v>
      </c>
      <c r="C19" s="31" t="s">
        <v>1189</v>
      </c>
      <c r="D19" s="179" t="e">
        <f>(COUNTIF([1]Boreholes!$BH$2:$BH91,"YES"))*0.125</f>
        <v>#VALUE!</v>
      </c>
      <c r="E19" s="31"/>
      <c r="F19" s="79"/>
      <c r="G19" s="72"/>
    </row>
    <row r="20" spans="1:11" s="43" customFormat="1" ht="26.4" x14ac:dyDescent="0.25">
      <c r="A20" s="30" t="s">
        <v>144</v>
      </c>
      <c r="B20" s="30" t="s">
        <v>145</v>
      </c>
      <c r="C20" s="31" t="s">
        <v>146</v>
      </c>
      <c r="D20" s="178">
        <f>[1]Boreholes!$N92</f>
        <v>0</v>
      </c>
      <c r="E20" s="31"/>
      <c r="F20" s="79"/>
      <c r="G20" s="72"/>
    </row>
    <row r="21" spans="1:11" s="43" customFormat="1" ht="26.4" x14ac:dyDescent="0.25">
      <c r="A21" s="30" t="s">
        <v>147</v>
      </c>
      <c r="B21" s="30" t="s">
        <v>148</v>
      </c>
      <c r="C21" s="31" t="s">
        <v>146</v>
      </c>
      <c r="D21" s="179">
        <f>[1]Boreholes!$O92</f>
        <v>0</v>
      </c>
      <c r="E21" s="31"/>
      <c r="F21" s="79"/>
      <c r="G21" s="72"/>
    </row>
    <row r="22" spans="1:11" s="43" customFormat="1" ht="26.4" x14ac:dyDescent="0.25">
      <c r="A22" s="30" t="s">
        <v>149</v>
      </c>
      <c r="B22" s="30" t="s">
        <v>150</v>
      </c>
      <c r="C22" s="31" t="s">
        <v>146</v>
      </c>
      <c r="D22" s="179">
        <f>[1]Boreholes!$P92</f>
        <v>0</v>
      </c>
      <c r="E22" s="31"/>
      <c r="F22" s="79"/>
      <c r="G22" s="72"/>
    </row>
    <row r="23" spans="1:11" s="43" customFormat="1" ht="26.4" x14ac:dyDescent="0.25">
      <c r="A23" s="30" t="s">
        <v>151</v>
      </c>
      <c r="B23" s="30" t="s">
        <v>152</v>
      </c>
      <c r="C23" s="31" t="s">
        <v>146</v>
      </c>
      <c r="D23" s="179">
        <f>[1]Boreholes!$Q92</f>
        <v>0</v>
      </c>
      <c r="E23" s="31"/>
      <c r="F23" s="79"/>
      <c r="G23" s="72"/>
    </row>
    <row r="24" spans="1:11" s="43" customFormat="1" ht="26.4" x14ac:dyDescent="0.25">
      <c r="A24" s="30" t="s">
        <v>153</v>
      </c>
      <c r="B24" s="30" t="s">
        <v>154</v>
      </c>
      <c r="C24" s="31" t="s">
        <v>146</v>
      </c>
      <c r="D24" s="31" t="s">
        <v>716</v>
      </c>
      <c r="E24" s="31" t="s">
        <v>1120</v>
      </c>
      <c r="F24" s="79" t="s">
        <v>1184</v>
      </c>
      <c r="G24" s="118"/>
    </row>
    <row r="25" spans="1:11" s="43" customFormat="1" ht="26.4" x14ac:dyDescent="0.25">
      <c r="A25" s="30" t="s">
        <v>155</v>
      </c>
      <c r="B25" s="30" t="s">
        <v>156</v>
      </c>
      <c r="C25" s="31" t="s">
        <v>157</v>
      </c>
      <c r="D25" s="179" t="e">
        <f>D18*2</f>
        <v>#VALUE!</v>
      </c>
      <c r="E25" s="31"/>
      <c r="F25" s="79"/>
      <c r="G25" s="72"/>
      <c r="I25" s="43" t="s">
        <v>1251</v>
      </c>
    </row>
    <row r="26" spans="1:11" s="43" customFormat="1" ht="52.8" x14ac:dyDescent="0.25">
      <c r="A26" s="30" t="s">
        <v>158</v>
      </c>
      <c r="B26" s="30" t="s">
        <v>159</v>
      </c>
      <c r="C26" s="31" t="s">
        <v>68</v>
      </c>
      <c r="D26" s="31" t="s">
        <v>1259</v>
      </c>
      <c r="E26" s="31" t="s">
        <v>1120</v>
      </c>
      <c r="F26" s="79" t="s">
        <v>1184</v>
      </c>
      <c r="G26" s="72"/>
    </row>
    <row r="27" spans="1:11" s="43" customFormat="1" ht="39.6" x14ac:dyDescent="0.25">
      <c r="A27" s="30" t="s">
        <v>160</v>
      </c>
      <c r="B27" s="30" t="s">
        <v>161</v>
      </c>
      <c r="C27" s="31" t="s">
        <v>162</v>
      </c>
      <c r="D27" s="31" t="s">
        <v>1259</v>
      </c>
      <c r="E27" s="31" t="s">
        <v>1120</v>
      </c>
      <c r="F27" s="79" t="s">
        <v>1184</v>
      </c>
      <c r="G27" s="72"/>
    </row>
    <row r="28" spans="1:11" s="43" customFormat="1" ht="26.4" x14ac:dyDescent="0.25">
      <c r="A28" s="30" t="s">
        <v>163</v>
      </c>
      <c r="B28" s="30" t="s">
        <v>164</v>
      </c>
      <c r="C28" s="31" t="s">
        <v>157</v>
      </c>
      <c r="D28" s="179" t="e">
        <f>D11+D12+D13+D14</f>
        <v>#VALUE!</v>
      </c>
      <c r="E28" s="31"/>
      <c r="F28" s="79"/>
      <c r="G28" s="72"/>
      <c r="I28" s="43" t="s">
        <v>1260</v>
      </c>
    </row>
    <row r="29" spans="1:11" s="43" customFormat="1" ht="29.1" customHeight="1" x14ac:dyDescent="0.25">
      <c r="A29" s="114"/>
      <c r="B29" s="56" t="s">
        <v>1268</v>
      </c>
      <c r="C29" s="31"/>
      <c r="D29" s="31"/>
      <c r="E29" s="31"/>
      <c r="F29" s="90"/>
      <c r="G29" s="72"/>
    </row>
    <row r="30" spans="1:11" s="43" customFormat="1" ht="26.4" x14ac:dyDescent="0.25">
      <c r="A30" s="30" t="s">
        <v>165</v>
      </c>
      <c r="B30" s="30" t="s">
        <v>166</v>
      </c>
      <c r="C30" s="31" t="s">
        <v>68</v>
      </c>
      <c r="D30" s="179">
        <f>'[1]Dynamic Sampling'!$H92</f>
        <v>0</v>
      </c>
      <c r="E30" s="31" t="s">
        <v>1120</v>
      </c>
      <c r="F30" s="79" t="s">
        <v>1184</v>
      </c>
      <c r="G30" s="72"/>
    </row>
    <row r="31" spans="1:11" s="43" customFormat="1" ht="26.4" x14ac:dyDescent="0.25">
      <c r="A31" s="30" t="s">
        <v>167</v>
      </c>
      <c r="B31" s="30" t="s">
        <v>168</v>
      </c>
      <c r="C31" s="31" t="s">
        <v>68</v>
      </c>
      <c r="D31" s="179" t="e">
        <f>COUNTIF('[1]Dynamic Sampling'!$B$2:$B$91,"YES")</f>
        <v>#VALUE!</v>
      </c>
      <c r="E31" s="31" t="s">
        <v>1120</v>
      </c>
      <c r="F31" s="79" t="s">
        <v>1184</v>
      </c>
      <c r="G31" s="72"/>
    </row>
    <row r="32" spans="1:11" s="43" customFormat="1" ht="66" x14ac:dyDescent="0.25">
      <c r="A32" s="30" t="s">
        <v>169</v>
      </c>
      <c r="B32" s="30" t="s">
        <v>1129</v>
      </c>
      <c r="C32" s="31" t="s">
        <v>68</v>
      </c>
      <c r="D32" s="179">
        <f>D30*1</f>
        <v>0</v>
      </c>
      <c r="E32" s="31" t="s">
        <v>1120</v>
      </c>
      <c r="F32" s="79" t="s">
        <v>1184</v>
      </c>
      <c r="G32" s="118"/>
      <c r="H32" s="43" t="s">
        <v>1270</v>
      </c>
      <c r="K32" s="43" t="s">
        <v>1272</v>
      </c>
    </row>
    <row r="33" spans="1:11" s="43" customFormat="1" ht="26.4" x14ac:dyDescent="0.25">
      <c r="A33" s="30" t="s">
        <v>170</v>
      </c>
      <c r="B33" s="30" t="s">
        <v>171</v>
      </c>
      <c r="C33" s="31" t="s">
        <v>157</v>
      </c>
      <c r="D33" s="179">
        <f>D30*1</f>
        <v>0</v>
      </c>
      <c r="E33" s="31" t="s">
        <v>1120</v>
      </c>
      <c r="F33" s="79" t="s">
        <v>1184</v>
      </c>
      <c r="G33" s="72"/>
      <c r="H33" s="43" t="s">
        <v>1271</v>
      </c>
      <c r="K33" s="43" t="s">
        <v>1272</v>
      </c>
    </row>
    <row r="34" spans="1:11" s="43" customFormat="1" ht="26.4" x14ac:dyDescent="0.25">
      <c r="A34" s="30" t="s">
        <v>172</v>
      </c>
      <c r="B34" s="30" t="s">
        <v>173</v>
      </c>
      <c r="C34" s="31" t="s">
        <v>146</v>
      </c>
      <c r="D34" s="179">
        <f>'[1]Dynamic Sampling'!$D92</f>
        <v>0</v>
      </c>
      <c r="E34" s="31" t="s">
        <v>1120</v>
      </c>
      <c r="F34" s="79" t="s">
        <v>1184</v>
      </c>
      <c r="G34" s="72"/>
    </row>
    <row r="35" spans="1:11" s="43" customFormat="1" ht="26.4" x14ac:dyDescent="0.25">
      <c r="A35" s="30" t="s">
        <v>174</v>
      </c>
      <c r="B35" s="30" t="s">
        <v>175</v>
      </c>
      <c r="C35" s="31" t="s">
        <v>146</v>
      </c>
      <c r="D35" s="179">
        <f>'[1]Dynamic Sampling'!$E92</f>
        <v>0</v>
      </c>
      <c r="E35" s="31" t="s">
        <v>1120</v>
      </c>
      <c r="F35" s="79" t="s">
        <v>1184</v>
      </c>
      <c r="G35" s="118"/>
    </row>
    <row r="36" spans="1:11" s="43" customFormat="1" ht="37.5" customHeight="1" x14ac:dyDescent="0.25">
      <c r="A36" s="30" t="s">
        <v>176</v>
      </c>
      <c r="B36" s="30" t="s">
        <v>1290</v>
      </c>
      <c r="C36" s="31" t="s">
        <v>146</v>
      </c>
      <c r="D36" s="179">
        <f>'[1]Dynamic Sampling'!$F92</f>
        <v>0</v>
      </c>
      <c r="E36" s="31" t="s">
        <v>1120</v>
      </c>
      <c r="F36" s="79" t="s">
        <v>1184</v>
      </c>
      <c r="G36" s="72"/>
    </row>
    <row r="37" spans="1:11" s="43" customFormat="1" ht="26.4" x14ac:dyDescent="0.25">
      <c r="A37" s="30" t="s">
        <v>177</v>
      </c>
      <c r="B37" s="30" t="s">
        <v>178</v>
      </c>
      <c r="C37" s="31" t="s">
        <v>179</v>
      </c>
      <c r="D37" s="179">
        <f>D30*0.5</f>
        <v>0</v>
      </c>
      <c r="E37" s="31" t="s">
        <v>1120</v>
      </c>
      <c r="F37" s="79" t="s">
        <v>1184</v>
      </c>
      <c r="G37" s="72"/>
      <c r="H37" s="43" t="s">
        <v>1291</v>
      </c>
      <c r="K37" s="43" t="s">
        <v>1273</v>
      </c>
    </row>
    <row r="38" spans="1:11" s="43" customFormat="1" ht="52.8" x14ac:dyDescent="0.25">
      <c r="A38" s="30" t="s">
        <v>180</v>
      </c>
      <c r="B38" s="30" t="s">
        <v>181</v>
      </c>
      <c r="C38" s="31" t="s">
        <v>162</v>
      </c>
      <c r="D38" s="31" t="s">
        <v>1274</v>
      </c>
      <c r="E38" s="31" t="s">
        <v>1120</v>
      </c>
      <c r="F38" s="79" t="s">
        <v>1184</v>
      </c>
      <c r="G38" s="118"/>
    </row>
    <row r="39" spans="1:11" s="43" customFormat="1" ht="39.75" customHeight="1" x14ac:dyDescent="0.25">
      <c r="A39" s="30"/>
      <c r="B39" s="56" t="s">
        <v>182</v>
      </c>
      <c r="C39" s="31"/>
      <c r="D39" s="31"/>
      <c r="E39" s="31"/>
      <c r="F39" s="90"/>
      <c r="G39" s="72"/>
    </row>
    <row r="40" spans="1:11" s="43" customFormat="1" ht="26.4" x14ac:dyDescent="0.25">
      <c r="A40" s="30" t="s">
        <v>183</v>
      </c>
      <c r="B40" s="30" t="s">
        <v>184</v>
      </c>
      <c r="C40" s="31" t="s">
        <v>185</v>
      </c>
      <c r="D40" s="31" t="s">
        <v>1125</v>
      </c>
      <c r="E40" s="31" t="s">
        <v>1120</v>
      </c>
      <c r="F40" s="79" t="s">
        <v>1184</v>
      </c>
      <c r="G40" s="118"/>
    </row>
    <row r="41" spans="1:11" s="43" customFormat="1" ht="26.4" x14ac:dyDescent="0.25">
      <c r="A41" s="30" t="s">
        <v>186</v>
      </c>
      <c r="B41" s="30" t="s">
        <v>187</v>
      </c>
      <c r="C41" s="31" t="s">
        <v>185</v>
      </c>
      <c r="D41" s="31" t="s">
        <v>1126</v>
      </c>
      <c r="E41" s="31" t="s">
        <v>1120</v>
      </c>
      <c r="F41" s="79" t="s">
        <v>1184</v>
      </c>
      <c r="G41" s="72"/>
    </row>
    <row r="42" spans="1:11" s="43" customFormat="1" ht="39.6" x14ac:dyDescent="0.25">
      <c r="A42" s="30" t="s">
        <v>188</v>
      </c>
      <c r="B42" s="30" t="s">
        <v>189</v>
      </c>
      <c r="C42" s="31" t="s">
        <v>185</v>
      </c>
      <c r="D42" s="31" t="s">
        <v>1286</v>
      </c>
      <c r="E42" s="31" t="s">
        <v>1120</v>
      </c>
      <c r="F42" s="79" t="s">
        <v>1184</v>
      </c>
      <c r="G42" s="72"/>
    </row>
    <row r="43" spans="1:11" s="43" customFormat="1" ht="26.4" x14ac:dyDescent="0.25">
      <c r="A43" s="30" t="s">
        <v>190</v>
      </c>
      <c r="B43" s="30" t="s">
        <v>191</v>
      </c>
      <c r="C43" s="31" t="s">
        <v>68</v>
      </c>
      <c r="D43" s="31" t="s">
        <v>716</v>
      </c>
      <c r="E43" s="31" t="s">
        <v>1120</v>
      </c>
      <c r="F43" s="79" t="s">
        <v>1184</v>
      </c>
      <c r="G43" s="72"/>
    </row>
    <row r="44" spans="1:11" s="43" customFormat="1" ht="52.8" x14ac:dyDescent="0.25">
      <c r="A44" s="30" t="s">
        <v>192</v>
      </c>
      <c r="B44" s="30" t="s">
        <v>193</v>
      </c>
      <c r="C44" s="31" t="s">
        <v>162</v>
      </c>
      <c r="D44" s="196" t="s">
        <v>1259</v>
      </c>
      <c r="E44" s="31" t="s">
        <v>1120</v>
      </c>
      <c r="F44" s="79" t="s">
        <v>1184</v>
      </c>
      <c r="G44" s="72"/>
    </row>
    <row r="45" spans="1:11" ht="12.75" customHeight="1" x14ac:dyDescent="0.25">
      <c r="A45" s="186"/>
      <c r="B45" s="187" t="s">
        <v>194</v>
      </c>
      <c r="C45" s="187"/>
      <c r="D45" s="187"/>
      <c r="E45" s="188"/>
      <c r="F45" s="84"/>
    </row>
  </sheetData>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&amp;C&amp;A&amp;RPage &amp;P&amp;LJob Number 5163809</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7:I114"/>
  <sheetViews>
    <sheetView topLeftCell="A25" zoomScaleNormal="100" zoomScaleSheetLayoutView="80" zoomScalePageLayoutView="60" workbookViewId="0">
      <selection activeCell="D71" sqref="D71"/>
    </sheetView>
  </sheetViews>
  <sheetFormatPr defaultRowHeight="13.2" x14ac:dyDescent="0.25"/>
  <cols>
    <col min="2" max="2" width="35.77734375" customWidth="1"/>
    <col min="3" max="3" width="8.77734375" style="1" customWidth="1"/>
    <col min="4" max="5" width="11.44140625" style="1" customWidth="1"/>
    <col min="6" max="6" width="11.44140625" style="64" customWidth="1"/>
    <col min="7" max="7" width="1.5546875" style="1" customWidth="1"/>
  </cols>
  <sheetData>
    <row r="7" spans="1:7" x14ac:dyDescent="0.25">
      <c r="A7" s="5" t="s">
        <v>0</v>
      </c>
      <c r="B7" s="5" t="s">
        <v>1</v>
      </c>
      <c r="C7" s="5" t="s">
        <v>2</v>
      </c>
      <c r="D7" s="5" t="s">
        <v>3</v>
      </c>
      <c r="E7" s="5" t="s">
        <v>4</v>
      </c>
      <c r="F7" s="61" t="s">
        <v>5</v>
      </c>
      <c r="G7" s="97"/>
    </row>
    <row r="8" spans="1:7" x14ac:dyDescent="0.25">
      <c r="A8" s="7"/>
      <c r="B8" s="7"/>
      <c r="C8" s="8"/>
      <c r="D8" s="8"/>
      <c r="E8" s="8" t="s">
        <v>6</v>
      </c>
      <c r="F8" s="84" t="s">
        <v>6</v>
      </c>
    </row>
    <row r="9" spans="1:7" x14ac:dyDescent="0.25">
      <c r="A9" s="9" t="s">
        <v>1095</v>
      </c>
      <c r="B9" s="13" t="s">
        <v>195</v>
      </c>
      <c r="C9" s="10"/>
      <c r="D9" s="10"/>
      <c r="E9" s="10"/>
      <c r="F9" s="85"/>
      <c r="G9" s="100"/>
    </row>
    <row r="10" spans="1:7" x14ac:dyDescent="0.25">
      <c r="A10" s="9"/>
      <c r="B10" s="13" t="s">
        <v>196</v>
      </c>
      <c r="C10" s="10"/>
      <c r="D10" s="10"/>
      <c r="E10" s="10"/>
      <c r="F10" s="85"/>
      <c r="G10" s="100"/>
    </row>
    <row r="11" spans="1:7" s="43" customFormat="1" ht="26.4" x14ac:dyDescent="0.25">
      <c r="A11" s="30" t="s">
        <v>197</v>
      </c>
      <c r="B11" s="30" t="s">
        <v>198</v>
      </c>
      <c r="C11" s="30" t="s">
        <v>68</v>
      </c>
      <c r="D11" s="31" t="s">
        <v>96</v>
      </c>
      <c r="E11" s="31" t="s">
        <v>1120</v>
      </c>
      <c r="F11" s="79" t="s">
        <v>1184</v>
      </c>
      <c r="G11" s="72"/>
    </row>
    <row r="12" spans="1:7" s="43" customFormat="1" ht="26.4" x14ac:dyDescent="0.25">
      <c r="A12" s="30" t="s">
        <v>199</v>
      </c>
      <c r="B12" s="30" t="s">
        <v>200</v>
      </c>
      <c r="C12" s="30" t="s">
        <v>146</v>
      </c>
      <c r="D12" s="31" t="s">
        <v>96</v>
      </c>
      <c r="E12" s="31" t="s">
        <v>1120</v>
      </c>
      <c r="F12" s="79" t="s">
        <v>1184</v>
      </c>
      <c r="G12" s="72"/>
    </row>
    <row r="13" spans="1:7" s="43" customFormat="1" ht="26.4" x14ac:dyDescent="0.25">
      <c r="A13" s="30" t="s">
        <v>201</v>
      </c>
      <c r="B13" s="30" t="s">
        <v>202</v>
      </c>
      <c r="C13" s="30" t="s">
        <v>146</v>
      </c>
      <c r="D13" s="31" t="s">
        <v>96</v>
      </c>
      <c r="E13" s="31" t="s">
        <v>1120</v>
      </c>
      <c r="F13" s="79" t="s">
        <v>1184</v>
      </c>
      <c r="G13" s="72"/>
    </row>
    <row r="14" spans="1:7" s="43" customFormat="1" ht="26.4" x14ac:dyDescent="0.25">
      <c r="A14" s="30" t="s">
        <v>203</v>
      </c>
      <c r="B14" s="30" t="s">
        <v>204</v>
      </c>
      <c r="C14" s="30" t="s">
        <v>157</v>
      </c>
      <c r="D14" s="31" t="s">
        <v>96</v>
      </c>
      <c r="E14" s="31" t="s">
        <v>1120</v>
      </c>
      <c r="F14" s="79" t="s">
        <v>1184</v>
      </c>
      <c r="G14" s="72"/>
    </row>
    <row r="15" spans="1:7" s="43" customFormat="1" ht="52.8" x14ac:dyDescent="0.25">
      <c r="A15" s="30" t="s">
        <v>205</v>
      </c>
      <c r="B15" s="30" t="s">
        <v>206</v>
      </c>
      <c r="C15" s="30" t="s">
        <v>207</v>
      </c>
      <c r="D15" s="31" t="s">
        <v>96</v>
      </c>
      <c r="E15" s="31" t="s">
        <v>1120</v>
      </c>
      <c r="F15" s="79" t="s">
        <v>1184</v>
      </c>
      <c r="G15" s="72"/>
    </row>
    <row r="16" spans="1:7" s="43" customFormat="1" ht="26.4" x14ac:dyDescent="0.25">
      <c r="A16" s="30" t="s">
        <v>208</v>
      </c>
      <c r="B16" s="30" t="s">
        <v>209</v>
      </c>
      <c r="C16" s="30" t="s">
        <v>146</v>
      </c>
      <c r="D16" s="31" t="s">
        <v>96</v>
      </c>
      <c r="E16" s="31" t="s">
        <v>1120</v>
      </c>
      <c r="F16" s="79" t="s">
        <v>1184</v>
      </c>
      <c r="G16" s="72"/>
    </row>
    <row r="17" spans="1:7" s="43" customFormat="1" ht="26.4" x14ac:dyDescent="0.25">
      <c r="A17" s="30"/>
      <c r="B17" s="56" t="s">
        <v>210</v>
      </c>
      <c r="C17" s="30"/>
      <c r="D17" s="31"/>
      <c r="E17" s="31"/>
      <c r="F17" s="90"/>
      <c r="G17" s="72"/>
    </row>
    <row r="18" spans="1:7" s="43" customFormat="1" ht="39.6" x14ac:dyDescent="0.25">
      <c r="A18" s="30" t="s">
        <v>211</v>
      </c>
      <c r="B18" s="30" t="s">
        <v>1130</v>
      </c>
      <c r="C18" s="30" t="s">
        <v>68</v>
      </c>
      <c r="D18" s="31" t="s">
        <v>96</v>
      </c>
      <c r="E18" s="31" t="s">
        <v>1120</v>
      </c>
      <c r="F18" s="79" t="s">
        <v>1184</v>
      </c>
      <c r="G18" s="72"/>
    </row>
    <row r="19" spans="1:7" s="43" customFormat="1" ht="66" x14ac:dyDescent="0.25">
      <c r="A19" s="30" t="s">
        <v>212</v>
      </c>
      <c r="B19" s="30" t="s">
        <v>1131</v>
      </c>
      <c r="C19" s="30" t="s">
        <v>68</v>
      </c>
      <c r="D19" s="31" t="s">
        <v>96</v>
      </c>
      <c r="E19" s="31" t="s">
        <v>1120</v>
      </c>
      <c r="F19" s="79" t="s">
        <v>1184</v>
      </c>
      <c r="G19" s="72"/>
    </row>
    <row r="20" spans="1:7" s="43" customFormat="1" ht="26.4" x14ac:dyDescent="0.25">
      <c r="A20" s="30" t="s">
        <v>213</v>
      </c>
      <c r="B20" s="30" t="s">
        <v>214</v>
      </c>
      <c r="C20" s="30" t="s">
        <v>68</v>
      </c>
      <c r="D20" s="31" t="s">
        <v>96</v>
      </c>
      <c r="E20" s="31" t="s">
        <v>1120</v>
      </c>
      <c r="F20" s="79" t="s">
        <v>1184</v>
      </c>
      <c r="G20" s="72"/>
    </row>
    <row r="21" spans="1:7" s="43" customFormat="1" ht="39.6" x14ac:dyDescent="0.25">
      <c r="A21" s="30" t="s">
        <v>215</v>
      </c>
      <c r="B21" s="30" t="s">
        <v>1170</v>
      </c>
      <c r="C21" s="30" t="s">
        <v>1189</v>
      </c>
      <c r="D21" s="31" t="s">
        <v>96</v>
      </c>
      <c r="E21" s="31" t="s">
        <v>1120</v>
      </c>
      <c r="F21" s="79" t="s">
        <v>1184</v>
      </c>
      <c r="G21" s="72"/>
    </row>
    <row r="22" spans="1:7" s="43" customFormat="1" ht="26.4" x14ac:dyDescent="0.25">
      <c r="A22" s="30" t="s">
        <v>216</v>
      </c>
      <c r="B22" s="30" t="s">
        <v>1132</v>
      </c>
      <c r="C22" s="30" t="s">
        <v>157</v>
      </c>
      <c r="D22" s="31" t="s">
        <v>96</v>
      </c>
      <c r="E22" s="31" t="s">
        <v>1120</v>
      </c>
      <c r="F22" s="79" t="s">
        <v>1184</v>
      </c>
      <c r="G22" s="72"/>
    </row>
    <row r="23" spans="1:7" s="43" customFormat="1" ht="39.6" x14ac:dyDescent="0.25">
      <c r="A23" s="30" t="s">
        <v>217</v>
      </c>
      <c r="B23" s="30" t="s">
        <v>1133</v>
      </c>
      <c r="C23" s="30" t="s">
        <v>146</v>
      </c>
      <c r="D23" s="31" t="s">
        <v>96</v>
      </c>
      <c r="E23" s="31" t="s">
        <v>1120</v>
      </c>
      <c r="F23" s="79" t="s">
        <v>1184</v>
      </c>
      <c r="G23" s="72"/>
    </row>
    <row r="24" spans="1:7" s="43" customFormat="1" ht="26.4" x14ac:dyDescent="0.25">
      <c r="A24" s="30" t="s">
        <v>218</v>
      </c>
      <c r="B24" s="30" t="s">
        <v>1134</v>
      </c>
      <c r="C24" s="30" t="s">
        <v>146</v>
      </c>
      <c r="D24" s="31" t="s">
        <v>96</v>
      </c>
      <c r="E24" s="31" t="s">
        <v>1120</v>
      </c>
      <c r="F24" s="79" t="s">
        <v>1184</v>
      </c>
      <c r="G24" s="72"/>
    </row>
    <row r="25" spans="1:7" s="43" customFormat="1" ht="26.4" x14ac:dyDescent="0.25">
      <c r="A25" s="30" t="s">
        <v>219</v>
      </c>
      <c r="B25" s="30" t="s">
        <v>1135</v>
      </c>
      <c r="C25" s="30" t="s">
        <v>146</v>
      </c>
      <c r="D25" s="31" t="s">
        <v>96</v>
      </c>
      <c r="E25" s="31" t="s">
        <v>1120</v>
      </c>
      <c r="F25" s="79" t="s">
        <v>1184</v>
      </c>
      <c r="G25" s="72"/>
    </row>
    <row r="26" spans="1:7" s="43" customFormat="1" ht="26.4" x14ac:dyDescent="0.25">
      <c r="A26" s="30" t="s">
        <v>220</v>
      </c>
      <c r="B26" s="30" t="s">
        <v>221</v>
      </c>
      <c r="C26" s="30" t="s">
        <v>146</v>
      </c>
      <c r="D26" s="31" t="s">
        <v>96</v>
      </c>
      <c r="E26" s="31" t="s">
        <v>1120</v>
      </c>
      <c r="F26" s="79" t="s">
        <v>1184</v>
      </c>
      <c r="G26" s="72"/>
    </row>
    <row r="27" spans="1:7" s="43" customFormat="1" ht="26.4" x14ac:dyDescent="0.25">
      <c r="A27" s="30"/>
      <c r="B27" s="56" t="s">
        <v>1145</v>
      </c>
      <c r="C27" s="30"/>
      <c r="D27" s="31"/>
      <c r="E27" s="31"/>
      <c r="F27" s="119"/>
      <c r="G27" s="72"/>
    </row>
    <row r="28" spans="1:7" s="43" customFormat="1" ht="52.8" x14ac:dyDescent="0.25">
      <c r="A28" s="30" t="s">
        <v>222</v>
      </c>
      <c r="B28" s="30" t="s">
        <v>1136</v>
      </c>
      <c r="C28" s="30" t="s">
        <v>68</v>
      </c>
      <c r="D28" s="31" t="s">
        <v>1172</v>
      </c>
      <c r="E28" s="31" t="s">
        <v>1139</v>
      </c>
      <c r="F28" s="79" t="s">
        <v>1184</v>
      </c>
      <c r="G28" s="72"/>
    </row>
    <row r="29" spans="1:7" s="43" customFormat="1" ht="52.8" x14ac:dyDescent="0.25">
      <c r="A29" s="30" t="s">
        <v>1173</v>
      </c>
      <c r="B29" s="30" t="s">
        <v>1190</v>
      </c>
      <c r="C29" s="30" t="s">
        <v>68</v>
      </c>
      <c r="D29" s="179" t="e">
        <f>COUNTIFS([1]Boreholes!$B$2:$B38,"CP/RC",[1]Boreholes!$C$2:$C38,"NO")</f>
        <v>#VALUE!</v>
      </c>
      <c r="E29" s="31"/>
      <c r="F29" s="79"/>
      <c r="G29" s="72"/>
    </row>
    <row r="30" spans="1:7" s="43" customFormat="1" ht="66" x14ac:dyDescent="0.25">
      <c r="A30" s="30" t="s">
        <v>1174</v>
      </c>
      <c r="B30" s="30" t="s">
        <v>1191</v>
      </c>
      <c r="C30" s="30" t="s">
        <v>68</v>
      </c>
      <c r="D30" s="179" t="e">
        <f>COUNTIFS([1]Boreholes!$B$2:$B38,"CP/RC",[1]Boreholes!$C$2:$C38,"YES")</f>
        <v>#VALUE!</v>
      </c>
      <c r="E30" s="31"/>
      <c r="F30" s="79"/>
      <c r="G30" s="72"/>
    </row>
    <row r="31" spans="1:7" s="43" customFormat="1" ht="52.8" x14ac:dyDescent="0.25">
      <c r="A31" s="30" t="s">
        <v>1175</v>
      </c>
      <c r="B31" s="30" t="s">
        <v>1192</v>
      </c>
      <c r="C31" s="30" t="s">
        <v>68</v>
      </c>
      <c r="D31" s="179" t="e">
        <f>COUNTIFS([1]Boreholes!$B$2:$B91,"RC",[1]Boreholes!$C$2:$C91,"NO")</f>
        <v>#VALUE!</v>
      </c>
      <c r="E31" s="31"/>
      <c r="F31" s="79"/>
      <c r="G31" s="72"/>
    </row>
    <row r="32" spans="1:7" s="43" customFormat="1" ht="66" x14ac:dyDescent="0.25">
      <c r="A32" s="30" t="s">
        <v>1176</v>
      </c>
      <c r="B32" s="30" t="s">
        <v>1193</v>
      </c>
      <c r="C32" s="30" t="s">
        <v>68</v>
      </c>
      <c r="D32" s="179" t="e">
        <f>COUNTIFS([1]Boreholes!$B$2:$B91,"RC",[1]Boreholes!$C$2:$C91,"YES")</f>
        <v>#VALUE!</v>
      </c>
      <c r="E32" s="31"/>
      <c r="F32" s="79"/>
      <c r="G32" s="72"/>
    </row>
    <row r="33" spans="1:9" s="43" customFormat="1" ht="66" x14ac:dyDescent="0.25">
      <c r="A33" s="30" t="s">
        <v>1138</v>
      </c>
      <c r="B33" s="30" t="s">
        <v>1137</v>
      </c>
      <c r="C33" s="30" t="s">
        <v>68</v>
      </c>
      <c r="D33" s="179" t="e">
        <f>COUNTIF([1]Boreholes!$B$2:$B91,"RC")</f>
        <v>#VALUE!</v>
      </c>
      <c r="E33" s="31"/>
      <c r="F33" s="79"/>
      <c r="G33" s="72"/>
    </row>
    <row r="34" spans="1:9" s="43" customFormat="1" ht="35.1" customHeight="1" x14ac:dyDescent="0.25">
      <c r="A34" s="30" t="s">
        <v>223</v>
      </c>
      <c r="B34" s="30" t="s">
        <v>1154</v>
      </c>
      <c r="C34" s="30" t="s">
        <v>68</v>
      </c>
      <c r="D34" s="179" t="e">
        <f>(COUNTIFS([1]Boreholes!$B$2:$B91,"RC",[1]Boreholes!$D$2:$D91,"YES"))+(COUNTIFS([1]Boreholes!$B$2:$B91,"CP/RC",[1]Boreholes!$D$2:$D91,"YES"))</f>
        <v>#VALUE!</v>
      </c>
      <c r="E34" s="31"/>
      <c r="F34" s="79"/>
      <c r="G34" s="72"/>
    </row>
    <row r="35" spans="1:9" s="43" customFormat="1" ht="26.4" x14ac:dyDescent="0.25">
      <c r="A35" s="30" t="s">
        <v>224</v>
      </c>
      <c r="B35" s="30" t="s">
        <v>225</v>
      </c>
      <c r="C35" s="30" t="s">
        <v>68</v>
      </c>
      <c r="D35" s="31" t="s">
        <v>96</v>
      </c>
      <c r="E35" s="31" t="s">
        <v>1120</v>
      </c>
      <c r="F35" s="79" t="s">
        <v>1184</v>
      </c>
      <c r="G35" s="72"/>
    </row>
    <row r="36" spans="1:9" s="43" customFormat="1" ht="39.6" x14ac:dyDescent="0.25">
      <c r="A36" s="30" t="s">
        <v>226</v>
      </c>
      <c r="B36" s="30" t="s">
        <v>1171</v>
      </c>
      <c r="C36" s="30" t="s">
        <v>1189</v>
      </c>
      <c r="D36" s="182" t="e">
        <f>(COUNTIF([1]Boreholes!$BH$2:$BH91,"YES"))*0.125</f>
        <v>#VALUE!</v>
      </c>
      <c r="E36" s="31"/>
      <c r="F36" s="79"/>
      <c r="G36" s="72"/>
      <c r="I36" s="43" t="s">
        <v>1262</v>
      </c>
    </row>
    <row r="37" spans="1:9" s="43" customFormat="1" ht="26.4" x14ac:dyDescent="0.25">
      <c r="A37" s="30" t="s">
        <v>227</v>
      </c>
      <c r="B37" s="30" t="s">
        <v>1287</v>
      </c>
      <c r="C37" s="30" t="s">
        <v>157</v>
      </c>
      <c r="D37" s="179" t="e">
        <f>D32+D31+D30+D29</f>
        <v>#VALUE!</v>
      </c>
      <c r="E37" s="181"/>
      <c r="F37" s="79"/>
      <c r="G37" s="72"/>
    </row>
    <row r="38" spans="1:9" s="43" customFormat="1" ht="39.6" x14ac:dyDescent="0.25">
      <c r="A38" s="30" t="s">
        <v>228</v>
      </c>
      <c r="B38" s="30" t="s">
        <v>229</v>
      </c>
      <c r="C38" s="30" t="s">
        <v>68</v>
      </c>
      <c r="D38" s="31" t="s">
        <v>96</v>
      </c>
      <c r="E38" s="31" t="s">
        <v>1120</v>
      </c>
      <c r="F38" s="79" t="s">
        <v>1184</v>
      </c>
      <c r="G38" s="72"/>
    </row>
    <row r="39" spans="1:9" s="43" customFormat="1" x14ac:dyDescent="0.25">
      <c r="A39" s="30"/>
      <c r="B39" s="56" t="s">
        <v>230</v>
      </c>
      <c r="C39" s="120"/>
      <c r="D39" s="31"/>
      <c r="E39" s="31"/>
      <c r="F39" s="121"/>
      <c r="G39" s="72"/>
    </row>
    <row r="40" spans="1:9" s="43" customFormat="1" ht="66" x14ac:dyDescent="0.25">
      <c r="A40" s="30" t="s">
        <v>231</v>
      </c>
      <c r="B40" s="30" t="s">
        <v>1194</v>
      </c>
      <c r="C40" s="30" t="s">
        <v>146</v>
      </c>
      <c r="D40" s="179">
        <f>[1]Boreholes!$BA92</f>
        <v>0</v>
      </c>
      <c r="E40" s="31"/>
      <c r="F40" s="79"/>
      <c r="G40" s="72"/>
    </row>
    <row r="41" spans="1:9" s="43" customFormat="1" ht="26.4" x14ac:dyDescent="0.25">
      <c r="A41" s="30" t="s">
        <v>232</v>
      </c>
      <c r="B41" s="30" t="s">
        <v>1140</v>
      </c>
      <c r="C41" s="30" t="s">
        <v>146</v>
      </c>
      <c r="D41" s="179">
        <f>[1]Boreholes!$BB92</f>
        <v>0</v>
      </c>
      <c r="E41" s="31"/>
      <c r="F41" s="79"/>
      <c r="G41" s="72"/>
    </row>
    <row r="42" spans="1:9" s="43" customFormat="1" ht="26.4" x14ac:dyDescent="0.25">
      <c r="A42" s="30" t="s">
        <v>233</v>
      </c>
      <c r="B42" s="30" t="s">
        <v>234</v>
      </c>
      <c r="C42" s="30" t="s">
        <v>146</v>
      </c>
      <c r="D42" s="179">
        <f>[1]Boreholes!$BC92</f>
        <v>0</v>
      </c>
      <c r="E42" s="31"/>
      <c r="F42" s="79"/>
      <c r="G42" s="72"/>
    </row>
    <row r="43" spans="1:9" s="43" customFormat="1" ht="26.4" x14ac:dyDescent="0.25">
      <c r="A43" s="30" t="s">
        <v>235</v>
      </c>
      <c r="B43" s="30" t="s">
        <v>236</v>
      </c>
      <c r="C43" s="30" t="s">
        <v>146</v>
      </c>
      <c r="D43" s="182">
        <f>[1]Boreholes!$BD92</f>
        <v>0</v>
      </c>
      <c r="E43" s="31"/>
      <c r="F43" s="79"/>
      <c r="G43" s="72"/>
    </row>
    <row r="44" spans="1:9" s="43" customFormat="1" ht="26.4" x14ac:dyDescent="0.25">
      <c r="A44" s="30" t="s">
        <v>237</v>
      </c>
      <c r="B44" s="30" t="s">
        <v>238</v>
      </c>
      <c r="C44" s="30" t="s">
        <v>146</v>
      </c>
      <c r="D44" s="31" t="s">
        <v>96</v>
      </c>
      <c r="E44" s="31" t="s">
        <v>1120</v>
      </c>
      <c r="F44" s="79" t="s">
        <v>1184</v>
      </c>
      <c r="G44" s="72"/>
    </row>
    <row r="45" spans="1:9" s="43" customFormat="1" ht="26.4" x14ac:dyDescent="0.25">
      <c r="A45" s="30" t="s">
        <v>239</v>
      </c>
      <c r="B45" s="30" t="s">
        <v>240</v>
      </c>
      <c r="C45" s="30" t="s">
        <v>146</v>
      </c>
      <c r="D45" s="31" t="s">
        <v>96</v>
      </c>
      <c r="E45" s="31" t="s">
        <v>1120</v>
      </c>
      <c r="F45" s="79" t="s">
        <v>1184</v>
      </c>
      <c r="G45" s="72"/>
    </row>
    <row r="46" spans="1:9" s="43" customFormat="1" ht="52.8" x14ac:dyDescent="0.25">
      <c r="A46" s="30" t="s">
        <v>241</v>
      </c>
      <c r="B46" s="30" t="s">
        <v>1141</v>
      </c>
      <c r="C46" s="30" t="s">
        <v>146</v>
      </c>
      <c r="D46" s="179">
        <f>[1]Boreholes!$AG92</f>
        <v>0</v>
      </c>
      <c r="E46" s="31"/>
      <c r="F46" s="79"/>
      <c r="G46" s="72"/>
    </row>
    <row r="47" spans="1:9" s="43" customFormat="1" ht="26.4" x14ac:dyDescent="0.25">
      <c r="A47" s="30" t="s">
        <v>242</v>
      </c>
      <c r="B47" s="30" t="s">
        <v>1142</v>
      </c>
      <c r="C47" s="30" t="s">
        <v>146</v>
      </c>
      <c r="D47" s="179">
        <f>[1]Boreholes!$AH92</f>
        <v>0</v>
      </c>
      <c r="E47" s="31"/>
      <c r="F47" s="79"/>
      <c r="G47" s="72"/>
    </row>
    <row r="48" spans="1:9" s="43" customFormat="1" ht="26.4" x14ac:dyDescent="0.25">
      <c r="A48" s="30" t="s">
        <v>243</v>
      </c>
      <c r="B48" s="30" t="s">
        <v>244</v>
      </c>
      <c r="C48" s="30" t="s">
        <v>146</v>
      </c>
      <c r="D48" s="179">
        <f>[1]Boreholes!$AI92</f>
        <v>0</v>
      </c>
      <c r="E48" s="31"/>
      <c r="F48" s="79"/>
      <c r="G48" s="72"/>
    </row>
    <row r="49" spans="1:7" s="43" customFormat="1" ht="26.4" x14ac:dyDescent="0.25">
      <c r="A49" s="30" t="s">
        <v>245</v>
      </c>
      <c r="B49" s="30" t="s">
        <v>246</v>
      </c>
      <c r="C49" s="30" t="s">
        <v>146</v>
      </c>
      <c r="D49" s="179">
        <f>[1]Boreholes!$AJ92</f>
        <v>0</v>
      </c>
      <c r="E49" s="31"/>
      <c r="F49" s="79"/>
      <c r="G49" s="72"/>
    </row>
    <row r="50" spans="1:7" s="43" customFormat="1" ht="26.4" x14ac:dyDescent="0.25">
      <c r="A50" s="30" t="s">
        <v>247</v>
      </c>
      <c r="B50" s="30" t="s">
        <v>248</v>
      </c>
      <c r="C50" s="30" t="s">
        <v>146</v>
      </c>
      <c r="D50" s="31" t="s">
        <v>96</v>
      </c>
      <c r="E50" s="31" t="s">
        <v>1120</v>
      </c>
      <c r="F50" s="79" t="s">
        <v>1184</v>
      </c>
      <c r="G50" s="72"/>
    </row>
    <row r="51" spans="1:7" s="43" customFormat="1" ht="26.4" x14ac:dyDescent="0.25">
      <c r="A51" s="30" t="s">
        <v>249</v>
      </c>
      <c r="B51" s="30" t="s">
        <v>250</v>
      </c>
      <c r="C51" s="30" t="s">
        <v>146</v>
      </c>
      <c r="D51" s="31" t="s">
        <v>96</v>
      </c>
      <c r="E51" s="31" t="s">
        <v>1120</v>
      </c>
      <c r="F51" s="79" t="s">
        <v>1184</v>
      </c>
      <c r="G51" s="72"/>
    </row>
    <row r="52" spans="1:7" s="43" customFormat="1" ht="52.8" x14ac:dyDescent="0.25">
      <c r="A52" s="30" t="s">
        <v>251</v>
      </c>
      <c r="B52" s="30" t="s">
        <v>1143</v>
      </c>
      <c r="C52" s="30" t="s">
        <v>1189</v>
      </c>
      <c r="D52" s="31" t="s">
        <v>1146</v>
      </c>
      <c r="E52" s="31" t="s">
        <v>1120</v>
      </c>
      <c r="F52" s="79" t="s">
        <v>1184</v>
      </c>
      <c r="G52" s="72"/>
    </row>
    <row r="53" spans="1:7" s="43" customFormat="1" x14ac:dyDescent="0.25">
      <c r="A53" s="30"/>
      <c r="B53" s="56" t="s">
        <v>252</v>
      </c>
      <c r="C53" s="30"/>
      <c r="D53" s="31"/>
      <c r="E53" s="31"/>
      <c r="F53" s="121"/>
      <c r="G53" s="72"/>
    </row>
    <row r="54" spans="1:7" s="43" customFormat="1" ht="56.55" customHeight="1" x14ac:dyDescent="0.25">
      <c r="A54" s="30" t="s">
        <v>253</v>
      </c>
      <c r="B54" s="30" t="s">
        <v>1195</v>
      </c>
      <c r="C54" s="30" t="s">
        <v>146</v>
      </c>
      <c r="D54" s="179">
        <f>[1]Boreholes!$AQ92</f>
        <v>0</v>
      </c>
      <c r="E54" s="31"/>
      <c r="F54" s="79"/>
      <c r="G54" s="72"/>
    </row>
    <row r="55" spans="1:7" s="43" customFormat="1" ht="26.4" x14ac:dyDescent="0.25">
      <c r="A55" s="30" t="s">
        <v>254</v>
      </c>
      <c r="B55" s="30" t="s">
        <v>1182</v>
      </c>
      <c r="C55" s="30" t="s">
        <v>146</v>
      </c>
      <c r="D55" s="179">
        <f>[1]Boreholes!$AR92</f>
        <v>0</v>
      </c>
      <c r="E55" s="31"/>
      <c r="F55" s="79"/>
      <c r="G55" s="72"/>
    </row>
    <row r="56" spans="1:7" s="43" customFormat="1" ht="26.4" x14ac:dyDescent="0.25">
      <c r="A56" s="30" t="s">
        <v>255</v>
      </c>
      <c r="B56" s="30" t="s">
        <v>256</v>
      </c>
      <c r="C56" s="30" t="s">
        <v>146</v>
      </c>
      <c r="D56" s="179">
        <f>[1]Boreholes!$AS92</f>
        <v>0</v>
      </c>
      <c r="E56" s="31"/>
      <c r="F56" s="79"/>
      <c r="G56" s="72"/>
    </row>
    <row r="57" spans="1:7" s="43" customFormat="1" ht="26.4" x14ac:dyDescent="0.25">
      <c r="A57" s="30" t="s">
        <v>257</v>
      </c>
      <c r="B57" s="30" t="s">
        <v>258</v>
      </c>
      <c r="C57" s="30" t="s">
        <v>146</v>
      </c>
      <c r="D57" s="179">
        <f>[1]Boreholes!$AT92</f>
        <v>0</v>
      </c>
      <c r="E57" s="31"/>
      <c r="F57" s="79"/>
      <c r="G57" s="72"/>
    </row>
    <row r="58" spans="1:7" s="43" customFormat="1" ht="26.4" x14ac:dyDescent="0.25">
      <c r="A58" s="30" t="s">
        <v>259</v>
      </c>
      <c r="B58" s="30" t="s">
        <v>260</v>
      </c>
      <c r="C58" s="30" t="s">
        <v>146</v>
      </c>
      <c r="D58" s="31" t="s">
        <v>96</v>
      </c>
      <c r="E58" s="31" t="s">
        <v>1120</v>
      </c>
      <c r="F58" s="79" t="s">
        <v>1184</v>
      </c>
      <c r="G58" s="72"/>
    </row>
    <row r="59" spans="1:7" s="43" customFormat="1" ht="26.4" x14ac:dyDescent="0.25">
      <c r="A59" s="30" t="s">
        <v>261</v>
      </c>
      <c r="B59" s="30" t="s">
        <v>262</v>
      </c>
      <c r="C59" s="30" t="s">
        <v>146</v>
      </c>
      <c r="D59" s="31" t="s">
        <v>96</v>
      </c>
      <c r="E59" s="31" t="s">
        <v>1120</v>
      </c>
      <c r="F59" s="79" t="s">
        <v>1184</v>
      </c>
      <c r="G59" s="72"/>
    </row>
    <row r="60" spans="1:7" s="43" customFormat="1" ht="26.4" x14ac:dyDescent="0.25">
      <c r="A60" s="30" t="s">
        <v>263</v>
      </c>
      <c r="B60" s="30" t="s">
        <v>264</v>
      </c>
      <c r="C60" s="30" t="s">
        <v>146</v>
      </c>
      <c r="D60" s="31" t="s">
        <v>96</v>
      </c>
      <c r="E60" s="31" t="s">
        <v>1120</v>
      </c>
      <c r="F60" s="79" t="s">
        <v>1184</v>
      </c>
      <c r="G60" s="72"/>
    </row>
    <row r="61" spans="1:7" s="43" customFormat="1" ht="54" customHeight="1" x14ac:dyDescent="0.25">
      <c r="A61" s="30" t="s">
        <v>265</v>
      </c>
      <c r="B61" s="30" t="s">
        <v>1196</v>
      </c>
      <c r="C61" s="30" t="s">
        <v>146</v>
      </c>
      <c r="D61" s="178">
        <f>[1]Boreholes!$W92</f>
        <v>0</v>
      </c>
      <c r="E61" s="31"/>
      <c r="F61" s="79"/>
      <c r="G61" s="72"/>
    </row>
    <row r="62" spans="1:7" s="43" customFormat="1" ht="26.4" x14ac:dyDescent="0.25">
      <c r="A62" s="30" t="s">
        <v>266</v>
      </c>
      <c r="B62" s="30" t="s">
        <v>1096</v>
      </c>
      <c r="C62" s="30" t="s">
        <v>146</v>
      </c>
      <c r="D62" s="178">
        <f>[1]Boreholes!$X92</f>
        <v>0</v>
      </c>
      <c r="E62" s="31"/>
      <c r="F62" s="79"/>
      <c r="G62" s="72"/>
    </row>
    <row r="63" spans="1:7" s="43" customFormat="1" ht="26.4" x14ac:dyDescent="0.25">
      <c r="A63" s="30" t="s">
        <v>267</v>
      </c>
      <c r="B63" s="30" t="s">
        <v>268</v>
      </c>
      <c r="C63" s="30" t="s">
        <v>146</v>
      </c>
      <c r="D63" s="178">
        <f>[1]Boreholes!$Y92</f>
        <v>0</v>
      </c>
      <c r="E63" s="31"/>
      <c r="F63" s="79"/>
      <c r="G63" s="72"/>
    </row>
    <row r="64" spans="1:7" s="43" customFormat="1" ht="26.4" x14ac:dyDescent="0.25">
      <c r="A64" s="30" t="s">
        <v>269</v>
      </c>
      <c r="B64" s="30" t="s">
        <v>270</v>
      </c>
      <c r="C64" s="30" t="s">
        <v>146</v>
      </c>
      <c r="D64" s="178">
        <f>[1]Boreholes!$Z92</f>
        <v>0</v>
      </c>
      <c r="E64" s="31"/>
      <c r="F64" s="79"/>
      <c r="G64" s="72"/>
    </row>
    <row r="65" spans="1:7" s="43" customFormat="1" ht="26.4" x14ac:dyDescent="0.25">
      <c r="A65" s="30" t="s">
        <v>271</v>
      </c>
      <c r="B65" s="30" t="s">
        <v>272</v>
      </c>
      <c r="C65" s="30" t="s">
        <v>146</v>
      </c>
      <c r="D65" s="31" t="s">
        <v>96</v>
      </c>
      <c r="E65" s="31" t="s">
        <v>1120</v>
      </c>
      <c r="F65" s="79" t="s">
        <v>1184</v>
      </c>
      <c r="G65" s="72"/>
    </row>
    <row r="66" spans="1:7" s="43" customFormat="1" ht="26.4" x14ac:dyDescent="0.25">
      <c r="A66" s="30" t="s">
        <v>273</v>
      </c>
      <c r="B66" s="30" t="s">
        <v>274</v>
      </c>
      <c r="C66" s="30" t="s">
        <v>146</v>
      </c>
      <c r="D66" s="31" t="s">
        <v>96</v>
      </c>
      <c r="E66" s="31" t="s">
        <v>1120</v>
      </c>
      <c r="F66" s="79" t="s">
        <v>1184</v>
      </c>
      <c r="G66" s="72"/>
    </row>
    <row r="67" spans="1:7" s="43" customFormat="1" ht="26.4" x14ac:dyDescent="0.25">
      <c r="A67" s="30" t="s">
        <v>275</v>
      </c>
      <c r="B67" s="30" t="s">
        <v>276</v>
      </c>
      <c r="C67" s="30" t="s">
        <v>146</v>
      </c>
      <c r="D67" s="31" t="s">
        <v>96</v>
      </c>
      <c r="E67" s="31" t="s">
        <v>1120</v>
      </c>
      <c r="F67" s="79" t="s">
        <v>1184</v>
      </c>
      <c r="G67" s="72"/>
    </row>
    <row r="68" spans="1:7" s="43" customFormat="1" ht="52.8" x14ac:dyDescent="0.25">
      <c r="A68" s="30" t="s">
        <v>277</v>
      </c>
      <c r="B68" s="30" t="s">
        <v>278</v>
      </c>
      <c r="C68" s="30" t="s">
        <v>1189</v>
      </c>
      <c r="D68" s="31" t="s">
        <v>1146</v>
      </c>
      <c r="E68" s="31" t="s">
        <v>1120</v>
      </c>
      <c r="F68" s="79" t="s">
        <v>1184</v>
      </c>
      <c r="G68" s="72"/>
    </row>
    <row r="69" spans="1:7" s="43" customFormat="1" ht="26.4" x14ac:dyDescent="0.25">
      <c r="A69" s="30" t="s">
        <v>279</v>
      </c>
      <c r="B69" s="30" t="s">
        <v>280</v>
      </c>
      <c r="C69" s="30" t="s">
        <v>68</v>
      </c>
      <c r="D69" s="31" t="s">
        <v>96</v>
      </c>
      <c r="E69" s="31" t="s">
        <v>1120</v>
      </c>
      <c r="F69" s="79" t="s">
        <v>1184</v>
      </c>
      <c r="G69" s="72"/>
    </row>
    <row r="70" spans="1:7" s="43" customFormat="1" ht="26.4" x14ac:dyDescent="0.25">
      <c r="A70" s="30"/>
      <c r="B70" s="56" t="s">
        <v>1144</v>
      </c>
      <c r="C70" s="30"/>
      <c r="D70" s="31"/>
      <c r="E70" s="31"/>
      <c r="F70" s="79"/>
      <c r="G70" s="72"/>
    </row>
    <row r="71" spans="1:7" s="43" customFormat="1" ht="39.6" x14ac:dyDescent="0.25">
      <c r="A71" s="30" t="s">
        <v>281</v>
      </c>
      <c r="B71" s="30" t="s">
        <v>282</v>
      </c>
      <c r="C71" s="30" t="s">
        <v>68</v>
      </c>
      <c r="D71" s="31" t="s">
        <v>96</v>
      </c>
      <c r="E71" s="31" t="s">
        <v>1120</v>
      </c>
      <c r="F71" s="79" t="s">
        <v>1184</v>
      </c>
      <c r="G71" s="72"/>
    </row>
    <row r="72" spans="1:7" s="43" customFormat="1" ht="26.4" x14ac:dyDescent="0.25">
      <c r="A72" s="30" t="s">
        <v>283</v>
      </c>
      <c r="B72" s="30" t="s">
        <v>284</v>
      </c>
      <c r="C72" s="30" t="s">
        <v>68</v>
      </c>
      <c r="D72" s="31" t="s">
        <v>96</v>
      </c>
      <c r="E72" s="31" t="s">
        <v>1120</v>
      </c>
      <c r="F72" s="79" t="s">
        <v>1184</v>
      </c>
      <c r="G72" s="72"/>
    </row>
    <row r="73" spans="1:7" s="43" customFormat="1" ht="39.6" x14ac:dyDescent="0.25">
      <c r="A73" s="30" t="s">
        <v>285</v>
      </c>
      <c r="B73" s="30" t="s">
        <v>286</v>
      </c>
      <c r="C73" s="30" t="s">
        <v>146</v>
      </c>
      <c r="D73" s="31" t="s">
        <v>96</v>
      </c>
      <c r="E73" s="31" t="s">
        <v>1120</v>
      </c>
      <c r="F73" s="79" t="s">
        <v>1184</v>
      </c>
      <c r="G73" s="72"/>
    </row>
    <row r="74" spans="1:7" s="43" customFormat="1" ht="26.4" x14ac:dyDescent="0.25">
      <c r="A74" s="30" t="s">
        <v>287</v>
      </c>
      <c r="B74" s="30" t="s">
        <v>288</v>
      </c>
      <c r="C74" s="30" t="s">
        <v>146</v>
      </c>
      <c r="D74" s="31" t="s">
        <v>96</v>
      </c>
      <c r="E74" s="31" t="s">
        <v>1120</v>
      </c>
      <c r="F74" s="79" t="s">
        <v>1184</v>
      </c>
      <c r="G74" s="72"/>
    </row>
    <row r="75" spans="1:7" s="43" customFormat="1" ht="26.4" x14ac:dyDescent="0.25">
      <c r="A75" s="30" t="s">
        <v>289</v>
      </c>
      <c r="B75" s="30" t="s">
        <v>290</v>
      </c>
      <c r="C75" s="30" t="s">
        <v>146</v>
      </c>
      <c r="D75" s="31" t="s">
        <v>96</v>
      </c>
      <c r="E75" s="31" t="s">
        <v>1120</v>
      </c>
      <c r="F75" s="79" t="s">
        <v>1184</v>
      </c>
      <c r="G75" s="72"/>
    </row>
    <row r="76" spans="1:7" s="43" customFormat="1" ht="26.4" x14ac:dyDescent="0.25">
      <c r="A76" s="30" t="s">
        <v>291</v>
      </c>
      <c r="B76" s="30" t="s">
        <v>292</v>
      </c>
      <c r="C76" s="30" t="s">
        <v>146</v>
      </c>
      <c r="D76" s="31" t="s">
        <v>96</v>
      </c>
      <c r="E76" s="31" t="s">
        <v>1120</v>
      </c>
      <c r="F76" s="79" t="s">
        <v>1184</v>
      </c>
      <c r="G76" s="72"/>
    </row>
    <row r="77" spans="1:7" s="43" customFormat="1" ht="26.4" x14ac:dyDescent="0.25">
      <c r="A77" s="30" t="s">
        <v>293</v>
      </c>
      <c r="B77" s="30" t="s">
        <v>294</v>
      </c>
      <c r="C77" s="30" t="s">
        <v>146</v>
      </c>
      <c r="D77" s="31" t="s">
        <v>96</v>
      </c>
      <c r="E77" s="31" t="s">
        <v>1120</v>
      </c>
      <c r="F77" s="79" t="s">
        <v>1184</v>
      </c>
      <c r="G77" s="72"/>
    </row>
    <row r="78" spans="1:7" s="43" customFormat="1" ht="26.4" x14ac:dyDescent="0.25">
      <c r="A78" s="30" t="s">
        <v>295</v>
      </c>
      <c r="B78" s="30" t="s">
        <v>296</v>
      </c>
      <c r="C78" s="30" t="s">
        <v>157</v>
      </c>
      <c r="D78" s="31" t="s">
        <v>96</v>
      </c>
      <c r="E78" s="31" t="s">
        <v>1120</v>
      </c>
      <c r="F78" s="79" t="s">
        <v>1184</v>
      </c>
      <c r="G78" s="72"/>
    </row>
    <row r="79" spans="1:7" s="43" customFormat="1" ht="53.1" customHeight="1" x14ac:dyDescent="0.25">
      <c r="A79" s="30" t="s">
        <v>297</v>
      </c>
      <c r="B79" s="30" t="s">
        <v>298</v>
      </c>
      <c r="C79" s="30" t="s">
        <v>146</v>
      </c>
      <c r="D79" s="31" t="s">
        <v>96</v>
      </c>
      <c r="E79" s="31" t="s">
        <v>1120</v>
      </c>
      <c r="F79" s="79" t="s">
        <v>1184</v>
      </c>
      <c r="G79" s="72"/>
    </row>
    <row r="80" spans="1:7" s="43" customFormat="1" x14ac:dyDescent="0.25">
      <c r="A80" s="30"/>
      <c r="B80" s="56" t="s">
        <v>299</v>
      </c>
      <c r="C80" s="30"/>
      <c r="D80" s="31"/>
      <c r="E80" s="31"/>
      <c r="F80" s="121"/>
      <c r="G80" s="72"/>
    </row>
    <row r="81" spans="1:7" s="43" customFormat="1" ht="66" x14ac:dyDescent="0.25">
      <c r="A81" s="30" t="s">
        <v>300</v>
      </c>
      <c r="B81" s="30" t="s">
        <v>1164</v>
      </c>
      <c r="C81" s="30" t="s">
        <v>68</v>
      </c>
      <c r="D81" s="31" t="s">
        <v>96</v>
      </c>
      <c r="E81" s="31" t="s">
        <v>1120</v>
      </c>
      <c r="F81" s="79" t="s">
        <v>1184</v>
      </c>
      <c r="G81" s="72"/>
    </row>
    <row r="82" spans="1:7" s="43" customFormat="1" ht="79.2" x14ac:dyDescent="0.25">
      <c r="A82" s="30" t="s">
        <v>1162</v>
      </c>
      <c r="B82" s="30" t="s">
        <v>1163</v>
      </c>
      <c r="C82" s="30" t="s">
        <v>68</v>
      </c>
      <c r="D82" s="31" t="s">
        <v>96</v>
      </c>
      <c r="E82" s="31" t="s">
        <v>1120</v>
      </c>
      <c r="F82" s="79" t="s">
        <v>1184</v>
      </c>
      <c r="G82" s="72"/>
    </row>
    <row r="83" spans="1:7" s="43" customFormat="1" ht="66" x14ac:dyDescent="0.25">
      <c r="A83" s="30" t="s">
        <v>301</v>
      </c>
      <c r="B83" s="30" t="s">
        <v>1148</v>
      </c>
      <c r="C83" s="30" t="s">
        <v>68</v>
      </c>
      <c r="D83" s="31" t="s">
        <v>96</v>
      </c>
      <c r="E83" s="31" t="s">
        <v>1120</v>
      </c>
      <c r="F83" s="79" t="s">
        <v>1184</v>
      </c>
      <c r="G83" s="72"/>
    </row>
    <row r="84" spans="1:7" s="43" customFormat="1" ht="26.4" x14ac:dyDescent="0.25">
      <c r="A84" s="30" t="s">
        <v>302</v>
      </c>
      <c r="B84" s="30" t="s">
        <v>303</v>
      </c>
      <c r="C84" s="30" t="s">
        <v>11</v>
      </c>
      <c r="D84" s="31" t="s">
        <v>96</v>
      </c>
      <c r="E84" s="31" t="s">
        <v>1120</v>
      </c>
      <c r="F84" s="79" t="s">
        <v>1184</v>
      </c>
      <c r="G84" s="72"/>
    </row>
    <row r="85" spans="1:7" s="43" customFormat="1" ht="39" customHeight="1" x14ac:dyDescent="0.25">
      <c r="A85" s="30" t="s">
        <v>304</v>
      </c>
      <c r="B85" s="30" t="s">
        <v>1153</v>
      </c>
      <c r="C85" s="30" t="s">
        <v>1189</v>
      </c>
      <c r="D85" s="31" t="s">
        <v>96</v>
      </c>
      <c r="E85" s="31" t="s">
        <v>1120</v>
      </c>
      <c r="F85" s="79" t="s">
        <v>1184</v>
      </c>
      <c r="G85" s="72"/>
    </row>
    <row r="86" spans="1:7" s="43" customFormat="1" ht="26.4" x14ac:dyDescent="0.25">
      <c r="A86" s="30" t="s">
        <v>305</v>
      </c>
      <c r="B86" s="30" t="s">
        <v>1149</v>
      </c>
      <c r="C86" s="30" t="s">
        <v>157</v>
      </c>
      <c r="D86" s="31" t="s">
        <v>96</v>
      </c>
      <c r="E86" s="31" t="s">
        <v>1120</v>
      </c>
      <c r="F86" s="79" t="s">
        <v>1184</v>
      </c>
      <c r="G86" s="72"/>
    </row>
    <row r="87" spans="1:7" s="43" customFormat="1" ht="26.4" x14ac:dyDescent="0.25">
      <c r="A87" s="30"/>
      <c r="B87" s="47" t="s">
        <v>306</v>
      </c>
      <c r="C87" s="30"/>
      <c r="D87" s="31"/>
      <c r="E87" s="31"/>
      <c r="F87" s="79"/>
      <c r="G87" s="72"/>
    </row>
    <row r="88" spans="1:7" s="43" customFormat="1" ht="39.6" x14ac:dyDescent="0.25">
      <c r="A88" s="30" t="s">
        <v>307</v>
      </c>
      <c r="B88" s="30" t="s">
        <v>1150</v>
      </c>
      <c r="C88" s="30" t="s">
        <v>146</v>
      </c>
      <c r="D88" s="31" t="s">
        <v>96</v>
      </c>
      <c r="E88" s="31" t="s">
        <v>1120</v>
      </c>
      <c r="F88" s="79" t="s">
        <v>1184</v>
      </c>
      <c r="G88" s="72"/>
    </row>
    <row r="89" spans="1:7" s="43" customFormat="1" ht="52.8" x14ac:dyDescent="0.25">
      <c r="A89" s="30" t="s">
        <v>308</v>
      </c>
      <c r="B89" s="30" t="s">
        <v>1151</v>
      </c>
      <c r="C89" s="30" t="s">
        <v>146</v>
      </c>
      <c r="D89" s="31" t="s">
        <v>96</v>
      </c>
      <c r="E89" s="31" t="s">
        <v>1120</v>
      </c>
      <c r="F89" s="79" t="s">
        <v>1184</v>
      </c>
      <c r="G89" s="72"/>
    </row>
    <row r="90" spans="1:7" s="43" customFormat="1" ht="26.4" x14ac:dyDescent="0.25">
      <c r="A90" s="30" t="s">
        <v>309</v>
      </c>
      <c r="B90" s="30" t="s">
        <v>1152</v>
      </c>
      <c r="C90" s="30" t="s">
        <v>146</v>
      </c>
      <c r="D90" s="31" t="s">
        <v>96</v>
      </c>
      <c r="E90" s="31" t="s">
        <v>1120</v>
      </c>
      <c r="F90" s="79" t="s">
        <v>1184</v>
      </c>
      <c r="G90" s="72"/>
    </row>
    <row r="91" spans="1:7" s="43" customFormat="1" ht="26.4" x14ac:dyDescent="0.25">
      <c r="A91" s="30" t="s">
        <v>310</v>
      </c>
      <c r="B91" s="30" t="s">
        <v>311</v>
      </c>
      <c r="C91" s="30" t="s">
        <v>146</v>
      </c>
      <c r="D91" s="31" t="s">
        <v>96</v>
      </c>
      <c r="E91" s="31" t="s">
        <v>1120</v>
      </c>
      <c r="F91" s="79" t="s">
        <v>1184</v>
      </c>
      <c r="G91" s="72"/>
    </row>
    <row r="92" spans="1:7" s="43" customFormat="1" ht="26.4" x14ac:dyDescent="0.25">
      <c r="A92" s="30" t="s">
        <v>312</v>
      </c>
      <c r="B92" s="30" t="s">
        <v>313</v>
      </c>
      <c r="C92" s="30" t="s">
        <v>146</v>
      </c>
      <c r="D92" s="31" t="s">
        <v>96</v>
      </c>
      <c r="E92" s="31" t="s">
        <v>1120</v>
      </c>
      <c r="F92" s="79" t="s">
        <v>1184</v>
      </c>
      <c r="G92" s="72"/>
    </row>
    <row r="93" spans="1:7" s="43" customFormat="1" ht="26.4" x14ac:dyDescent="0.25">
      <c r="A93" s="30" t="s">
        <v>314</v>
      </c>
      <c r="B93" s="30" t="s">
        <v>315</v>
      </c>
      <c r="C93" s="30" t="s">
        <v>146</v>
      </c>
      <c r="D93" s="31" t="s">
        <v>96</v>
      </c>
      <c r="E93" s="31" t="s">
        <v>1120</v>
      </c>
      <c r="F93" s="79" t="s">
        <v>1184</v>
      </c>
      <c r="G93" s="72"/>
    </row>
    <row r="94" spans="1:7" s="43" customFormat="1" ht="52.8" x14ac:dyDescent="0.25">
      <c r="A94" s="30" t="s">
        <v>316</v>
      </c>
      <c r="B94" s="30" t="s">
        <v>317</v>
      </c>
      <c r="C94" s="30" t="s">
        <v>146</v>
      </c>
      <c r="D94" s="31" t="s">
        <v>96</v>
      </c>
      <c r="E94" s="31" t="s">
        <v>1120</v>
      </c>
      <c r="F94" s="79" t="s">
        <v>1184</v>
      </c>
      <c r="G94" s="72"/>
    </row>
    <row r="95" spans="1:7" s="43" customFormat="1" ht="26.4" x14ac:dyDescent="0.25">
      <c r="A95" s="30" t="s">
        <v>318</v>
      </c>
      <c r="B95" s="30" t="s">
        <v>319</v>
      </c>
      <c r="C95" s="30" t="s">
        <v>146</v>
      </c>
      <c r="D95" s="31" t="s">
        <v>96</v>
      </c>
      <c r="E95" s="31" t="s">
        <v>1120</v>
      </c>
      <c r="F95" s="79" t="s">
        <v>1184</v>
      </c>
      <c r="G95" s="72"/>
    </row>
    <row r="96" spans="1:7" s="43" customFormat="1" ht="26.4" x14ac:dyDescent="0.25">
      <c r="A96" s="30" t="s">
        <v>320</v>
      </c>
      <c r="B96" s="30" t="s">
        <v>311</v>
      </c>
      <c r="C96" s="30" t="s">
        <v>146</v>
      </c>
      <c r="D96" s="31" t="s">
        <v>96</v>
      </c>
      <c r="E96" s="31" t="s">
        <v>1120</v>
      </c>
      <c r="F96" s="79" t="s">
        <v>1184</v>
      </c>
      <c r="G96" s="72"/>
    </row>
    <row r="97" spans="1:7" s="43" customFormat="1" ht="26.4" x14ac:dyDescent="0.25">
      <c r="A97" s="30" t="s">
        <v>321</v>
      </c>
      <c r="B97" s="30" t="s">
        <v>313</v>
      </c>
      <c r="C97" s="30" t="s">
        <v>146</v>
      </c>
      <c r="D97" s="31" t="s">
        <v>96</v>
      </c>
      <c r="E97" s="31" t="s">
        <v>1120</v>
      </c>
      <c r="F97" s="79" t="s">
        <v>1184</v>
      </c>
      <c r="G97" s="72"/>
    </row>
    <row r="98" spans="1:7" s="43" customFormat="1" ht="26.4" x14ac:dyDescent="0.25">
      <c r="A98" s="30" t="s">
        <v>322</v>
      </c>
      <c r="B98" s="30" t="s">
        <v>315</v>
      </c>
      <c r="C98" s="30" t="s">
        <v>146</v>
      </c>
      <c r="D98" s="31" t="s">
        <v>96</v>
      </c>
      <c r="E98" s="31" t="s">
        <v>1120</v>
      </c>
      <c r="F98" s="79" t="s">
        <v>1184</v>
      </c>
      <c r="G98" s="72"/>
    </row>
    <row r="99" spans="1:7" s="43" customFormat="1" ht="39.6" x14ac:dyDescent="0.25">
      <c r="A99" s="30" t="s">
        <v>323</v>
      </c>
      <c r="B99" s="30" t="s">
        <v>324</v>
      </c>
      <c r="C99" s="30" t="s">
        <v>146</v>
      </c>
      <c r="D99" s="31" t="s">
        <v>96</v>
      </c>
      <c r="E99" s="31" t="s">
        <v>1120</v>
      </c>
      <c r="F99" s="79" t="s">
        <v>1184</v>
      </c>
      <c r="G99" s="72"/>
    </row>
    <row r="100" spans="1:7" s="43" customFormat="1" ht="26.4" x14ac:dyDescent="0.25">
      <c r="A100" s="30"/>
      <c r="B100" s="47" t="s">
        <v>325</v>
      </c>
      <c r="C100" s="30"/>
      <c r="D100" s="31"/>
      <c r="E100" s="31"/>
      <c r="F100" s="79"/>
      <c r="G100" s="72"/>
    </row>
    <row r="101" spans="1:7" s="43" customFormat="1" ht="52.8" x14ac:dyDescent="0.25">
      <c r="A101" s="30" t="s">
        <v>326</v>
      </c>
      <c r="B101" s="30" t="s">
        <v>1097</v>
      </c>
      <c r="C101" s="30" t="s">
        <v>162</v>
      </c>
      <c r="D101" s="31" t="s">
        <v>96</v>
      </c>
      <c r="E101" s="31" t="s">
        <v>1120</v>
      </c>
      <c r="F101" s="79" t="s">
        <v>1184</v>
      </c>
      <c r="G101" s="72"/>
    </row>
    <row r="102" spans="1:7" s="43" customFormat="1" ht="26.4" x14ac:dyDescent="0.25">
      <c r="A102" s="30" t="s">
        <v>327</v>
      </c>
      <c r="B102" s="30" t="s">
        <v>1098</v>
      </c>
      <c r="C102" s="30" t="s">
        <v>146</v>
      </c>
      <c r="D102" s="31" t="s">
        <v>96</v>
      </c>
      <c r="E102" s="31" t="s">
        <v>1120</v>
      </c>
      <c r="F102" s="79" t="s">
        <v>1184</v>
      </c>
      <c r="G102" s="72"/>
    </row>
    <row r="103" spans="1:7" s="43" customFormat="1" ht="26.4" x14ac:dyDescent="0.25">
      <c r="A103" s="30" t="s">
        <v>328</v>
      </c>
      <c r="B103" s="30" t="s">
        <v>329</v>
      </c>
      <c r="C103" s="30" t="s">
        <v>68</v>
      </c>
      <c r="D103" s="31" t="s">
        <v>96</v>
      </c>
      <c r="E103" s="31" t="s">
        <v>1120</v>
      </c>
      <c r="F103" s="79" t="s">
        <v>1184</v>
      </c>
      <c r="G103" s="72"/>
    </row>
    <row r="104" spans="1:7" s="43" customFormat="1" ht="66" x14ac:dyDescent="0.25">
      <c r="A104" s="30" t="s">
        <v>330</v>
      </c>
      <c r="B104" s="30" t="s">
        <v>331</v>
      </c>
      <c r="C104" s="30" t="s">
        <v>162</v>
      </c>
      <c r="D104" s="31" t="s">
        <v>96</v>
      </c>
      <c r="E104" s="31" t="s">
        <v>1120</v>
      </c>
      <c r="F104" s="79" t="s">
        <v>1184</v>
      </c>
      <c r="G104" s="72"/>
    </row>
    <row r="105" spans="1:7" s="43" customFormat="1" ht="79.2" x14ac:dyDescent="0.25">
      <c r="A105" s="30" t="s">
        <v>332</v>
      </c>
      <c r="B105" s="30" t="s">
        <v>333</v>
      </c>
      <c r="C105" s="30" t="s">
        <v>162</v>
      </c>
      <c r="D105" s="31" t="s">
        <v>96</v>
      </c>
      <c r="E105" s="31" t="s">
        <v>1120</v>
      </c>
      <c r="F105" s="79" t="s">
        <v>1184</v>
      </c>
      <c r="G105" s="72"/>
    </row>
    <row r="106" spans="1:7" s="43" customFormat="1" x14ac:dyDescent="0.25">
      <c r="A106" s="30"/>
      <c r="B106" s="56" t="s">
        <v>334</v>
      </c>
      <c r="C106" s="30"/>
      <c r="D106" s="31"/>
      <c r="E106" s="31"/>
      <c r="F106" s="121"/>
      <c r="G106" s="72"/>
    </row>
    <row r="107" spans="1:7" s="43" customFormat="1" ht="39.6" x14ac:dyDescent="0.25">
      <c r="A107" s="30" t="s">
        <v>335</v>
      </c>
      <c r="B107" s="30" t="s">
        <v>184</v>
      </c>
      <c r="C107" s="30" t="s">
        <v>185</v>
      </c>
      <c r="D107" s="31" t="s">
        <v>1146</v>
      </c>
      <c r="E107" s="31" t="s">
        <v>1120</v>
      </c>
      <c r="F107" s="79" t="s">
        <v>1184</v>
      </c>
      <c r="G107" s="72"/>
    </row>
    <row r="108" spans="1:7" s="43" customFormat="1" ht="26.4" x14ac:dyDescent="0.25">
      <c r="A108" s="30" t="s">
        <v>336</v>
      </c>
      <c r="B108" s="30" t="s">
        <v>187</v>
      </c>
      <c r="C108" s="30" t="s">
        <v>185</v>
      </c>
      <c r="D108" s="31" t="s">
        <v>1126</v>
      </c>
      <c r="E108" s="31" t="s">
        <v>1120</v>
      </c>
      <c r="F108" s="79" t="s">
        <v>1184</v>
      </c>
      <c r="G108" s="72"/>
    </row>
    <row r="109" spans="1:7" s="43" customFormat="1" ht="39.6" x14ac:dyDescent="0.25">
      <c r="A109" s="30" t="s">
        <v>337</v>
      </c>
      <c r="B109" s="30" t="s">
        <v>189</v>
      </c>
      <c r="C109" s="30" t="s">
        <v>185</v>
      </c>
      <c r="D109" s="31" t="s">
        <v>1146</v>
      </c>
      <c r="E109" s="31" t="s">
        <v>1120</v>
      </c>
      <c r="F109" s="79" t="s">
        <v>1184</v>
      </c>
      <c r="G109" s="72"/>
    </row>
    <row r="110" spans="1:7" s="43" customFormat="1" ht="26.4" x14ac:dyDescent="0.25">
      <c r="A110" s="30" t="s">
        <v>338</v>
      </c>
      <c r="B110" s="30" t="s">
        <v>339</v>
      </c>
      <c r="C110" s="30" t="s">
        <v>146</v>
      </c>
      <c r="D110" s="31" t="s">
        <v>96</v>
      </c>
      <c r="E110" s="31" t="s">
        <v>1120</v>
      </c>
      <c r="F110" s="79" t="s">
        <v>1184</v>
      </c>
      <c r="G110" s="72"/>
    </row>
    <row r="111" spans="1:7" s="43" customFormat="1" ht="48" customHeight="1" x14ac:dyDescent="0.25">
      <c r="A111" s="30" t="s">
        <v>340</v>
      </c>
      <c r="B111" s="30" t="s">
        <v>1147</v>
      </c>
      <c r="C111" s="30" t="s">
        <v>162</v>
      </c>
      <c r="D111" s="31" t="s">
        <v>1146</v>
      </c>
      <c r="E111" s="31" t="s">
        <v>1120</v>
      </c>
      <c r="F111" s="90" t="s">
        <v>1184</v>
      </c>
      <c r="G111" s="72"/>
    </row>
    <row r="112" spans="1:7" ht="13.8" thickBot="1" x14ac:dyDescent="0.3">
      <c r="A112" s="20"/>
      <c r="B112" s="22"/>
      <c r="C112" s="20"/>
      <c r="D112" s="20"/>
      <c r="E112" s="20"/>
      <c r="F112" s="85"/>
      <c r="G112" s="100"/>
    </row>
    <row r="113" spans="2:6" ht="13.8" thickBot="1" x14ac:dyDescent="0.3">
      <c r="B113" s="24" t="s">
        <v>1099</v>
      </c>
      <c r="C113" s="25"/>
      <c r="D113" s="25"/>
      <c r="E113" s="26"/>
      <c r="F113" s="84"/>
    </row>
    <row r="114" spans="2:6" x14ac:dyDescent="0.25">
      <c r="B114" s="21"/>
    </row>
  </sheetData>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&amp;C&amp;A&amp;RPage &amp;P&amp;LJob Number 5163809</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I75"/>
  <sheetViews>
    <sheetView topLeftCell="A34" zoomScaleNormal="100" zoomScaleSheetLayoutView="100" zoomScalePageLayoutView="60" workbookViewId="0">
      <selection activeCell="D25" sqref="D25"/>
    </sheetView>
  </sheetViews>
  <sheetFormatPr defaultRowHeight="13.2" x14ac:dyDescent="0.25"/>
  <cols>
    <col min="2" max="2" width="38.77734375" customWidth="1"/>
    <col min="3" max="3" width="7.44140625" style="1" customWidth="1"/>
    <col min="4" max="4" width="11.5546875" style="1" customWidth="1"/>
    <col min="5" max="5" width="11.44140625" style="38" customWidth="1"/>
    <col min="6" max="6" width="11.44140625" style="64" customWidth="1"/>
    <col min="7" max="7" width="2.44140625" style="1" customWidth="1"/>
    <col min="9" max="9" width="18.77734375" bestFit="1" customWidth="1"/>
  </cols>
  <sheetData>
    <row r="2" spans="1:9" s="53" customFormat="1" x14ac:dyDescent="0.25">
      <c r="C2" s="54"/>
      <c r="D2" s="54"/>
      <c r="E2" s="54"/>
      <c r="F2" s="77"/>
      <c r="G2" s="54"/>
    </row>
    <row r="3" spans="1:9" s="55" customFormat="1" x14ac:dyDescent="0.25">
      <c r="E3" s="57"/>
      <c r="F3" s="71"/>
    </row>
    <row r="4" spans="1:9" s="55" customFormat="1" x14ac:dyDescent="0.25">
      <c r="E4" s="57"/>
      <c r="F4" s="71"/>
    </row>
    <row r="5" spans="1:9" s="55" customFormat="1" x14ac:dyDescent="0.25">
      <c r="E5" s="57"/>
      <c r="F5" s="71"/>
    </row>
    <row r="6" spans="1:9" s="55" customFormat="1" x14ac:dyDescent="0.25">
      <c r="E6" s="57"/>
      <c r="F6" s="71"/>
    </row>
    <row r="8" spans="1:9" x14ac:dyDescent="0.25">
      <c r="A8" s="5" t="s">
        <v>0</v>
      </c>
      <c r="B8" s="5" t="s">
        <v>1</v>
      </c>
      <c r="C8" s="5" t="s">
        <v>2</v>
      </c>
      <c r="D8" s="5" t="s">
        <v>3</v>
      </c>
      <c r="E8" s="33" t="s">
        <v>4</v>
      </c>
      <c r="F8" s="61" t="s">
        <v>5</v>
      </c>
      <c r="G8" s="97"/>
      <c r="I8" t="s">
        <v>1294</v>
      </c>
    </row>
    <row r="9" spans="1:9" x14ac:dyDescent="0.25">
      <c r="A9" s="7"/>
      <c r="B9" s="7"/>
      <c r="C9" s="8"/>
      <c r="D9" s="8"/>
      <c r="E9" s="34" t="s">
        <v>6</v>
      </c>
      <c r="F9" s="62" t="s">
        <v>6</v>
      </c>
    </row>
    <row r="10" spans="1:9" s="43" customFormat="1" ht="13.8" x14ac:dyDescent="0.25">
      <c r="A10" s="114" t="s">
        <v>341</v>
      </c>
      <c r="B10" s="122" t="s">
        <v>342</v>
      </c>
      <c r="C10" s="123"/>
      <c r="D10" s="31"/>
      <c r="E10" s="42"/>
      <c r="F10" s="90"/>
      <c r="G10" s="72"/>
    </row>
    <row r="11" spans="1:9" s="43" customFormat="1" ht="52.8" x14ac:dyDescent="0.25">
      <c r="A11" s="124"/>
      <c r="B11" s="125" t="s">
        <v>1197</v>
      </c>
      <c r="C11" s="126"/>
      <c r="D11" s="126"/>
      <c r="E11" s="127"/>
      <c r="F11" s="79"/>
      <c r="G11" s="72"/>
    </row>
    <row r="12" spans="1:9" s="43" customFormat="1" ht="26.4" x14ac:dyDescent="0.25">
      <c r="A12" s="30" t="s">
        <v>343</v>
      </c>
      <c r="B12" s="30" t="s">
        <v>1113</v>
      </c>
      <c r="C12" s="30" t="s">
        <v>68</v>
      </c>
      <c r="D12" s="179">
        <f>'[1]Inspection pit'!$H92</f>
        <v>0</v>
      </c>
      <c r="E12" s="31"/>
      <c r="F12" s="79"/>
      <c r="G12" s="72"/>
    </row>
    <row r="13" spans="1:9" s="43" customFormat="1" ht="26.4" x14ac:dyDescent="0.25">
      <c r="A13" s="30" t="s">
        <v>344</v>
      </c>
      <c r="B13" s="30" t="s">
        <v>1114</v>
      </c>
      <c r="C13" s="30" t="s">
        <v>1189</v>
      </c>
      <c r="D13" s="179">
        <f>'[1]Inspection pit'!$J$92</f>
        <v>0</v>
      </c>
      <c r="E13" s="31"/>
      <c r="F13" s="79"/>
      <c r="G13" s="72"/>
    </row>
    <row r="14" spans="1:9" s="43" customFormat="1" x14ac:dyDescent="0.25">
      <c r="A14" s="30"/>
      <c r="B14" s="56" t="s">
        <v>345</v>
      </c>
      <c r="C14" s="30"/>
      <c r="D14" s="31"/>
      <c r="E14" s="42"/>
      <c r="F14" s="79"/>
      <c r="G14" s="72"/>
    </row>
    <row r="15" spans="1:9" s="43" customFormat="1" ht="26.4" x14ac:dyDescent="0.25">
      <c r="A15" s="30" t="s">
        <v>346</v>
      </c>
      <c r="B15" s="30" t="s">
        <v>1166</v>
      </c>
      <c r="C15" s="30" t="s">
        <v>68</v>
      </c>
      <c r="D15" s="179" t="e">
        <f>COUNTIF('[1]Trial Pits'!$C$2:$C91,"NON-PAVED")+COUNTIF([1]Trenches!$C$3:$C92,"NON-PAVED")</f>
        <v>#VALUE!</v>
      </c>
      <c r="E15" s="42"/>
      <c r="F15" s="79"/>
      <c r="G15" s="72"/>
    </row>
    <row r="16" spans="1:9" s="43" customFormat="1" ht="52.8" x14ac:dyDescent="0.25">
      <c r="A16" s="30" t="s">
        <v>1165</v>
      </c>
      <c r="B16" s="30" t="s">
        <v>1198</v>
      </c>
      <c r="C16" s="30" t="s">
        <v>68</v>
      </c>
      <c r="D16" s="179" t="e">
        <f>COUNTIFS('[1]Trial Pits'!$C$2:$C91,"NON-PAVED",'[1]Trial Pits'!$B$2:$B91,"YES")+COUNTIFS([1]Trenches!$C$3:$C92,"NON-PAVED",[1]Trenches!$B$3:$B92,"YES")</f>
        <v>#VALUE!</v>
      </c>
      <c r="E16" s="31"/>
      <c r="F16" s="79"/>
      <c r="G16" s="72"/>
    </row>
    <row r="17" spans="1:9" s="43" customFormat="1" ht="26.4" x14ac:dyDescent="0.25">
      <c r="A17" s="30" t="s">
        <v>347</v>
      </c>
      <c r="B17" s="30" t="s">
        <v>348</v>
      </c>
      <c r="C17" s="30" t="s">
        <v>68</v>
      </c>
      <c r="D17" s="179" t="e">
        <f>COUNTIFS('[1]Trial Pits'!$C$2:$C91,"NON-PAVED",'[1]Trial Pits'!$D$2:$D91,"YES")+COUNTIFS([1]Trenches!$C$3:$C92,"NON-PAVED",[1]Trenches!$D$3:$D92,"YES")</f>
        <v>#VALUE!</v>
      </c>
      <c r="E17" s="31"/>
      <c r="F17" s="79"/>
      <c r="G17" s="72"/>
    </row>
    <row r="18" spans="1:9" s="43" customFormat="1" ht="26.4" x14ac:dyDescent="0.25">
      <c r="A18" s="30" t="s">
        <v>349</v>
      </c>
      <c r="B18" s="30" t="s">
        <v>350</v>
      </c>
      <c r="C18" s="30" t="s">
        <v>68</v>
      </c>
      <c r="D18" s="30" t="s">
        <v>716</v>
      </c>
      <c r="E18" s="31" t="s">
        <v>1120</v>
      </c>
      <c r="F18" s="79" t="s">
        <v>1184</v>
      </c>
      <c r="G18" s="72"/>
    </row>
    <row r="19" spans="1:9" s="43" customFormat="1" ht="38.25" customHeight="1" x14ac:dyDescent="0.25">
      <c r="A19" s="30" t="s">
        <v>351</v>
      </c>
      <c r="B19" s="30" t="s">
        <v>1115</v>
      </c>
      <c r="C19" s="30" t="s">
        <v>373</v>
      </c>
      <c r="D19" s="179" t="e">
        <f>SUMIFS('[1]Trial Pits'!$O$2:$O91,'[1]Trial Pits'!$C$2:$C91,"NON-PAVED")</f>
        <v>#VALUE!</v>
      </c>
      <c r="E19" s="42"/>
      <c r="F19" s="79"/>
      <c r="G19" s="72"/>
    </row>
    <row r="20" spans="1:9" s="43" customFormat="1" ht="14.4" x14ac:dyDescent="0.25">
      <c r="A20" s="30" t="s">
        <v>352</v>
      </c>
      <c r="B20" s="30" t="s">
        <v>1179</v>
      </c>
      <c r="C20" s="30" t="s">
        <v>146</v>
      </c>
      <c r="D20" s="179" t="e">
        <f>SUMIFS('[1]Trial Pits'!$P$2:$P91,'[1]Trial Pits'!$C$2:$C91,"NON-PAVED")</f>
        <v>#VALUE!</v>
      </c>
      <c r="E20" s="42"/>
      <c r="F20" s="79"/>
      <c r="G20" s="72"/>
    </row>
    <row r="21" spans="1:9" s="43" customFormat="1" ht="25.5" customHeight="1" x14ac:dyDescent="0.25">
      <c r="A21" s="30" t="s">
        <v>353</v>
      </c>
      <c r="B21" s="30" t="s">
        <v>354</v>
      </c>
      <c r="C21" s="30" t="s">
        <v>146</v>
      </c>
      <c r="D21" s="30" t="s">
        <v>716</v>
      </c>
      <c r="E21" s="31" t="s">
        <v>1120</v>
      </c>
      <c r="F21" s="79" t="s">
        <v>1184</v>
      </c>
      <c r="G21" s="72"/>
    </row>
    <row r="22" spans="1:9" s="43" customFormat="1" ht="26.4" x14ac:dyDescent="0.25">
      <c r="A22" s="30" t="s">
        <v>355</v>
      </c>
      <c r="B22" s="30" t="s">
        <v>356</v>
      </c>
      <c r="C22" s="30" t="s">
        <v>1189</v>
      </c>
      <c r="D22" s="179">
        <f>[1]Trenches!$AD93</f>
        <v>0</v>
      </c>
      <c r="E22" s="31"/>
      <c r="F22" s="79"/>
      <c r="G22" s="72"/>
    </row>
    <row r="23" spans="1:9" s="43" customFormat="1" ht="25.5" customHeight="1" x14ac:dyDescent="0.25">
      <c r="A23" s="30" t="s">
        <v>357</v>
      </c>
      <c r="B23" s="30" t="s">
        <v>358</v>
      </c>
      <c r="C23" s="30" t="s">
        <v>1189</v>
      </c>
      <c r="D23" s="179">
        <f>[1]Trenches!$AE93</f>
        <v>0</v>
      </c>
      <c r="E23" s="31"/>
      <c r="F23" s="79"/>
      <c r="G23" s="72"/>
    </row>
    <row r="24" spans="1:9" s="43" customFormat="1" ht="26.4" x14ac:dyDescent="0.25">
      <c r="A24" s="30" t="s">
        <v>359</v>
      </c>
      <c r="B24" s="30" t="s">
        <v>360</v>
      </c>
      <c r="C24" s="30" t="s">
        <v>1189</v>
      </c>
      <c r="D24" s="30" t="s">
        <v>716</v>
      </c>
      <c r="E24" s="31" t="s">
        <v>1120</v>
      </c>
      <c r="F24" s="79" t="s">
        <v>1184</v>
      </c>
      <c r="G24" s="72"/>
    </row>
    <row r="25" spans="1:9" s="43" customFormat="1" x14ac:dyDescent="0.25">
      <c r="A25" s="30"/>
      <c r="B25" s="56" t="s">
        <v>361</v>
      </c>
      <c r="C25" s="30"/>
      <c r="D25" s="31"/>
      <c r="E25" s="42"/>
      <c r="F25" s="128"/>
      <c r="G25" s="72"/>
    </row>
    <row r="26" spans="1:9" s="43" customFormat="1" ht="66" x14ac:dyDescent="0.25">
      <c r="A26" s="30" t="s">
        <v>362</v>
      </c>
      <c r="B26" s="30" t="s">
        <v>363</v>
      </c>
      <c r="C26" s="30" t="s">
        <v>68</v>
      </c>
      <c r="D26" s="179" t="e">
        <f>COUNTIFS('[1]Trial Pits'!$E$2:$E91,"YES")</f>
        <v>#VALUE!</v>
      </c>
      <c r="E26" s="31"/>
      <c r="F26" s="79"/>
      <c r="G26" s="72"/>
      <c r="I26" s="197" t="s">
        <v>1276</v>
      </c>
    </row>
    <row r="27" spans="1:9" s="43" customFormat="1" ht="62.55" customHeight="1" x14ac:dyDescent="0.25">
      <c r="A27" s="30" t="s">
        <v>364</v>
      </c>
      <c r="B27" s="30" t="s">
        <v>365</v>
      </c>
      <c r="C27" s="30" t="s">
        <v>68</v>
      </c>
      <c r="D27" s="179" t="e">
        <f>COUNTIFS([1]Trenches!$E$3:$E92,"YES")</f>
        <v>#VALUE!</v>
      </c>
      <c r="E27" s="31"/>
      <c r="F27" s="104"/>
      <c r="G27" s="72"/>
    </row>
    <row r="28" spans="1:9" s="43" customFormat="1" ht="14.4" x14ac:dyDescent="0.25">
      <c r="A28" s="30" t="s">
        <v>366</v>
      </c>
      <c r="B28" s="30" t="s">
        <v>367</v>
      </c>
      <c r="C28" s="30" t="s">
        <v>1104</v>
      </c>
      <c r="D28" s="180" t="e">
        <f>SUMIFS('[1]Trial Pits'!$T$2:$T91,'[1]Trial Pits'!$C$2:$C91,"PAVED")+[1]Trenches!$U93</f>
        <v>#VALUE!</v>
      </c>
      <c r="E28" s="31"/>
      <c r="F28" s="79"/>
      <c r="G28" s="72"/>
    </row>
    <row r="29" spans="1:9" s="43" customFormat="1" ht="26.4" x14ac:dyDescent="0.25">
      <c r="A29" s="30" t="s">
        <v>369</v>
      </c>
      <c r="B29" s="30" t="s">
        <v>370</v>
      </c>
      <c r="C29" s="30" t="s">
        <v>1189</v>
      </c>
      <c r="D29" s="180">
        <f>'[1]Trial Pits'!$V$92+[1]Trenches!$V93</f>
        <v>0</v>
      </c>
      <c r="E29" s="42"/>
      <c r="F29" s="79"/>
      <c r="G29" s="72"/>
    </row>
    <row r="30" spans="1:9" s="43" customFormat="1" ht="52.8" x14ac:dyDescent="0.25">
      <c r="A30" s="30" t="s">
        <v>371</v>
      </c>
      <c r="B30" s="30" t="s">
        <v>372</v>
      </c>
      <c r="C30" s="30" t="s">
        <v>373</v>
      </c>
      <c r="D30" s="180">
        <f>'[1]Trial Pits'!$V$92+[1]Trenches!$Q93</f>
        <v>0</v>
      </c>
      <c r="E30" s="31"/>
      <c r="F30" s="79"/>
      <c r="G30" s="72"/>
    </row>
    <row r="31" spans="1:9" s="43" customFormat="1" ht="14.4" x14ac:dyDescent="0.25">
      <c r="A31" s="30" t="s">
        <v>374</v>
      </c>
      <c r="B31" s="30" t="s">
        <v>375</v>
      </c>
      <c r="C31" s="30" t="s">
        <v>1104</v>
      </c>
      <c r="D31" s="180" t="e">
        <f>SUMIFS('[1]Trial Pits'!$R$2:$R91,'[1]Trial Pits'!$C$2:$C91,"PAVED")</f>
        <v>#VALUE!</v>
      </c>
      <c r="E31" s="31"/>
      <c r="F31" s="79"/>
      <c r="G31" s="72"/>
    </row>
    <row r="32" spans="1:9" s="43" customFormat="1" ht="52.8" x14ac:dyDescent="0.25">
      <c r="A32" s="30" t="s">
        <v>376</v>
      </c>
      <c r="B32" s="30" t="s">
        <v>377</v>
      </c>
      <c r="C32" s="30" t="s">
        <v>162</v>
      </c>
      <c r="D32" s="179">
        <f>[1]Trenches!$S93</f>
        <v>0</v>
      </c>
      <c r="E32" s="31"/>
      <c r="F32" s="79"/>
      <c r="G32" s="72"/>
    </row>
    <row r="33" spans="1:9" s="43" customFormat="1" ht="52.8" x14ac:dyDescent="0.25">
      <c r="A33" s="30" t="s">
        <v>378</v>
      </c>
      <c r="B33" s="30" t="s">
        <v>1108</v>
      </c>
      <c r="C33" s="30" t="s">
        <v>162</v>
      </c>
      <c r="D33" s="179">
        <f>[1]Trenches!$X93</f>
        <v>0</v>
      </c>
      <c r="E33" s="31"/>
      <c r="F33" s="79"/>
      <c r="G33" s="72"/>
    </row>
    <row r="34" spans="1:9" s="43" customFormat="1" ht="26.4" x14ac:dyDescent="0.25">
      <c r="A34" s="30" t="s">
        <v>379</v>
      </c>
      <c r="B34" s="30" t="s">
        <v>1109</v>
      </c>
      <c r="C34" s="30" t="s">
        <v>157</v>
      </c>
      <c r="D34" s="179" t="e">
        <f>D15*0.5</f>
        <v>#VALUE!</v>
      </c>
      <c r="E34" s="31"/>
      <c r="F34" s="79"/>
      <c r="G34" s="72"/>
      <c r="I34" s="43" t="s">
        <v>1292</v>
      </c>
    </row>
    <row r="35" spans="1:9" s="43" customFormat="1" x14ac:dyDescent="0.25">
      <c r="A35" s="30"/>
      <c r="B35" s="56" t="s">
        <v>380</v>
      </c>
      <c r="C35" s="30"/>
      <c r="D35" s="31"/>
      <c r="E35" s="42"/>
      <c r="F35" s="128"/>
      <c r="G35" s="72"/>
    </row>
    <row r="36" spans="1:9" s="43" customFormat="1" ht="39.6" x14ac:dyDescent="0.25">
      <c r="A36" s="30" t="s">
        <v>381</v>
      </c>
      <c r="B36" s="30" t="s">
        <v>382</v>
      </c>
      <c r="C36" s="30" t="s">
        <v>68</v>
      </c>
      <c r="D36" s="30" t="s">
        <v>716</v>
      </c>
      <c r="E36" s="31" t="s">
        <v>1120</v>
      </c>
      <c r="F36" s="79" t="s">
        <v>1184</v>
      </c>
      <c r="G36" s="72"/>
    </row>
    <row r="37" spans="1:9" s="43" customFormat="1" ht="26.4" x14ac:dyDescent="0.25">
      <c r="A37" s="30" t="s">
        <v>383</v>
      </c>
      <c r="B37" s="30" t="s">
        <v>384</v>
      </c>
      <c r="C37" s="30" t="s">
        <v>68</v>
      </c>
      <c r="D37" s="30" t="s">
        <v>716</v>
      </c>
      <c r="E37" s="31" t="s">
        <v>1120</v>
      </c>
      <c r="F37" s="79" t="s">
        <v>1184</v>
      </c>
      <c r="G37" s="72"/>
    </row>
    <row r="38" spans="1:9" s="43" customFormat="1" ht="26.4" x14ac:dyDescent="0.25">
      <c r="A38" s="30" t="s">
        <v>385</v>
      </c>
      <c r="B38" s="30" t="s">
        <v>386</v>
      </c>
      <c r="C38" s="30" t="s">
        <v>68</v>
      </c>
      <c r="D38" s="30" t="s">
        <v>716</v>
      </c>
      <c r="E38" s="31" t="s">
        <v>1120</v>
      </c>
      <c r="F38" s="79" t="s">
        <v>1184</v>
      </c>
      <c r="G38" s="72"/>
    </row>
    <row r="39" spans="1:9" s="43" customFormat="1" ht="26.4" x14ac:dyDescent="0.25">
      <c r="A39" s="30" t="s">
        <v>387</v>
      </c>
      <c r="B39" s="30" t="s">
        <v>388</v>
      </c>
      <c r="C39" s="30" t="s">
        <v>146</v>
      </c>
      <c r="D39" s="30" t="s">
        <v>716</v>
      </c>
      <c r="E39" s="31" t="s">
        <v>1120</v>
      </c>
      <c r="F39" s="79" t="s">
        <v>1184</v>
      </c>
      <c r="G39" s="72"/>
    </row>
    <row r="40" spans="1:9" s="43" customFormat="1" ht="26.4" x14ac:dyDescent="0.25">
      <c r="A40" s="30" t="s">
        <v>389</v>
      </c>
      <c r="B40" s="30" t="s">
        <v>390</v>
      </c>
      <c r="C40" s="30" t="s">
        <v>146</v>
      </c>
      <c r="D40" s="30" t="s">
        <v>716</v>
      </c>
      <c r="E40" s="31" t="s">
        <v>1120</v>
      </c>
      <c r="F40" s="79" t="s">
        <v>1184</v>
      </c>
      <c r="G40" s="72"/>
    </row>
    <row r="41" spans="1:9" s="43" customFormat="1" ht="26.4" x14ac:dyDescent="0.25">
      <c r="A41" s="30" t="s">
        <v>391</v>
      </c>
      <c r="B41" s="30" t="s">
        <v>392</v>
      </c>
      <c r="C41" s="30" t="s">
        <v>146</v>
      </c>
      <c r="D41" s="30" t="s">
        <v>716</v>
      </c>
      <c r="E41" s="31" t="s">
        <v>1120</v>
      </c>
      <c r="F41" s="79" t="s">
        <v>1184</v>
      </c>
      <c r="G41" s="72"/>
    </row>
    <row r="42" spans="1:9" s="43" customFormat="1" ht="26.4" x14ac:dyDescent="0.25">
      <c r="A42" s="30" t="s">
        <v>393</v>
      </c>
      <c r="B42" s="30" t="s">
        <v>394</v>
      </c>
      <c r="C42" s="30" t="s">
        <v>146</v>
      </c>
      <c r="D42" s="30" t="s">
        <v>716</v>
      </c>
      <c r="E42" s="31" t="s">
        <v>1120</v>
      </c>
      <c r="F42" s="79" t="s">
        <v>1184</v>
      </c>
      <c r="G42" s="72"/>
    </row>
    <row r="43" spans="1:9" s="43" customFormat="1" ht="26.4" x14ac:dyDescent="0.25">
      <c r="A43" s="30" t="s">
        <v>395</v>
      </c>
      <c r="B43" s="30" t="s">
        <v>396</v>
      </c>
      <c r="C43" s="30" t="s">
        <v>1189</v>
      </c>
      <c r="D43" s="30" t="s">
        <v>716</v>
      </c>
      <c r="E43" s="31" t="s">
        <v>1120</v>
      </c>
      <c r="F43" s="79" t="s">
        <v>1184</v>
      </c>
      <c r="G43" s="72"/>
    </row>
    <row r="44" spans="1:9" s="43" customFormat="1" ht="26.4" x14ac:dyDescent="0.25">
      <c r="A44" s="30" t="s">
        <v>397</v>
      </c>
      <c r="B44" s="30" t="s">
        <v>398</v>
      </c>
      <c r="C44" s="30" t="s">
        <v>1189</v>
      </c>
      <c r="D44" s="30" t="s">
        <v>716</v>
      </c>
      <c r="E44" s="31" t="s">
        <v>1120</v>
      </c>
      <c r="F44" s="79" t="s">
        <v>1184</v>
      </c>
      <c r="G44" s="72"/>
    </row>
    <row r="45" spans="1:9" s="43" customFormat="1" ht="26.4" x14ac:dyDescent="0.25">
      <c r="A45" s="30" t="s">
        <v>399</v>
      </c>
      <c r="B45" s="30" t="s">
        <v>400</v>
      </c>
      <c r="C45" s="30" t="s">
        <v>1189</v>
      </c>
      <c r="D45" s="30" t="s">
        <v>716</v>
      </c>
      <c r="E45" s="31" t="s">
        <v>1120</v>
      </c>
      <c r="F45" s="79" t="s">
        <v>1184</v>
      </c>
      <c r="G45" s="72"/>
    </row>
    <row r="46" spans="1:9" s="43" customFormat="1" x14ac:dyDescent="0.25">
      <c r="A46" s="30" t="s">
        <v>401</v>
      </c>
      <c r="B46" s="30" t="s">
        <v>402</v>
      </c>
      <c r="C46" s="30" t="s">
        <v>1189</v>
      </c>
      <c r="D46" s="30" t="s">
        <v>716</v>
      </c>
      <c r="E46" s="31" t="s">
        <v>1120</v>
      </c>
      <c r="F46" s="79" t="s">
        <v>1184</v>
      </c>
      <c r="G46" s="72"/>
    </row>
    <row r="47" spans="1:9" s="43" customFormat="1" ht="26.4" x14ac:dyDescent="0.25">
      <c r="A47" s="30" t="s">
        <v>403</v>
      </c>
      <c r="B47" s="30" t="s">
        <v>404</v>
      </c>
      <c r="C47" s="30" t="s">
        <v>157</v>
      </c>
      <c r="D47" s="30" t="s">
        <v>716</v>
      </c>
      <c r="E47" s="31" t="s">
        <v>1120</v>
      </c>
      <c r="F47" s="79" t="s">
        <v>1184</v>
      </c>
      <c r="G47" s="72"/>
    </row>
    <row r="48" spans="1:9" s="43" customFormat="1" ht="26.4" x14ac:dyDescent="0.25">
      <c r="A48" s="30" t="s">
        <v>405</v>
      </c>
      <c r="B48" s="30" t="s">
        <v>406</v>
      </c>
      <c r="C48" s="30" t="s">
        <v>157</v>
      </c>
      <c r="D48" s="30" t="s">
        <v>716</v>
      </c>
      <c r="E48" s="31" t="s">
        <v>1120</v>
      </c>
      <c r="F48" s="79" t="s">
        <v>1184</v>
      </c>
      <c r="G48" s="72"/>
    </row>
    <row r="49" spans="1:7" s="43" customFormat="1" ht="39.6" x14ac:dyDescent="0.25">
      <c r="A49" s="30" t="s">
        <v>407</v>
      </c>
      <c r="B49" s="30" t="s">
        <v>408</v>
      </c>
      <c r="C49" s="30" t="s">
        <v>157</v>
      </c>
      <c r="D49" s="30" t="s">
        <v>716</v>
      </c>
      <c r="E49" s="31" t="s">
        <v>1120</v>
      </c>
      <c r="F49" s="79" t="s">
        <v>1184</v>
      </c>
      <c r="G49" s="72"/>
    </row>
    <row r="50" spans="1:7" s="43" customFormat="1" ht="39.6" x14ac:dyDescent="0.25">
      <c r="A50" s="30" t="s">
        <v>409</v>
      </c>
      <c r="B50" s="30" t="s">
        <v>410</v>
      </c>
      <c r="C50" s="30" t="s">
        <v>157</v>
      </c>
      <c r="D50" s="30" t="s">
        <v>716</v>
      </c>
      <c r="E50" s="31" t="s">
        <v>1120</v>
      </c>
      <c r="F50" s="79" t="s">
        <v>1184</v>
      </c>
      <c r="G50" s="72"/>
    </row>
    <row r="51" spans="1:7" s="43" customFormat="1" ht="25.5" customHeight="1" x14ac:dyDescent="0.25">
      <c r="A51" s="30"/>
      <c r="B51" s="56" t="s">
        <v>411</v>
      </c>
      <c r="C51" s="30"/>
      <c r="D51" s="31"/>
      <c r="E51" s="42"/>
      <c r="F51" s="128"/>
      <c r="G51" s="72"/>
    </row>
    <row r="52" spans="1:7" s="43" customFormat="1" ht="52.8" x14ac:dyDescent="0.25">
      <c r="A52" s="30" t="s">
        <v>412</v>
      </c>
      <c r="B52" s="30" t="s">
        <v>413</v>
      </c>
      <c r="C52" s="30" t="s">
        <v>207</v>
      </c>
      <c r="D52" s="31" t="s">
        <v>1181</v>
      </c>
      <c r="E52" s="31" t="s">
        <v>1120</v>
      </c>
      <c r="F52" s="79" t="s">
        <v>1184</v>
      </c>
      <c r="G52" s="72"/>
    </row>
    <row r="53" spans="1:7" s="43" customFormat="1" ht="24" customHeight="1" x14ac:dyDescent="0.25">
      <c r="A53" s="30" t="s">
        <v>414</v>
      </c>
      <c r="B53" s="30" t="s">
        <v>415</v>
      </c>
      <c r="C53" s="30" t="s">
        <v>207</v>
      </c>
      <c r="D53" s="30" t="s">
        <v>716</v>
      </c>
      <c r="E53" s="31" t="s">
        <v>1120</v>
      </c>
      <c r="F53" s="79" t="s">
        <v>1184</v>
      </c>
      <c r="G53" s="72"/>
    </row>
    <row r="54" spans="1:7" s="43" customFormat="1" ht="24" customHeight="1" x14ac:dyDescent="0.25">
      <c r="A54" s="30" t="s">
        <v>416</v>
      </c>
      <c r="B54" s="30" t="s">
        <v>417</v>
      </c>
      <c r="C54" s="30" t="s">
        <v>207</v>
      </c>
      <c r="D54" s="30" t="s">
        <v>716</v>
      </c>
      <c r="E54" s="31" t="s">
        <v>1120</v>
      </c>
      <c r="F54" s="79" t="s">
        <v>1184</v>
      </c>
      <c r="G54" s="72"/>
    </row>
    <row r="55" spans="1:7" s="43" customFormat="1" ht="52.8" x14ac:dyDescent="0.25">
      <c r="A55" s="30" t="s">
        <v>418</v>
      </c>
      <c r="B55" s="30" t="s">
        <v>419</v>
      </c>
      <c r="C55" s="30" t="s">
        <v>207</v>
      </c>
      <c r="D55" s="30" t="s">
        <v>716</v>
      </c>
      <c r="E55" s="31" t="s">
        <v>1120</v>
      </c>
      <c r="F55" s="79" t="s">
        <v>1184</v>
      </c>
      <c r="G55" s="72"/>
    </row>
    <row r="56" spans="1:7" s="43" customFormat="1" ht="29.1" customHeight="1" x14ac:dyDescent="0.25">
      <c r="A56" s="30" t="s">
        <v>420</v>
      </c>
      <c r="B56" s="30" t="s">
        <v>421</v>
      </c>
      <c r="C56" s="30" t="s">
        <v>207</v>
      </c>
      <c r="D56" s="30" t="s">
        <v>716</v>
      </c>
      <c r="E56" s="31" t="s">
        <v>1120</v>
      </c>
      <c r="F56" s="79" t="s">
        <v>1184</v>
      </c>
      <c r="G56" s="72"/>
    </row>
    <row r="57" spans="1:7" s="43" customFormat="1" ht="29.1" customHeight="1" x14ac:dyDescent="0.25">
      <c r="A57" s="30" t="s">
        <v>422</v>
      </c>
      <c r="B57" s="30" t="s">
        <v>423</v>
      </c>
      <c r="C57" s="30" t="s">
        <v>207</v>
      </c>
      <c r="D57" s="30" t="s">
        <v>716</v>
      </c>
      <c r="E57" s="31" t="s">
        <v>1120</v>
      </c>
      <c r="F57" s="79" t="s">
        <v>1184</v>
      </c>
      <c r="G57" s="72"/>
    </row>
    <row r="58" spans="1:7" s="43" customFormat="1" ht="29.1" customHeight="1" x14ac:dyDescent="0.25">
      <c r="A58" s="30" t="s">
        <v>424</v>
      </c>
      <c r="B58" s="30" t="s">
        <v>425</v>
      </c>
      <c r="C58" s="30" t="s">
        <v>207</v>
      </c>
      <c r="D58" s="30" t="s">
        <v>716</v>
      </c>
      <c r="E58" s="31" t="s">
        <v>1120</v>
      </c>
      <c r="F58" s="79" t="s">
        <v>1184</v>
      </c>
      <c r="G58" s="72"/>
    </row>
    <row r="59" spans="1:7" s="43" customFormat="1" ht="52.8" x14ac:dyDescent="0.25">
      <c r="A59" s="30" t="s">
        <v>426</v>
      </c>
      <c r="B59" s="30" t="s">
        <v>427</v>
      </c>
      <c r="C59" s="30" t="s">
        <v>207</v>
      </c>
      <c r="D59" s="31" t="s">
        <v>1110</v>
      </c>
      <c r="E59" s="31" t="s">
        <v>1120</v>
      </c>
      <c r="F59" s="79" t="s">
        <v>1184</v>
      </c>
      <c r="G59" s="72"/>
    </row>
    <row r="60" spans="1:7" s="43" customFormat="1" x14ac:dyDescent="0.25">
      <c r="A60" s="30"/>
      <c r="B60" s="56" t="s">
        <v>428</v>
      </c>
      <c r="C60" s="30"/>
      <c r="D60" s="31"/>
      <c r="E60" s="42"/>
      <c r="F60" s="128"/>
      <c r="G60" s="72"/>
    </row>
    <row r="61" spans="1:7" s="43" customFormat="1" ht="26.4" x14ac:dyDescent="0.25">
      <c r="A61" s="30" t="s">
        <v>429</v>
      </c>
      <c r="B61" s="30" t="s">
        <v>430</v>
      </c>
      <c r="C61" s="30" t="s">
        <v>68</v>
      </c>
      <c r="D61" s="30" t="s">
        <v>716</v>
      </c>
      <c r="E61" s="31" t="s">
        <v>1120</v>
      </c>
      <c r="F61" s="79" t="s">
        <v>1184</v>
      </c>
      <c r="G61" s="72"/>
    </row>
    <row r="62" spans="1:7" s="43" customFormat="1" x14ac:dyDescent="0.25">
      <c r="A62" s="30" t="s">
        <v>431</v>
      </c>
      <c r="B62" s="30" t="s">
        <v>432</v>
      </c>
      <c r="C62" s="30" t="s">
        <v>157</v>
      </c>
      <c r="D62" s="30" t="s">
        <v>716</v>
      </c>
      <c r="E62" s="31" t="s">
        <v>1120</v>
      </c>
      <c r="F62" s="79" t="s">
        <v>1184</v>
      </c>
      <c r="G62" s="72"/>
    </row>
    <row r="63" spans="1:7" s="43" customFormat="1" ht="39.6" x14ac:dyDescent="0.25">
      <c r="A63" s="30" t="s">
        <v>433</v>
      </c>
      <c r="B63" s="30" t="s">
        <v>434</v>
      </c>
      <c r="C63" s="30" t="s">
        <v>435</v>
      </c>
      <c r="D63" s="30" t="s">
        <v>716</v>
      </c>
      <c r="E63" s="31" t="s">
        <v>1120</v>
      </c>
      <c r="F63" s="79" t="s">
        <v>1184</v>
      </c>
      <c r="G63" s="72"/>
    </row>
    <row r="64" spans="1:7" s="43" customFormat="1" x14ac:dyDescent="0.25">
      <c r="A64" s="30" t="s">
        <v>436</v>
      </c>
      <c r="B64" s="30" t="s">
        <v>437</v>
      </c>
      <c r="C64" s="30" t="s">
        <v>207</v>
      </c>
      <c r="D64" s="30" t="s">
        <v>716</v>
      </c>
      <c r="E64" s="31" t="s">
        <v>1120</v>
      </c>
      <c r="F64" s="79" t="s">
        <v>1184</v>
      </c>
      <c r="G64" s="72"/>
    </row>
    <row r="65" spans="1:9" s="43" customFormat="1" x14ac:dyDescent="0.25">
      <c r="A65" s="30" t="s">
        <v>438</v>
      </c>
      <c r="B65" s="30" t="s">
        <v>439</v>
      </c>
      <c r="C65" s="30" t="s">
        <v>207</v>
      </c>
      <c r="D65" s="30" t="s">
        <v>716</v>
      </c>
      <c r="E65" s="31" t="s">
        <v>1120</v>
      </c>
      <c r="F65" s="79" t="s">
        <v>1184</v>
      </c>
      <c r="G65" s="72"/>
    </row>
    <row r="66" spans="1:9" s="43" customFormat="1" ht="26.4" x14ac:dyDescent="0.25">
      <c r="A66" s="30"/>
      <c r="B66" s="56" t="s">
        <v>440</v>
      </c>
      <c r="C66" s="30"/>
      <c r="D66" s="31"/>
      <c r="E66" s="42"/>
      <c r="F66" s="128"/>
      <c r="G66" s="72"/>
    </row>
    <row r="67" spans="1:9" s="43" customFormat="1" ht="26.4" x14ac:dyDescent="0.25">
      <c r="A67" s="30" t="s">
        <v>441</v>
      </c>
      <c r="B67" s="30" t="s">
        <v>1111</v>
      </c>
      <c r="C67" s="30" t="s">
        <v>68</v>
      </c>
      <c r="D67" s="179" t="e">
        <f>('[1]Trial Pits'!$I92+[1]Trenches!$K93)-(COUNTIF('[1]Trial Pits'!$F$2:$F91,"NATIONAL")+COUNTIF([1]Trenches!$F$3:$F92,"NATIONAL"))</f>
        <v>#VALUE!</v>
      </c>
      <c r="E67" s="31"/>
      <c r="F67" s="79"/>
      <c r="G67" s="72"/>
      <c r="I67" s="43" t="s">
        <v>1246</v>
      </c>
    </row>
    <row r="68" spans="1:9" s="43" customFormat="1" ht="39.6" x14ac:dyDescent="0.25">
      <c r="A68" s="30" t="s">
        <v>442</v>
      </c>
      <c r="B68" s="30" t="s">
        <v>1118</v>
      </c>
      <c r="C68" s="30" t="s">
        <v>185</v>
      </c>
      <c r="D68" s="31" t="s">
        <v>1167</v>
      </c>
      <c r="E68" s="31" t="s">
        <v>1120</v>
      </c>
      <c r="F68" s="79" t="s">
        <v>1184</v>
      </c>
      <c r="G68" s="72"/>
    </row>
    <row r="69" spans="1:9" s="43" customFormat="1" ht="39.6" x14ac:dyDescent="0.25">
      <c r="A69" s="30" t="s">
        <v>443</v>
      </c>
      <c r="B69" s="30" t="s">
        <v>444</v>
      </c>
      <c r="C69" s="30" t="s">
        <v>185</v>
      </c>
      <c r="D69" s="31" t="s">
        <v>1167</v>
      </c>
      <c r="E69" s="31" t="s">
        <v>1120</v>
      </c>
      <c r="F69" s="79" t="s">
        <v>1184</v>
      </c>
      <c r="G69" s="129"/>
    </row>
    <row r="70" spans="1:9" s="43" customFormat="1" ht="39.6" x14ac:dyDescent="0.25">
      <c r="A70" s="30" t="s">
        <v>445</v>
      </c>
      <c r="B70" s="30" t="s">
        <v>1177</v>
      </c>
      <c r="C70" s="30" t="s">
        <v>1189</v>
      </c>
      <c r="D70" s="179">
        <f>'[1]Trial Pits'!$X92+'[1]Trial Pits'!$Y92+[1]Trenches!$AG93+[1]Trenches!$AH93</f>
        <v>0</v>
      </c>
      <c r="E70" s="31"/>
      <c r="F70" s="79"/>
      <c r="G70" s="72"/>
      <c r="I70" s="43" t="s">
        <v>1266</v>
      </c>
    </row>
    <row r="71" spans="1:9" s="43" customFormat="1" ht="52.8" x14ac:dyDescent="0.25">
      <c r="A71" s="30" t="s">
        <v>446</v>
      </c>
      <c r="B71" s="30" t="s">
        <v>1297</v>
      </c>
      <c r="C71" s="30" t="s">
        <v>1189</v>
      </c>
      <c r="D71" s="30" t="s">
        <v>716</v>
      </c>
      <c r="E71" s="31" t="s">
        <v>1120</v>
      </c>
      <c r="F71" s="79" t="s">
        <v>1184</v>
      </c>
      <c r="G71" s="72"/>
      <c r="I71" s="43" t="s">
        <v>1296</v>
      </c>
    </row>
    <row r="72" spans="1:9" s="43" customFormat="1" ht="51.6" customHeight="1" x14ac:dyDescent="0.25">
      <c r="A72" s="30" t="s">
        <v>447</v>
      </c>
      <c r="B72" s="30" t="s">
        <v>1298</v>
      </c>
      <c r="C72" s="30" t="s">
        <v>185</v>
      </c>
      <c r="D72" s="179">
        <f>'[1]Trial Pits'!$AA92+'[1]Trial Pits'!$AB92+[1]Trenches!$AI93+[1]Trenches!$AJ93</f>
        <v>0</v>
      </c>
      <c r="E72" s="31"/>
      <c r="F72" s="79"/>
      <c r="G72" s="72"/>
    </row>
    <row r="73" spans="1:9" s="43" customFormat="1" x14ac:dyDescent="0.25">
      <c r="A73" s="30" t="s">
        <v>448</v>
      </c>
      <c r="B73" s="30" t="s">
        <v>449</v>
      </c>
      <c r="C73" s="30" t="s">
        <v>368</v>
      </c>
      <c r="D73" s="30" t="s">
        <v>716</v>
      </c>
      <c r="E73" s="31" t="s">
        <v>1120</v>
      </c>
      <c r="F73" s="79" t="s">
        <v>1184</v>
      </c>
      <c r="G73" s="72"/>
    </row>
    <row r="74" spans="1:9" s="43" customFormat="1" ht="52.8" x14ac:dyDescent="0.25">
      <c r="A74" s="30" t="s">
        <v>450</v>
      </c>
      <c r="B74" s="30" t="s">
        <v>451</v>
      </c>
      <c r="C74" s="30" t="s">
        <v>1189</v>
      </c>
      <c r="D74" s="179">
        <f>'[1]Trial Pits'!$X96+'[1]Trial Pits'!$Y96+[1]Trenches!$AG97+[1]Trenches!$AH97</f>
        <v>0</v>
      </c>
      <c r="E74" s="31" t="s">
        <v>1120</v>
      </c>
      <c r="F74" s="79" t="s">
        <v>1184</v>
      </c>
      <c r="G74" s="72"/>
      <c r="I74" s="43" t="s">
        <v>1295</v>
      </c>
    </row>
    <row r="75" spans="1:9" ht="12.75" customHeight="1" x14ac:dyDescent="0.25">
      <c r="B75" s="27" t="s">
        <v>452</v>
      </c>
      <c r="C75" s="28"/>
      <c r="D75" s="28"/>
      <c r="E75" s="40"/>
      <c r="F75" s="65"/>
    </row>
  </sheetData>
  <pageMargins left="0.70866141732283472" right="0.70866141732283472" top="0.74803149606299213" bottom="0.74803149606299213" header="0.31496062992125984" footer="0.31496062992125984"/>
  <pageSetup paperSize="9" scale="53" fitToHeight="0" orientation="portrait" r:id="rId1"/>
  <headerFooter>
    <oddHeader>&amp;LWater Rock LIHAF&amp;RCork County Council</oddHeader>
    <oddFooter>&amp;C&amp;A&amp;RPage &amp;P&amp;LJob Number 5163809</oddFooter>
  </headerFooter>
  <colBreaks count="1" manualBreakCount="1">
    <brk id="6" max="74"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7:G33"/>
  <sheetViews>
    <sheetView tabSelected="1" topLeftCell="A14" zoomScaleNormal="100" zoomScaleSheetLayoutView="100" zoomScalePageLayoutView="60" workbookViewId="0">
      <selection activeCell="C16" sqref="C16:C20"/>
    </sheetView>
  </sheetViews>
  <sheetFormatPr defaultRowHeight="13.2" x14ac:dyDescent="0.25"/>
  <cols>
    <col min="2" max="2" width="35.77734375" customWidth="1"/>
    <col min="3" max="3" width="8" style="1" customWidth="1"/>
    <col min="4" max="4" width="11.44140625" style="1" customWidth="1"/>
    <col min="5" max="5" width="11.44140625" style="38" customWidth="1"/>
    <col min="6" max="6" width="11.44140625" style="64" customWidth="1"/>
    <col min="7" max="7" width="2.21875" style="1" customWidth="1"/>
  </cols>
  <sheetData>
    <row r="7" spans="1:7" x14ac:dyDescent="0.25">
      <c r="A7" s="5" t="s">
        <v>0</v>
      </c>
      <c r="B7" s="5" t="s">
        <v>1</v>
      </c>
      <c r="C7" s="5" t="s">
        <v>2</v>
      </c>
      <c r="D7" s="5" t="s">
        <v>3</v>
      </c>
      <c r="E7" s="33" t="s">
        <v>4</v>
      </c>
      <c r="F7" s="61" t="s">
        <v>5</v>
      </c>
      <c r="G7" s="97"/>
    </row>
    <row r="8" spans="1:7" x14ac:dyDescent="0.25">
      <c r="A8" s="7"/>
      <c r="B8" s="7"/>
      <c r="C8" s="8"/>
      <c r="D8" s="8"/>
      <c r="E8" s="34" t="s">
        <v>6</v>
      </c>
      <c r="F8" s="62" t="s">
        <v>6</v>
      </c>
    </row>
    <row r="9" spans="1:7" s="43" customFormat="1" ht="26.4" x14ac:dyDescent="0.25">
      <c r="A9" s="114" t="s">
        <v>453</v>
      </c>
      <c r="B9" s="114" t="s">
        <v>454</v>
      </c>
      <c r="C9" s="114"/>
      <c r="D9" s="123"/>
      <c r="E9" s="130"/>
      <c r="F9" s="131"/>
      <c r="G9" s="132"/>
    </row>
    <row r="10" spans="1:7" s="43" customFormat="1" x14ac:dyDescent="0.25">
      <c r="A10" s="124"/>
      <c r="B10" s="133" t="s">
        <v>455</v>
      </c>
      <c r="C10" s="126"/>
      <c r="D10" s="126"/>
      <c r="E10" s="127"/>
      <c r="F10" s="131"/>
      <c r="G10" s="134"/>
    </row>
    <row r="11" spans="1:7" s="43" customFormat="1" ht="26.4" x14ac:dyDescent="0.25">
      <c r="A11" s="30" t="s">
        <v>456</v>
      </c>
      <c r="B11" s="30" t="s">
        <v>457</v>
      </c>
      <c r="C11" s="31" t="s">
        <v>68</v>
      </c>
      <c r="D11" s="31" t="s">
        <v>716</v>
      </c>
      <c r="E11" s="42"/>
      <c r="F11" s="79"/>
      <c r="G11" s="72"/>
    </row>
    <row r="12" spans="1:7" s="43" customFormat="1" ht="14.4" x14ac:dyDescent="0.25">
      <c r="A12" s="30" t="s">
        <v>458</v>
      </c>
      <c r="B12" s="30" t="s">
        <v>459</v>
      </c>
      <c r="C12" s="31" t="s">
        <v>68</v>
      </c>
      <c r="D12" s="178">
        <f>SUM([1]Boreholes!$K92,'[1]Trial Pits'!$M92,[1]Trenches!$N93,'[1]Inspection pit'!$E92)+'[1]Dynamic Sampling'!$C$92</f>
        <v>0</v>
      </c>
      <c r="E12" s="42"/>
      <c r="F12" s="79"/>
      <c r="G12" s="72"/>
    </row>
    <row r="13" spans="1:7" s="43" customFormat="1" ht="14.4" x14ac:dyDescent="0.25">
      <c r="A13" s="30" t="s">
        <v>460</v>
      </c>
      <c r="B13" s="30" t="s">
        <v>461</v>
      </c>
      <c r="C13" s="31" t="s">
        <v>68</v>
      </c>
      <c r="D13" s="178">
        <f>D12</f>
        <v>0</v>
      </c>
      <c r="E13" s="42"/>
      <c r="F13" s="79"/>
      <c r="G13" s="72"/>
    </row>
    <row r="14" spans="1:7" s="43" customFormat="1" ht="14.4" x14ac:dyDescent="0.25">
      <c r="A14" s="30" t="s">
        <v>462</v>
      </c>
      <c r="B14" s="30" t="s">
        <v>463</v>
      </c>
      <c r="C14" s="31" t="s">
        <v>68</v>
      </c>
      <c r="D14" s="178">
        <f>D12/10</f>
        <v>0</v>
      </c>
      <c r="E14" s="42"/>
      <c r="F14" s="79"/>
      <c r="G14" s="72"/>
    </row>
    <row r="15" spans="1:7" s="43" customFormat="1" ht="26.4" x14ac:dyDescent="0.25">
      <c r="A15" s="30" t="s">
        <v>464</v>
      </c>
      <c r="B15" s="30" t="s">
        <v>465</v>
      </c>
      <c r="C15" s="31" t="s">
        <v>68</v>
      </c>
      <c r="D15" s="178">
        <f>[1]Boreholes!$K92/5</f>
        <v>0</v>
      </c>
      <c r="E15" s="42"/>
      <c r="F15" s="79"/>
      <c r="G15" s="72"/>
    </row>
    <row r="16" spans="1:7" s="43" customFormat="1" ht="26.4" x14ac:dyDescent="0.25">
      <c r="A16" s="30" t="s">
        <v>466</v>
      </c>
      <c r="B16" s="30" t="s">
        <v>467</v>
      </c>
      <c r="C16" s="31" t="s">
        <v>68</v>
      </c>
      <c r="D16" s="178">
        <f>D15</f>
        <v>0</v>
      </c>
      <c r="E16" s="59"/>
      <c r="F16" s="79"/>
      <c r="G16" s="72"/>
    </row>
    <row r="17" spans="1:7" s="43" customFormat="1" ht="26.4" x14ac:dyDescent="0.25">
      <c r="A17" s="30" t="s">
        <v>468</v>
      </c>
      <c r="B17" s="30" t="s">
        <v>469</v>
      </c>
      <c r="C17" s="31" t="s">
        <v>68</v>
      </c>
      <c r="D17" s="31" t="s">
        <v>716</v>
      </c>
      <c r="E17" s="42"/>
      <c r="F17" s="79"/>
      <c r="G17" s="72"/>
    </row>
    <row r="18" spans="1:7" s="43" customFormat="1" ht="26.4" x14ac:dyDescent="0.25">
      <c r="A18" s="30" t="s">
        <v>470</v>
      </c>
      <c r="B18" s="30" t="s">
        <v>471</v>
      </c>
      <c r="C18" s="31" t="s">
        <v>68</v>
      </c>
      <c r="D18" s="178">
        <f>[1]Boreholes!$K92/10</f>
        <v>0</v>
      </c>
      <c r="E18" s="42"/>
      <c r="F18" s="79"/>
      <c r="G18" s="72"/>
    </row>
    <row r="19" spans="1:7" s="43" customFormat="1" ht="26.4" x14ac:dyDescent="0.25">
      <c r="A19" s="30" t="s">
        <v>472</v>
      </c>
      <c r="B19" s="30" t="s">
        <v>473</v>
      </c>
      <c r="C19" s="31" t="s">
        <v>68</v>
      </c>
      <c r="D19" s="178">
        <f>[1]Boreholes!$K92/10</f>
        <v>0</v>
      </c>
      <c r="E19" s="135"/>
      <c r="F19" s="79"/>
      <c r="G19" s="72"/>
    </row>
    <row r="20" spans="1:7" s="43" customFormat="1" ht="26.4" x14ac:dyDescent="0.25">
      <c r="A20" s="30" t="s">
        <v>474</v>
      </c>
      <c r="B20" s="30" t="s">
        <v>475</v>
      </c>
      <c r="C20" s="31" t="s">
        <v>68</v>
      </c>
      <c r="D20" s="31" t="s">
        <v>716</v>
      </c>
      <c r="E20" s="59"/>
      <c r="F20" s="79"/>
      <c r="G20" s="72"/>
    </row>
    <row r="21" spans="1:7" s="43" customFormat="1" ht="14.4" x14ac:dyDescent="0.25">
      <c r="A21" s="30" t="s">
        <v>476</v>
      </c>
      <c r="B21" s="30" t="s">
        <v>477</v>
      </c>
      <c r="C21" s="31" t="s">
        <v>68</v>
      </c>
      <c r="D21" s="177"/>
      <c r="E21" s="59"/>
      <c r="F21" s="79"/>
      <c r="G21" s="72"/>
    </row>
    <row r="22" spans="1:7" s="43" customFormat="1" ht="26.4" x14ac:dyDescent="0.25">
      <c r="A22" s="30" t="s">
        <v>478</v>
      </c>
      <c r="B22" s="30" t="s">
        <v>479</v>
      </c>
      <c r="C22" s="31" t="s">
        <v>68</v>
      </c>
      <c r="D22" s="30" t="s">
        <v>716</v>
      </c>
      <c r="E22" s="59"/>
      <c r="F22" s="79"/>
      <c r="G22" s="72"/>
    </row>
    <row r="23" spans="1:7" s="43" customFormat="1" ht="26.4" x14ac:dyDescent="0.25">
      <c r="A23" s="30" t="s">
        <v>480</v>
      </c>
      <c r="B23" s="30" t="s">
        <v>481</v>
      </c>
      <c r="C23" s="31" t="s">
        <v>68</v>
      </c>
      <c r="D23" s="30" t="s">
        <v>716</v>
      </c>
      <c r="E23" s="59"/>
      <c r="F23" s="79"/>
      <c r="G23" s="72"/>
    </row>
    <row r="24" spans="1:7" s="43" customFormat="1" ht="26.4" x14ac:dyDescent="0.25">
      <c r="A24" s="30"/>
      <c r="B24" s="47" t="s">
        <v>482</v>
      </c>
      <c r="C24" s="31"/>
      <c r="D24" s="30"/>
      <c r="E24" s="59"/>
      <c r="F24" s="79"/>
      <c r="G24" s="72"/>
    </row>
    <row r="25" spans="1:7" s="43" customFormat="1" ht="26.4" x14ac:dyDescent="0.25">
      <c r="A25" s="30" t="s">
        <v>483</v>
      </c>
      <c r="B25" s="30" t="s">
        <v>484</v>
      </c>
      <c r="C25" s="31" t="s">
        <v>68</v>
      </c>
      <c r="D25" s="179" t="e">
        <f>COUNTIF('[1]Trial Pits'!$J$2:$J91,"*EV*")+COUNTIF('[1]Inspection pit'!$K$2:$K91,"*EV*")+COUNTIF([1]Trenches!$G$3:$G92,"*EV*")+COUNTIF([1]Boreholes!$G$2:$G91,"*EV*")+COUNTIF('[1]Dynamic Sampling'!$J$2:$J91,"*EV*")</f>
        <v>#VALUE!</v>
      </c>
      <c r="E25" s="59"/>
      <c r="F25" s="79"/>
      <c r="G25" s="72"/>
    </row>
    <row r="26" spans="1:7" s="43" customFormat="1" ht="26.4" x14ac:dyDescent="0.25">
      <c r="A26" s="30" t="s">
        <v>485</v>
      </c>
      <c r="B26" s="30" t="s">
        <v>486</v>
      </c>
      <c r="C26" s="31" t="s">
        <v>68</v>
      </c>
      <c r="D26" s="30" t="s">
        <v>716</v>
      </c>
      <c r="E26" s="59"/>
      <c r="F26" s="79"/>
      <c r="G26" s="72"/>
    </row>
    <row r="27" spans="1:7" s="43" customFormat="1" ht="26.4" x14ac:dyDescent="0.25">
      <c r="A27" s="30" t="s">
        <v>487</v>
      </c>
      <c r="B27" s="30" t="s">
        <v>488</v>
      </c>
      <c r="C27" s="31" t="s">
        <v>68</v>
      </c>
      <c r="D27" s="30" t="s">
        <v>716</v>
      </c>
      <c r="E27" s="59"/>
      <c r="F27" s="104"/>
      <c r="G27" s="72"/>
    </row>
    <row r="28" spans="1:7" s="43" customFormat="1" ht="26.4" x14ac:dyDescent="0.25">
      <c r="A28" s="30" t="s">
        <v>489</v>
      </c>
      <c r="B28" s="30" t="s">
        <v>490</v>
      </c>
      <c r="C28" s="31" t="s">
        <v>68</v>
      </c>
      <c r="D28" s="30" t="s">
        <v>716</v>
      </c>
      <c r="E28" s="59"/>
      <c r="F28" s="79"/>
      <c r="G28" s="72"/>
    </row>
    <row r="29" spans="1:7" s="43" customFormat="1" ht="26.4" x14ac:dyDescent="0.25">
      <c r="A29" s="30" t="s">
        <v>491</v>
      </c>
      <c r="B29" s="30" t="s">
        <v>1112</v>
      </c>
      <c r="C29" s="31" t="s">
        <v>68</v>
      </c>
      <c r="D29" s="179" t="e">
        <f>D25</f>
        <v>#VALUE!</v>
      </c>
      <c r="E29" s="59"/>
      <c r="F29" s="79"/>
      <c r="G29" s="72"/>
    </row>
    <row r="30" spans="1:7" s="43" customFormat="1" ht="39.6" x14ac:dyDescent="0.25">
      <c r="A30" s="30" t="s">
        <v>492</v>
      </c>
      <c r="B30" s="30" t="s">
        <v>1156</v>
      </c>
      <c r="C30" s="31" t="s">
        <v>68</v>
      </c>
      <c r="D30" s="30" t="s">
        <v>716</v>
      </c>
      <c r="E30" s="42"/>
      <c r="F30" s="79"/>
      <c r="G30" s="72"/>
    </row>
    <row r="31" spans="1:7" s="43" customFormat="1" x14ac:dyDescent="0.25">
      <c r="A31" s="30"/>
      <c r="B31" s="30"/>
      <c r="C31" s="31"/>
      <c r="D31" s="31"/>
      <c r="E31" s="42"/>
      <c r="F31" s="79"/>
      <c r="G31" s="72"/>
    </row>
    <row r="32" spans="1:7" s="43" customFormat="1" ht="26.4" x14ac:dyDescent="0.25">
      <c r="A32" s="30"/>
      <c r="B32" s="30" t="s">
        <v>493</v>
      </c>
      <c r="C32" s="31"/>
      <c r="D32" s="31"/>
      <c r="E32" s="42"/>
      <c r="F32" s="79"/>
      <c r="G32" s="72"/>
    </row>
    <row r="33" spans="2:6" ht="12.75" customHeight="1" x14ac:dyDescent="0.25">
      <c r="B33" s="27" t="s">
        <v>494</v>
      </c>
      <c r="C33" s="28"/>
      <c r="D33" s="28"/>
      <c r="E33" s="40"/>
      <c r="F33" s="65"/>
    </row>
  </sheetData>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&amp;C&amp;A&amp;RPage &amp;P&amp;LJob Number 5163809</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7:H34"/>
  <sheetViews>
    <sheetView topLeftCell="A18" zoomScaleNormal="100" zoomScaleSheetLayoutView="100" zoomScalePageLayoutView="60" workbookViewId="0">
      <selection activeCell="D25" sqref="D25"/>
    </sheetView>
  </sheetViews>
  <sheetFormatPr defaultRowHeight="13.2" x14ac:dyDescent="0.25"/>
  <cols>
    <col min="2" max="2" width="35.77734375" customWidth="1"/>
    <col min="3" max="3" width="7.77734375" style="1" customWidth="1"/>
    <col min="4" max="5" width="11.44140625" style="1" customWidth="1"/>
    <col min="6" max="6" width="11.44140625" style="64" customWidth="1"/>
  </cols>
  <sheetData>
    <row r="7" spans="1:8" x14ac:dyDescent="0.25">
      <c r="A7" s="5" t="s">
        <v>0</v>
      </c>
      <c r="B7" s="5" t="s">
        <v>1</v>
      </c>
      <c r="C7" s="5" t="s">
        <v>2</v>
      </c>
      <c r="D7" s="5" t="s">
        <v>3</v>
      </c>
      <c r="E7" s="5" t="s">
        <v>4</v>
      </c>
      <c r="F7" s="61" t="s">
        <v>5</v>
      </c>
    </row>
    <row r="8" spans="1:8" x14ac:dyDescent="0.25">
      <c r="A8" s="7"/>
      <c r="B8" s="7"/>
      <c r="C8" s="8"/>
      <c r="D8" s="8"/>
      <c r="E8" s="8" t="s">
        <v>6</v>
      </c>
      <c r="F8" s="62" t="s">
        <v>6</v>
      </c>
    </row>
    <row r="9" spans="1:8" s="43" customFormat="1" x14ac:dyDescent="0.25">
      <c r="A9" s="114" t="s">
        <v>496</v>
      </c>
      <c r="B9" s="114" t="s">
        <v>497</v>
      </c>
      <c r="C9" s="73"/>
      <c r="D9" s="73"/>
      <c r="E9" s="73"/>
      <c r="F9" s="90"/>
    </row>
    <row r="10" spans="1:8" s="43" customFormat="1" x14ac:dyDescent="0.25">
      <c r="A10" s="30"/>
      <c r="B10" s="47" t="s">
        <v>498</v>
      </c>
      <c r="C10" s="31"/>
      <c r="D10" s="31"/>
      <c r="E10" s="31"/>
      <c r="F10" s="90"/>
    </row>
    <row r="11" spans="1:8" s="43" customFormat="1" ht="26.4" x14ac:dyDescent="0.25">
      <c r="A11" s="30" t="s">
        <v>499</v>
      </c>
      <c r="B11" s="30" t="s">
        <v>500</v>
      </c>
      <c r="C11" s="31" t="s">
        <v>68</v>
      </c>
      <c r="D11" s="179">
        <f>[1]DPH!$H122</f>
        <v>0</v>
      </c>
      <c r="E11" s="31"/>
      <c r="F11" s="79"/>
    </row>
    <row r="12" spans="1:8" s="43" customFormat="1" ht="26.4" x14ac:dyDescent="0.25">
      <c r="A12" s="30" t="s">
        <v>501</v>
      </c>
      <c r="B12" s="30" t="s">
        <v>502</v>
      </c>
      <c r="C12" s="31" t="s">
        <v>68</v>
      </c>
      <c r="D12" s="179" t="e">
        <f>COUNTIF([1]DPH!$B$2:$B121,"YES")</f>
        <v>#VALUE!</v>
      </c>
      <c r="E12" s="73"/>
      <c r="F12" s="79"/>
    </row>
    <row r="13" spans="1:8" s="43" customFormat="1" ht="26.4" x14ac:dyDescent="0.25">
      <c r="A13" s="30" t="s">
        <v>503</v>
      </c>
      <c r="B13" s="30" t="s">
        <v>504</v>
      </c>
      <c r="C13" s="31" t="s">
        <v>146</v>
      </c>
      <c r="D13" s="179">
        <f>[1]DPH!$D122</f>
        <v>0</v>
      </c>
      <c r="E13" s="31"/>
      <c r="F13" s="79"/>
    </row>
    <row r="14" spans="1:8" s="43" customFormat="1" ht="14.4" x14ac:dyDescent="0.25">
      <c r="A14" s="30" t="s">
        <v>505</v>
      </c>
      <c r="B14" s="30" t="s">
        <v>506</v>
      </c>
      <c r="C14" s="31" t="s">
        <v>146</v>
      </c>
      <c r="D14" s="179">
        <f>[1]DPH!$E122</f>
        <v>0</v>
      </c>
      <c r="E14" s="31"/>
      <c r="F14" s="79"/>
    </row>
    <row r="15" spans="1:8" s="43" customFormat="1" ht="26.4" x14ac:dyDescent="0.25">
      <c r="A15" s="30" t="s">
        <v>507</v>
      </c>
      <c r="B15" s="30" t="s">
        <v>508</v>
      </c>
      <c r="C15" s="31" t="s">
        <v>146</v>
      </c>
      <c r="D15" s="179">
        <f>[1]DPH!$F122</f>
        <v>0</v>
      </c>
      <c r="E15" s="73"/>
      <c r="F15" s="79"/>
    </row>
    <row r="16" spans="1:8" s="43" customFormat="1" ht="26.4" x14ac:dyDescent="0.25">
      <c r="A16" s="30" t="s">
        <v>509</v>
      </c>
      <c r="B16" s="30" t="s">
        <v>510</v>
      </c>
      <c r="C16" s="31" t="s">
        <v>157</v>
      </c>
      <c r="D16" s="179">
        <f>D11/2</f>
        <v>0</v>
      </c>
      <c r="E16" s="31"/>
      <c r="F16" s="79"/>
      <c r="H16" s="43" t="s">
        <v>1289</v>
      </c>
    </row>
    <row r="17" spans="1:8" s="43" customFormat="1" ht="52.8" x14ac:dyDescent="0.25">
      <c r="A17" s="30" t="s">
        <v>511</v>
      </c>
      <c r="B17" s="30" t="s">
        <v>512</v>
      </c>
      <c r="C17" s="31" t="s">
        <v>207</v>
      </c>
      <c r="D17" s="31" t="s">
        <v>716</v>
      </c>
      <c r="E17" s="73"/>
      <c r="F17" s="79"/>
    </row>
    <row r="18" spans="1:8" s="43" customFormat="1" x14ac:dyDescent="0.25">
      <c r="A18" s="30"/>
      <c r="B18" s="56" t="s">
        <v>513</v>
      </c>
      <c r="C18" s="31"/>
      <c r="D18" s="31"/>
      <c r="E18" s="31"/>
      <c r="F18" s="90"/>
    </row>
    <row r="19" spans="1:8" s="43" customFormat="1" ht="26.4" x14ac:dyDescent="0.25">
      <c r="A19" s="30" t="s">
        <v>514</v>
      </c>
      <c r="B19" s="30" t="s">
        <v>515</v>
      </c>
      <c r="C19" s="31" t="s">
        <v>68</v>
      </c>
      <c r="D19" s="179">
        <f>[1]CPT!$K92</f>
        <v>0</v>
      </c>
      <c r="E19" s="73"/>
      <c r="F19" s="79"/>
    </row>
    <row r="20" spans="1:8" s="43" customFormat="1" ht="26.4" x14ac:dyDescent="0.25">
      <c r="A20" s="30" t="s">
        <v>516</v>
      </c>
      <c r="B20" s="30" t="s">
        <v>517</v>
      </c>
      <c r="C20" s="31" t="s">
        <v>68</v>
      </c>
      <c r="D20" s="179" t="e">
        <f>COUNTIF([1]CPT!$B$2:$B91,"YES")</f>
        <v>#VALUE!</v>
      </c>
      <c r="E20" s="31"/>
      <c r="F20" s="79"/>
    </row>
    <row r="21" spans="1:8" s="43" customFormat="1" ht="52.8" x14ac:dyDescent="0.25">
      <c r="A21" s="30" t="s">
        <v>518</v>
      </c>
      <c r="B21" s="30" t="s">
        <v>519</v>
      </c>
      <c r="C21" s="31" t="s">
        <v>146</v>
      </c>
      <c r="D21" s="179">
        <f>[1]CPT!$F92</f>
        <v>0</v>
      </c>
      <c r="E21" s="73"/>
      <c r="F21" s="79"/>
    </row>
    <row r="22" spans="1:8" s="43" customFormat="1" ht="26.4" x14ac:dyDescent="0.25">
      <c r="A22" s="30" t="s">
        <v>520</v>
      </c>
      <c r="B22" s="30" t="s">
        <v>521</v>
      </c>
      <c r="C22" s="31" t="s">
        <v>146</v>
      </c>
      <c r="D22" s="179">
        <f>[1]CPT!$G92</f>
        <v>0</v>
      </c>
      <c r="E22" s="31"/>
      <c r="F22" s="79"/>
    </row>
    <row r="23" spans="1:8" s="43" customFormat="1" ht="26.4" x14ac:dyDescent="0.25">
      <c r="A23" s="30" t="s">
        <v>522</v>
      </c>
      <c r="B23" s="30" t="s">
        <v>523</v>
      </c>
      <c r="C23" s="31" t="s">
        <v>146</v>
      </c>
      <c r="D23" s="179">
        <f>[1]CPT!$H92</f>
        <v>0</v>
      </c>
      <c r="E23" s="73"/>
      <c r="F23" s="79"/>
    </row>
    <row r="24" spans="1:8" s="43" customFormat="1" ht="26.4" x14ac:dyDescent="0.25">
      <c r="A24" s="30" t="s">
        <v>524</v>
      </c>
      <c r="B24" s="30" t="s">
        <v>525</v>
      </c>
      <c r="C24" s="31" t="s">
        <v>146</v>
      </c>
      <c r="D24" s="179">
        <f>[1]CPT!$I92</f>
        <v>0</v>
      </c>
      <c r="E24" s="31"/>
      <c r="F24" s="79"/>
    </row>
    <row r="25" spans="1:8" s="43" customFormat="1" ht="26.4" x14ac:dyDescent="0.25">
      <c r="A25" s="30" t="s">
        <v>526</v>
      </c>
      <c r="B25" s="30" t="s">
        <v>527</v>
      </c>
      <c r="C25" s="31" t="s">
        <v>146</v>
      </c>
      <c r="D25" s="31" t="s">
        <v>716</v>
      </c>
      <c r="E25" s="73"/>
      <c r="F25" s="79"/>
    </row>
    <row r="26" spans="1:8" s="43" customFormat="1" ht="26.4" x14ac:dyDescent="0.25">
      <c r="A26" s="30" t="s">
        <v>528</v>
      </c>
      <c r="B26" s="30" t="s">
        <v>529</v>
      </c>
      <c r="C26" s="31" t="s">
        <v>146</v>
      </c>
      <c r="D26" s="31" t="s">
        <v>716</v>
      </c>
      <c r="E26" s="31"/>
      <c r="F26" s="79"/>
    </row>
    <row r="27" spans="1:8" s="43" customFormat="1" ht="26.4" x14ac:dyDescent="0.25">
      <c r="A27" s="30" t="s">
        <v>530</v>
      </c>
      <c r="B27" s="30" t="s">
        <v>531</v>
      </c>
      <c r="C27" s="31" t="s">
        <v>68</v>
      </c>
      <c r="D27" s="31" t="s">
        <v>716</v>
      </c>
      <c r="E27" s="73"/>
      <c r="F27" s="104"/>
    </row>
    <row r="28" spans="1:8" s="43" customFormat="1" ht="26.4" x14ac:dyDescent="0.25">
      <c r="A28" s="30" t="s">
        <v>532</v>
      </c>
      <c r="B28" s="30" t="s">
        <v>533</v>
      </c>
      <c r="C28" s="31" t="s">
        <v>157</v>
      </c>
      <c r="D28" s="31" t="s">
        <v>716</v>
      </c>
      <c r="E28" s="31"/>
      <c r="F28" s="79"/>
    </row>
    <row r="29" spans="1:8" s="43" customFormat="1" ht="26.4" x14ac:dyDescent="0.25">
      <c r="A29" s="30" t="s">
        <v>534</v>
      </c>
      <c r="B29" s="30" t="s">
        <v>535</v>
      </c>
      <c r="C29" s="31" t="s">
        <v>157</v>
      </c>
      <c r="D29" s="179">
        <f>D19/2</f>
        <v>0</v>
      </c>
      <c r="E29" s="73"/>
      <c r="F29" s="79"/>
      <c r="H29" s="43" t="s">
        <v>1288</v>
      </c>
    </row>
    <row r="30" spans="1:8" s="43" customFormat="1" ht="26.4" x14ac:dyDescent="0.25">
      <c r="A30" s="30" t="s">
        <v>536</v>
      </c>
      <c r="B30" s="30" t="s">
        <v>537</v>
      </c>
      <c r="C30" s="31" t="s">
        <v>146</v>
      </c>
      <c r="D30" s="31" t="s">
        <v>716</v>
      </c>
      <c r="E30" s="31"/>
      <c r="F30" s="79"/>
    </row>
    <row r="31" spans="1:8" s="43" customFormat="1" ht="26.4" x14ac:dyDescent="0.25">
      <c r="A31" s="30" t="s">
        <v>538</v>
      </c>
      <c r="B31" s="30" t="s">
        <v>539</v>
      </c>
      <c r="C31" s="31" t="s">
        <v>68</v>
      </c>
      <c r="D31" s="31" t="s">
        <v>716</v>
      </c>
      <c r="E31" s="73"/>
      <c r="F31" s="79"/>
    </row>
    <row r="32" spans="1:8" s="43" customFormat="1" ht="26.4" x14ac:dyDescent="0.25">
      <c r="A32" s="30" t="s">
        <v>540</v>
      </c>
      <c r="B32" s="30" t="s">
        <v>541</v>
      </c>
      <c r="C32" s="31" t="s">
        <v>68</v>
      </c>
      <c r="D32" s="31" t="s">
        <v>716</v>
      </c>
      <c r="E32" s="31"/>
      <c r="F32" s="79"/>
    </row>
    <row r="33" spans="1:6" s="43" customFormat="1" ht="26.4" x14ac:dyDescent="0.25">
      <c r="A33" s="30" t="s">
        <v>542</v>
      </c>
      <c r="B33" s="30" t="s">
        <v>543</v>
      </c>
      <c r="C33" s="31" t="s">
        <v>157</v>
      </c>
      <c r="D33" s="31" t="s">
        <v>716</v>
      </c>
      <c r="E33" s="73"/>
      <c r="F33" s="79"/>
    </row>
    <row r="34" spans="1:6" ht="12.75" customHeight="1" x14ac:dyDescent="0.25">
      <c r="A34" s="186"/>
      <c r="B34" s="187" t="s">
        <v>495</v>
      </c>
      <c r="C34" s="187"/>
      <c r="D34" s="187"/>
      <c r="E34" s="188"/>
      <c r="F34" s="84"/>
    </row>
  </sheetData>
  <pageMargins left="0.70866141732283472" right="0.70866141732283472" top="0.74803149606299213" bottom="0.74803149606299213" header="0.31496062992125984" footer="0.31496062992125984"/>
  <pageSetup paperSize="9" scale="76" fitToHeight="0" orientation="portrait" r:id="rId1"/>
  <headerFooter>
    <oddHeader>&amp;LWater Rock LIHAF&amp;RCork County Council</oddHeader>
    <oddFooter>&amp;C&amp;A&amp;RPage &amp;P&amp;LJob Number 5163809</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7:F27"/>
  <sheetViews>
    <sheetView topLeftCell="A10" zoomScaleNormal="100" zoomScaleSheetLayoutView="100" zoomScalePageLayoutView="60" workbookViewId="0">
      <selection activeCell="E29" sqref="E29"/>
    </sheetView>
  </sheetViews>
  <sheetFormatPr defaultRowHeight="13.2" x14ac:dyDescent="0.25"/>
  <cols>
    <col min="2" max="2" width="35.77734375" customWidth="1"/>
    <col min="3" max="3" width="7" style="1" customWidth="1"/>
    <col min="4" max="4" width="11.44140625" style="1" customWidth="1"/>
    <col min="5" max="5" width="11.44140625" style="38" customWidth="1"/>
    <col min="6" max="6" width="11.44140625" style="64" customWidth="1"/>
  </cols>
  <sheetData>
    <row r="7" spans="1:6" x14ac:dyDescent="0.25">
      <c r="A7" s="5" t="s">
        <v>0</v>
      </c>
      <c r="B7" s="5" t="s">
        <v>1</v>
      </c>
      <c r="C7" s="5" t="s">
        <v>2</v>
      </c>
      <c r="D7" s="5" t="s">
        <v>3</v>
      </c>
      <c r="E7" s="33" t="s">
        <v>4</v>
      </c>
      <c r="F7" s="61" t="s">
        <v>5</v>
      </c>
    </row>
    <row r="8" spans="1:6" x14ac:dyDescent="0.25">
      <c r="A8" s="7"/>
      <c r="B8" s="7"/>
      <c r="C8" s="8"/>
      <c r="D8" s="8"/>
      <c r="E8" s="34" t="s">
        <v>6</v>
      </c>
      <c r="F8" s="62" t="s">
        <v>6</v>
      </c>
    </row>
    <row r="9" spans="1:6" s="43" customFormat="1" x14ac:dyDescent="0.25">
      <c r="A9" s="114" t="s">
        <v>544</v>
      </c>
      <c r="B9" s="114" t="s">
        <v>545</v>
      </c>
      <c r="C9" s="114"/>
      <c r="D9" s="30"/>
      <c r="E9" s="59"/>
      <c r="F9" s="136"/>
    </row>
    <row r="10" spans="1:6" s="43" customFormat="1" x14ac:dyDescent="0.25">
      <c r="A10" s="30"/>
      <c r="B10" s="47" t="s">
        <v>546</v>
      </c>
      <c r="C10" s="30"/>
      <c r="D10" s="30"/>
      <c r="E10" s="59"/>
      <c r="F10" s="136"/>
    </row>
    <row r="11" spans="1:6" s="43" customFormat="1" ht="39.6" x14ac:dyDescent="0.25">
      <c r="A11" s="30" t="s">
        <v>547</v>
      </c>
      <c r="B11" s="30" t="s">
        <v>1103</v>
      </c>
      <c r="C11" s="30" t="s">
        <v>1243</v>
      </c>
      <c r="D11" s="30" t="s">
        <v>716</v>
      </c>
      <c r="E11" s="137"/>
      <c r="F11" s="79"/>
    </row>
    <row r="12" spans="1:6" s="43" customFormat="1" ht="26.4" x14ac:dyDescent="0.25">
      <c r="A12" s="30" t="s">
        <v>548</v>
      </c>
      <c r="B12" s="30" t="s">
        <v>549</v>
      </c>
      <c r="C12" s="30" t="s">
        <v>1104</v>
      </c>
      <c r="D12" s="30" t="s">
        <v>716</v>
      </c>
      <c r="E12" s="59"/>
      <c r="F12" s="79"/>
    </row>
    <row r="13" spans="1:6" s="43" customFormat="1" ht="26.4" x14ac:dyDescent="0.25">
      <c r="A13" s="30" t="s">
        <v>550</v>
      </c>
      <c r="B13" s="30" t="s">
        <v>551</v>
      </c>
      <c r="C13" s="30" t="s">
        <v>1104</v>
      </c>
      <c r="D13" s="30" t="s">
        <v>716</v>
      </c>
      <c r="E13" s="137"/>
      <c r="F13" s="79"/>
    </row>
    <row r="14" spans="1:6" s="43" customFormat="1" ht="26.4" x14ac:dyDescent="0.25">
      <c r="A14" s="30" t="s">
        <v>552</v>
      </c>
      <c r="B14" s="30" t="s">
        <v>553</v>
      </c>
      <c r="C14" s="30" t="s">
        <v>1104</v>
      </c>
      <c r="D14" s="30" t="s">
        <v>716</v>
      </c>
      <c r="E14" s="59"/>
      <c r="F14" s="79"/>
    </row>
    <row r="15" spans="1:6" s="43" customFormat="1" ht="26.4" x14ac:dyDescent="0.25">
      <c r="A15" s="30" t="s">
        <v>554</v>
      </c>
      <c r="B15" s="30" t="s">
        <v>555</v>
      </c>
      <c r="C15" s="30" t="s">
        <v>1104</v>
      </c>
      <c r="D15" s="30" t="s">
        <v>716</v>
      </c>
      <c r="E15" s="137"/>
      <c r="F15" s="79"/>
    </row>
    <row r="16" spans="1:6" s="43" customFormat="1" ht="26.4" x14ac:dyDescent="0.25">
      <c r="A16" s="30"/>
      <c r="B16" s="47" t="s">
        <v>556</v>
      </c>
      <c r="C16" s="30"/>
      <c r="D16" s="30" t="s">
        <v>716</v>
      </c>
      <c r="E16" s="59"/>
      <c r="F16" s="79"/>
    </row>
    <row r="17" spans="1:6" s="43" customFormat="1" ht="52.8" x14ac:dyDescent="0.25">
      <c r="A17" s="30" t="s">
        <v>557</v>
      </c>
      <c r="B17" s="30" t="s">
        <v>558</v>
      </c>
      <c r="C17" s="30" t="s">
        <v>11</v>
      </c>
      <c r="D17" s="30" t="s">
        <v>716</v>
      </c>
      <c r="E17" s="137"/>
      <c r="F17" s="79"/>
    </row>
    <row r="18" spans="1:6" s="43" customFormat="1" ht="52.8" x14ac:dyDescent="0.25">
      <c r="A18" s="30" t="s">
        <v>559</v>
      </c>
      <c r="B18" s="30" t="s">
        <v>560</v>
      </c>
      <c r="C18" s="30" t="s">
        <v>146</v>
      </c>
      <c r="D18" s="30" t="s">
        <v>716</v>
      </c>
      <c r="E18" s="59"/>
      <c r="F18" s="79"/>
    </row>
    <row r="19" spans="1:6" s="43" customFormat="1" ht="26.4" x14ac:dyDescent="0.25">
      <c r="A19" s="30" t="s">
        <v>561</v>
      </c>
      <c r="B19" s="30" t="s">
        <v>562</v>
      </c>
      <c r="C19" s="30" t="s">
        <v>68</v>
      </c>
      <c r="D19" s="30" t="s">
        <v>716</v>
      </c>
      <c r="E19" s="137"/>
      <c r="F19" s="79"/>
    </row>
    <row r="20" spans="1:6" s="43" customFormat="1" x14ac:dyDescent="0.25">
      <c r="A20" s="30"/>
      <c r="B20" s="47" t="s">
        <v>563</v>
      </c>
      <c r="C20" s="30"/>
      <c r="D20" s="30"/>
      <c r="E20" s="59"/>
      <c r="F20" s="79"/>
    </row>
    <row r="21" spans="1:6" s="43" customFormat="1" ht="39.6" x14ac:dyDescent="0.25">
      <c r="A21" s="30" t="s">
        <v>564</v>
      </c>
      <c r="B21" s="30" t="s">
        <v>565</v>
      </c>
      <c r="C21" s="30" t="s">
        <v>11</v>
      </c>
      <c r="D21" s="30" t="s">
        <v>716</v>
      </c>
      <c r="E21" s="137"/>
      <c r="F21" s="79"/>
    </row>
    <row r="22" spans="1:6" s="43" customFormat="1" ht="39.6" x14ac:dyDescent="0.25">
      <c r="A22" s="30" t="s">
        <v>566</v>
      </c>
      <c r="B22" s="30" t="s">
        <v>567</v>
      </c>
      <c r="C22" s="30" t="s">
        <v>207</v>
      </c>
      <c r="D22" s="30" t="s">
        <v>716</v>
      </c>
      <c r="E22" s="59"/>
      <c r="F22" s="79"/>
    </row>
    <row r="23" spans="1:6" s="43" customFormat="1" x14ac:dyDescent="0.25">
      <c r="A23" s="138" t="s">
        <v>568</v>
      </c>
      <c r="B23" s="138"/>
      <c r="C23" s="114"/>
      <c r="D23" s="114"/>
      <c r="E23" s="139"/>
      <c r="F23" s="131"/>
    </row>
    <row r="24" spans="1:6" s="43" customFormat="1" ht="26.4" x14ac:dyDescent="0.25">
      <c r="A24" s="138"/>
      <c r="B24" s="138"/>
      <c r="C24" s="30" t="s">
        <v>207</v>
      </c>
      <c r="D24" s="30" t="s">
        <v>716</v>
      </c>
      <c r="E24" s="139"/>
      <c r="F24" s="131"/>
    </row>
    <row r="25" spans="1:6" ht="12.75" customHeight="1" x14ac:dyDescent="0.25">
      <c r="B25" s="74" t="s">
        <v>569</v>
      </c>
      <c r="C25" s="75"/>
      <c r="D25" s="75"/>
      <c r="E25" s="37"/>
      <c r="F25" s="84"/>
    </row>
    <row r="27" spans="1:6" x14ac:dyDescent="0.25">
      <c r="F27" s="105"/>
    </row>
  </sheetData>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&amp;C&amp;A&amp;RPage &amp;P&amp;LJob Number 5163809</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7:H69"/>
  <sheetViews>
    <sheetView topLeftCell="A55" zoomScaleNormal="100" zoomScaleSheetLayoutView="100" zoomScalePageLayoutView="60" workbookViewId="0">
      <selection activeCell="D71" sqref="D71"/>
    </sheetView>
  </sheetViews>
  <sheetFormatPr defaultRowHeight="13.2" x14ac:dyDescent="0.25"/>
  <cols>
    <col min="2" max="2" width="35.77734375" customWidth="1"/>
    <col min="3" max="3" width="7.77734375" style="1" customWidth="1"/>
    <col min="4" max="4" width="11.44140625" style="1" customWidth="1"/>
    <col min="5" max="5" width="11.44140625" style="38" customWidth="1"/>
    <col min="6" max="6" width="11.44140625" style="64" customWidth="1"/>
    <col min="7" max="7" width="3.21875" style="1" customWidth="1"/>
  </cols>
  <sheetData>
    <row r="7" spans="1:7" x14ac:dyDescent="0.25">
      <c r="A7" s="5" t="s">
        <v>0</v>
      </c>
      <c r="B7" s="5" t="s">
        <v>1</v>
      </c>
      <c r="C7" s="5" t="s">
        <v>2</v>
      </c>
      <c r="D7" s="5" t="s">
        <v>3</v>
      </c>
      <c r="E7" s="33" t="s">
        <v>4</v>
      </c>
      <c r="F7" s="61" t="s">
        <v>5</v>
      </c>
      <c r="G7" s="97"/>
    </row>
    <row r="8" spans="1:7" x14ac:dyDescent="0.25">
      <c r="A8" s="7"/>
      <c r="B8" s="7"/>
      <c r="C8" s="8"/>
      <c r="D8" s="8"/>
      <c r="E8" s="34" t="s">
        <v>6</v>
      </c>
      <c r="F8" s="62" t="s">
        <v>6</v>
      </c>
    </row>
    <row r="9" spans="1:7" s="43" customFormat="1" x14ac:dyDescent="0.25">
      <c r="A9" s="140" t="s">
        <v>570</v>
      </c>
      <c r="B9" s="140" t="s">
        <v>571</v>
      </c>
      <c r="C9" s="141"/>
      <c r="D9" s="126"/>
      <c r="E9" s="127"/>
      <c r="F9" s="79"/>
      <c r="G9" s="72"/>
    </row>
    <row r="10" spans="1:7" s="43" customFormat="1" ht="26.4" x14ac:dyDescent="0.25">
      <c r="A10" s="30" t="s">
        <v>572</v>
      </c>
      <c r="B10" s="30" t="s">
        <v>573</v>
      </c>
      <c r="C10" s="30" t="s">
        <v>68</v>
      </c>
      <c r="D10" s="178">
        <f>[1]Boreholes!$N92</f>
        <v>0</v>
      </c>
      <c r="E10" s="42"/>
      <c r="F10" s="79"/>
      <c r="G10" s="72"/>
    </row>
    <row r="11" spans="1:7" s="43" customFormat="1" ht="26.4" x14ac:dyDescent="0.25">
      <c r="A11" s="30" t="s">
        <v>574</v>
      </c>
      <c r="B11" s="30" t="s">
        <v>575</v>
      </c>
      <c r="C11" s="30" t="s">
        <v>68</v>
      </c>
      <c r="D11" s="179">
        <f>[1]Boreholes!$O92</f>
        <v>0</v>
      </c>
      <c r="E11" s="42"/>
      <c r="F11" s="79"/>
      <c r="G11" s="72"/>
    </row>
    <row r="12" spans="1:7" s="43" customFormat="1" ht="26.4" x14ac:dyDescent="0.25">
      <c r="A12" s="30" t="s">
        <v>576</v>
      </c>
      <c r="B12" s="30" t="s">
        <v>577</v>
      </c>
      <c r="C12" s="30" t="s">
        <v>68</v>
      </c>
      <c r="D12" s="179">
        <f>[1]Boreholes!$P92</f>
        <v>0</v>
      </c>
      <c r="E12" s="42"/>
      <c r="F12" s="79"/>
      <c r="G12" s="72"/>
    </row>
    <row r="13" spans="1:7" s="43" customFormat="1" ht="26.4" x14ac:dyDescent="0.25">
      <c r="A13" s="30" t="s">
        <v>578</v>
      </c>
      <c r="B13" s="30" t="s">
        <v>579</v>
      </c>
      <c r="C13" s="30" t="s">
        <v>68</v>
      </c>
      <c r="D13" s="31" t="s">
        <v>716</v>
      </c>
      <c r="E13" s="42"/>
      <c r="F13" s="79"/>
      <c r="G13" s="72"/>
    </row>
    <row r="14" spans="1:7" s="43" customFormat="1" ht="39.6" x14ac:dyDescent="0.25">
      <c r="A14" s="30" t="s">
        <v>580</v>
      </c>
      <c r="B14" s="30" t="s">
        <v>1157</v>
      </c>
      <c r="C14" s="30" t="s">
        <v>68</v>
      </c>
      <c r="D14" s="179">
        <f>ROUNDUP(([1]Boreholes!$AQ92+[1]Boreholes!$BA92)/1.5,0)</f>
        <v>0</v>
      </c>
      <c r="E14" s="42"/>
      <c r="F14" s="79"/>
      <c r="G14" s="72"/>
    </row>
    <row r="15" spans="1:7" s="43" customFormat="1" ht="26.4" x14ac:dyDescent="0.25">
      <c r="A15" s="30" t="s">
        <v>581</v>
      </c>
      <c r="B15" s="30" t="s">
        <v>582</v>
      </c>
      <c r="C15" s="30" t="s">
        <v>68</v>
      </c>
      <c r="D15" s="179">
        <f>ROUNDUP(([1]Boreholes!$AR92+[1]Boreholes!$BB92)/1.5,0)</f>
        <v>0</v>
      </c>
      <c r="E15" s="42"/>
      <c r="F15" s="79"/>
      <c r="G15" s="72"/>
    </row>
    <row r="16" spans="1:7" s="43" customFormat="1" ht="26.4" x14ac:dyDescent="0.25">
      <c r="A16" s="30" t="s">
        <v>583</v>
      </c>
      <c r="B16" s="30" t="s">
        <v>584</v>
      </c>
      <c r="C16" s="30" t="s">
        <v>68</v>
      </c>
      <c r="D16" s="179">
        <f>ROUNDUP(([1]Boreholes!$AS92+[1]Boreholes!$BC92)/1.5,0)</f>
        <v>0</v>
      </c>
      <c r="E16" s="42"/>
      <c r="F16" s="79"/>
      <c r="G16" s="72"/>
    </row>
    <row r="17" spans="1:8" s="43" customFormat="1" ht="26.4" x14ac:dyDescent="0.25">
      <c r="A17" s="30" t="s">
        <v>585</v>
      </c>
      <c r="B17" s="30" t="s">
        <v>586</v>
      </c>
      <c r="C17" s="30" t="s">
        <v>68</v>
      </c>
      <c r="D17" s="31" t="s">
        <v>716</v>
      </c>
      <c r="E17" s="42"/>
      <c r="F17" s="79"/>
      <c r="G17" s="72"/>
    </row>
    <row r="18" spans="1:8" s="43" customFormat="1" ht="26.4" x14ac:dyDescent="0.25">
      <c r="A18" s="30" t="s">
        <v>588</v>
      </c>
      <c r="B18" s="30" t="s">
        <v>1279</v>
      </c>
      <c r="C18" s="30" t="s">
        <v>68</v>
      </c>
      <c r="D18" s="178">
        <f>'[1]Dynamic Sampling'!$C92</f>
        <v>0</v>
      </c>
      <c r="E18" s="42"/>
      <c r="F18" s="79"/>
      <c r="G18" s="72"/>
    </row>
    <row r="19" spans="1:8" s="43" customFormat="1" ht="26.4" x14ac:dyDescent="0.25">
      <c r="A19" s="30" t="s">
        <v>594</v>
      </c>
      <c r="B19" s="47" t="s">
        <v>587</v>
      </c>
      <c r="C19" s="30" t="s">
        <v>68</v>
      </c>
      <c r="D19" s="31" t="s">
        <v>716</v>
      </c>
      <c r="E19" s="42"/>
      <c r="F19" s="79"/>
      <c r="G19" s="72"/>
    </row>
    <row r="20" spans="1:8" s="43" customFormat="1" ht="26.4" x14ac:dyDescent="0.25">
      <c r="A20" s="30" t="s">
        <v>596</v>
      </c>
      <c r="B20" s="30" t="s">
        <v>589</v>
      </c>
      <c r="C20" s="30" t="s">
        <v>68</v>
      </c>
      <c r="D20" s="31" t="s">
        <v>716</v>
      </c>
      <c r="E20" s="42"/>
      <c r="F20" s="79"/>
      <c r="G20" s="72"/>
    </row>
    <row r="21" spans="1:8" s="43" customFormat="1" ht="26.4" x14ac:dyDescent="0.25">
      <c r="A21" s="30" t="s">
        <v>1280</v>
      </c>
      <c r="B21" s="30" t="s">
        <v>590</v>
      </c>
      <c r="C21" s="30" t="s">
        <v>68</v>
      </c>
      <c r="D21" s="31" t="s">
        <v>716</v>
      </c>
      <c r="E21" s="42"/>
      <c r="F21" s="79"/>
      <c r="G21" s="72"/>
    </row>
    <row r="22" spans="1:8" s="43" customFormat="1" ht="26.4" x14ac:dyDescent="0.25">
      <c r="A22" s="30" t="s">
        <v>1281</v>
      </c>
      <c r="B22" s="30" t="s">
        <v>591</v>
      </c>
      <c r="C22" s="30" t="s">
        <v>68</v>
      </c>
      <c r="D22" s="31" t="s">
        <v>716</v>
      </c>
      <c r="E22" s="42"/>
      <c r="F22" s="79"/>
      <c r="G22" s="72"/>
    </row>
    <row r="23" spans="1:8" s="43" customFormat="1" ht="26.4" x14ac:dyDescent="0.25">
      <c r="A23" s="30" t="s">
        <v>1282</v>
      </c>
      <c r="B23" s="30" t="s">
        <v>592</v>
      </c>
      <c r="C23" s="30" t="s">
        <v>68</v>
      </c>
      <c r="D23" s="31" t="s">
        <v>716</v>
      </c>
      <c r="E23" s="42"/>
      <c r="F23" s="79"/>
      <c r="G23" s="72"/>
    </row>
    <row r="24" spans="1:8" s="43" customFormat="1" ht="26.4" x14ac:dyDescent="0.25">
      <c r="A24" s="30" t="s">
        <v>1283</v>
      </c>
      <c r="B24" s="30" t="s">
        <v>593</v>
      </c>
      <c r="C24" s="30" t="s">
        <v>207</v>
      </c>
      <c r="D24" s="31" t="s">
        <v>716</v>
      </c>
      <c r="E24" s="42"/>
      <c r="F24" s="79"/>
      <c r="G24" s="72"/>
    </row>
    <row r="25" spans="1:8" s="43" customFormat="1" ht="26.4" x14ac:dyDescent="0.25">
      <c r="A25" s="30" t="s">
        <v>597</v>
      </c>
      <c r="B25" s="30" t="s">
        <v>595</v>
      </c>
      <c r="C25" s="30" t="s">
        <v>68</v>
      </c>
      <c r="D25" s="31" t="s">
        <v>716</v>
      </c>
      <c r="E25" s="42"/>
      <c r="F25" s="79"/>
      <c r="G25" s="72"/>
    </row>
    <row r="26" spans="1:8" s="43" customFormat="1" ht="26.4" x14ac:dyDescent="0.25">
      <c r="A26" s="30" t="s">
        <v>1284</v>
      </c>
      <c r="B26" s="30" t="s">
        <v>1117</v>
      </c>
      <c r="C26" s="30" t="s">
        <v>68</v>
      </c>
      <c r="D26" s="179" t="e">
        <f>COUNTIF('[1]Trial Pits'!$J$2:$J91,"*DCP*")+COUNTIF('[1]Inspection pit'!$K$2:$K91,"*DCP*")+COUNTIF([1]Trenches!$G$3:$G92,"*DCP*")</f>
        <v>#VALUE!</v>
      </c>
      <c r="E26" s="42"/>
      <c r="F26" s="79"/>
      <c r="G26" s="72"/>
      <c r="H26" s="43" t="s">
        <v>1247</v>
      </c>
    </row>
    <row r="27" spans="1:8" s="43" customFormat="1" ht="26.4" x14ac:dyDescent="0.25">
      <c r="A27" s="30" t="s">
        <v>599</v>
      </c>
      <c r="B27" s="30" t="s">
        <v>598</v>
      </c>
      <c r="C27" s="30" t="s">
        <v>68</v>
      </c>
      <c r="D27" s="31" t="s">
        <v>716</v>
      </c>
      <c r="E27" s="42"/>
      <c r="F27" s="79"/>
      <c r="G27" s="72"/>
    </row>
    <row r="28" spans="1:8" s="43" customFormat="1" ht="26.4" x14ac:dyDescent="0.25">
      <c r="A28" s="30" t="s">
        <v>601</v>
      </c>
      <c r="B28" s="30" t="s">
        <v>600</v>
      </c>
      <c r="C28" s="30" t="s">
        <v>68</v>
      </c>
      <c r="D28" s="31" t="s">
        <v>716</v>
      </c>
      <c r="E28" s="42"/>
      <c r="F28" s="104"/>
      <c r="G28" s="72"/>
    </row>
    <row r="29" spans="1:8" s="43" customFormat="1" ht="12.75" customHeight="1" x14ac:dyDescent="0.25">
      <c r="A29" s="30" t="s">
        <v>603</v>
      </c>
      <c r="B29" s="124" t="s">
        <v>1116</v>
      </c>
      <c r="C29" s="124" t="s">
        <v>68</v>
      </c>
      <c r="D29" s="179" t="e">
        <f>COUNTIF('[1]Trial Pits'!$J$2:$J91,"*HV*")*4+COUNTIF('[1]Inspection pit'!$K$2:$K91,"*HV*")+COUNTIF([1]Trenches!$G$3:$G92,"*HV*")</f>
        <v>#VALUE!</v>
      </c>
      <c r="E29" s="142"/>
      <c r="F29" s="79"/>
      <c r="G29" s="72"/>
      <c r="H29" s="43" t="s">
        <v>1248</v>
      </c>
    </row>
    <row r="30" spans="1:8" s="43" customFormat="1" x14ac:dyDescent="0.25">
      <c r="A30" s="30"/>
      <c r="B30" s="56" t="s">
        <v>602</v>
      </c>
      <c r="C30" s="30"/>
      <c r="D30" s="143"/>
      <c r="E30" s="135"/>
      <c r="F30" s="79"/>
      <c r="G30" s="72"/>
    </row>
    <row r="31" spans="1:8" s="43" customFormat="1" ht="33" customHeight="1" x14ac:dyDescent="0.25">
      <c r="A31" s="30" t="s">
        <v>606</v>
      </c>
      <c r="B31" s="30" t="s">
        <v>604</v>
      </c>
      <c r="C31" s="30" t="s">
        <v>68</v>
      </c>
      <c r="D31" s="31" t="s">
        <v>716</v>
      </c>
      <c r="E31" s="42"/>
      <c r="F31" s="79"/>
      <c r="G31" s="72"/>
    </row>
    <row r="32" spans="1:8" s="43" customFormat="1" x14ac:dyDescent="0.25">
      <c r="A32" s="30"/>
      <c r="B32" s="47" t="s">
        <v>605</v>
      </c>
      <c r="C32" s="30"/>
      <c r="D32" s="31"/>
      <c r="E32" s="42"/>
      <c r="F32" s="79"/>
      <c r="G32" s="72"/>
    </row>
    <row r="33" spans="1:8" s="43" customFormat="1" ht="39.6" x14ac:dyDescent="0.25">
      <c r="A33" s="30" t="s">
        <v>608</v>
      </c>
      <c r="B33" s="30" t="s">
        <v>607</v>
      </c>
      <c r="C33" s="30" t="s">
        <v>179</v>
      </c>
      <c r="D33" s="31" t="s">
        <v>716</v>
      </c>
      <c r="E33" s="42"/>
      <c r="F33" s="79"/>
      <c r="G33" s="72"/>
    </row>
    <row r="34" spans="1:8" s="43" customFormat="1" ht="39.6" x14ac:dyDescent="0.25">
      <c r="A34" s="30" t="s">
        <v>610</v>
      </c>
      <c r="B34" s="30" t="s">
        <v>609</v>
      </c>
      <c r="C34" s="30" t="s">
        <v>179</v>
      </c>
      <c r="D34" s="31" t="s">
        <v>716</v>
      </c>
      <c r="E34" s="42"/>
      <c r="F34" s="79"/>
      <c r="G34" s="72"/>
    </row>
    <row r="35" spans="1:8" s="43" customFormat="1" ht="26.4" x14ac:dyDescent="0.25">
      <c r="A35" s="30" t="s">
        <v>612</v>
      </c>
      <c r="B35" s="30" t="s">
        <v>611</v>
      </c>
      <c r="C35" s="30" t="s">
        <v>179</v>
      </c>
      <c r="D35" s="31" t="s">
        <v>716</v>
      </c>
      <c r="E35" s="42"/>
      <c r="F35" s="79"/>
      <c r="G35" s="72"/>
    </row>
    <row r="36" spans="1:8" s="43" customFormat="1" ht="26.4" x14ac:dyDescent="0.25">
      <c r="A36" s="30" t="s">
        <v>614</v>
      </c>
      <c r="B36" s="30" t="s">
        <v>613</v>
      </c>
      <c r="C36" s="30" t="s">
        <v>179</v>
      </c>
      <c r="D36" s="31" t="s">
        <v>716</v>
      </c>
      <c r="E36" s="42"/>
      <c r="F36" s="79"/>
      <c r="G36" s="72"/>
    </row>
    <row r="37" spans="1:8" s="43" customFormat="1" ht="52.8" x14ac:dyDescent="0.25">
      <c r="A37" s="30" t="s">
        <v>616</v>
      </c>
      <c r="B37" s="30" t="s">
        <v>615</v>
      </c>
      <c r="C37" s="30" t="s">
        <v>179</v>
      </c>
      <c r="D37" s="31" t="s">
        <v>716</v>
      </c>
      <c r="E37" s="42"/>
      <c r="F37" s="79"/>
      <c r="G37" s="72"/>
    </row>
    <row r="38" spans="1:8" s="43" customFormat="1" ht="39.6" x14ac:dyDescent="0.25">
      <c r="A38" s="30" t="s">
        <v>618</v>
      </c>
      <c r="B38" s="30" t="s">
        <v>617</v>
      </c>
      <c r="C38" s="30" t="s">
        <v>179</v>
      </c>
      <c r="D38" s="31" t="s">
        <v>716</v>
      </c>
      <c r="E38" s="42"/>
      <c r="F38" s="79"/>
      <c r="G38" s="72"/>
    </row>
    <row r="39" spans="1:8" s="43" customFormat="1" ht="26.4" x14ac:dyDescent="0.25">
      <c r="A39" s="30" t="s">
        <v>620</v>
      </c>
      <c r="B39" s="30" t="s">
        <v>619</v>
      </c>
      <c r="C39" s="30" t="s">
        <v>179</v>
      </c>
      <c r="D39" s="31" t="s">
        <v>716</v>
      </c>
      <c r="E39" s="42"/>
      <c r="F39" s="79"/>
      <c r="G39" s="72"/>
    </row>
    <row r="40" spans="1:8" s="43" customFormat="1" ht="26.4" x14ac:dyDescent="0.25">
      <c r="A40" s="30" t="s">
        <v>624</v>
      </c>
      <c r="B40" s="30" t="s">
        <v>621</v>
      </c>
      <c r="C40" s="30" t="s">
        <v>179</v>
      </c>
      <c r="D40" s="31" t="s">
        <v>716</v>
      </c>
      <c r="E40" s="42"/>
      <c r="F40" s="79"/>
      <c r="G40" s="72"/>
    </row>
    <row r="41" spans="1:8" s="43" customFormat="1" ht="39.6" x14ac:dyDescent="0.25">
      <c r="A41" s="30"/>
      <c r="B41" s="30" t="s">
        <v>622</v>
      </c>
      <c r="C41" s="30"/>
      <c r="D41" s="31"/>
      <c r="E41" s="42"/>
      <c r="F41" s="79"/>
      <c r="G41" s="72"/>
    </row>
    <row r="42" spans="1:8" s="43" customFormat="1" x14ac:dyDescent="0.25">
      <c r="A42" s="30"/>
      <c r="B42" s="47" t="s">
        <v>623</v>
      </c>
      <c r="C42" s="30"/>
      <c r="D42" s="31"/>
      <c r="E42" s="42"/>
      <c r="F42" s="79"/>
      <c r="G42" s="72"/>
    </row>
    <row r="43" spans="1:8" s="43" customFormat="1" ht="26.4" x14ac:dyDescent="0.25">
      <c r="A43" s="30" t="s">
        <v>626</v>
      </c>
      <c r="B43" s="30" t="s">
        <v>625</v>
      </c>
      <c r="C43" s="30" t="s">
        <v>68</v>
      </c>
      <c r="D43" s="179" t="e">
        <f>COUNTIF('[1]Trial Pits'!$J$2:$J91,"*BRE*")+COUNTIF('[1]Inspection pit'!$K$2:$K91,"*BRE*")+COUNTIF([1]Trenches!$G$3:$G92,"*BRE*")+COUNTIF('[1]Soakaway (BRE)'!$F$2:$F$52,"*BRE*")</f>
        <v>#VALUE!</v>
      </c>
      <c r="E43" s="42"/>
      <c r="F43" s="79"/>
      <c r="G43" s="72"/>
      <c r="H43" s="43" t="s">
        <v>1249</v>
      </c>
    </row>
    <row r="44" spans="1:8" s="43" customFormat="1" ht="39.6" x14ac:dyDescent="0.25">
      <c r="A44" s="30" t="s">
        <v>628</v>
      </c>
      <c r="B44" s="30" t="s">
        <v>627</v>
      </c>
      <c r="C44" s="30" t="s">
        <v>162</v>
      </c>
      <c r="D44" s="31" t="s">
        <v>716</v>
      </c>
      <c r="E44" s="42"/>
      <c r="F44" s="79"/>
      <c r="G44" s="72"/>
    </row>
    <row r="45" spans="1:8" s="43" customFormat="1" ht="26.4" x14ac:dyDescent="0.25">
      <c r="A45" s="30" t="s">
        <v>630</v>
      </c>
      <c r="B45" s="30" t="s">
        <v>629</v>
      </c>
      <c r="C45" s="30" t="s">
        <v>68</v>
      </c>
      <c r="D45" s="31" t="s">
        <v>716</v>
      </c>
      <c r="E45" s="42"/>
      <c r="F45" s="79"/>
      <c r="G45" s="72"/>
    </row>
    <row r="46" spans="1:8" s="43" customFormat="1" ht="26.4" x14ac:dyDescent="0.25">
      <c r="A46" s="30" t="s">
        <v>632</v>
      </c>
      <c r="B46" s="30" t="s">
        <v>631</v>
      </c>
      <c r="C46" s="30" t="s">
        <v>68</v>
      </c>
      <c r="D46" s="31" t="s">
        <v>716</v>
      </c>
      <c r="E46" s="42"/>
      <c r="F46" s="79"/>
      <c r="G46" s="72"/>
    </row>
    <row r="47" spans="1:8" s="43" customFormat="1" ht="26.4" x14ac:dyDescent="0.25">
      <c r="A47" s="30" t="s">
        <v>634</v>
      </c>
      <c r="B47" s="30" t="s">
        <v>633</v>
      </c>
      <c r="C47" s="30" t="s">
        <v>68</v>
      </c>
      <c r="D47" s="179" t="e">
        <f>D43</f>
        <v>#VALUE!</v>
      </c>
      <c r="E47" s="42"/>
      <c r="F47" s="79"/>
      <c r="G47" s="72"/>
    </row>
    <row r="48" spans="1:8" s="43" customFormat="1" ht="26.4" x14ac:dyDescent="0.25">
      <c r="A48" s="30" t="s">
        <v>636</v>
      </c>
      <c r="B48" s="30" t="s">
        <v>635</v>
      </c>
      <c r="C48" s="30" t="s">
        <v>11</v>
      </c>
      <c r="D48" s="31" t="s">
        <v>716</v>
      </c>
      <c r="E48" s="42"/>
      <c r="F48" s="79"/>
      <c r="G48" s="72"/>
    </row>
    <row r="49" spans="1:8" s="43" customFormat="1" ht="39.6" x14ac:dyDescent="0.25">
      <c r="A49" s="30" t="s">
        <v>638</v>
      </c>
      <c r="B49" s="30" t="s">
        <v>637</v>
      </c>
      <c r="C49" s="30" t="s">
        <v>68</v>
      </c>
      <c r="D49" s="179" t="e">
        <f>D47</f>
        <v>#VALUE!</v>
      </c>
      <c r="E49" s="42"/>
      <c r="F49" s="79"/>
      <c r="G49" s="72"/>
    </row>
    <row r="50" spans="1:8" s="43" customFormat="1" ht="26.4" x14ac:dyDescent="0.25">
      <c r="A50" s="30" t="s">
        <v>641</v>
      </c>
      <c r="B50" s="30" t="s">
        <v>639</v>
      </c>
      <c r="C50" s="30" t="s">
        <v>68</v>
      </c>
      <c r="D50" s="179" t="e">
        <f>D49</f>
        <v>#VALUE!</v>
      </c>
      <c r="E50" s="42"/>
      <c r="F50" s="79"/>
      <c r="G50" s="72"/>
    </row>
    <row r="51" spans="1:8" s="43" customFormat="1" ht="26.4" x14ac:dyDescent="0.25">
      <c r="A51" s="30"/>
      <c r="B51" s="56" t="s">
        <v>640</v>
      </c>
      <c r="C51" s="30"/>
      <c r="D51" s="31"/>
      <c r="E51" s="42"/>
      <c r="F51" s="79"/>
      <c r="G51" s="72"/>
    </row>
    <row r="52" spans="1:8" s="43" customFormat="1" ht="26.4" x14ac:dyDescent="0.25">
      <c r="A52" s="30" t="s">
        <v>642</v>
      </c>
      <c r="B52" s="30" t="s">
        <v>625</v>
      </c>
      <c r="C52" s="30" t="s">
        <v>68</v>
      </c>
      <c r="D52" s="31" t="s">
        <v>716</v>
      </c>
      <c r="E52" s="135"/>
      <c r="F52" s="79"/>
      <c r="G52" s="72"/>
    </row>
    <row r="53" spans="1:8" s="43" customFormat="1" ht="52.8" x14ac:dyDescent="0.25">
      <c r="A53" s="30" t="s">
        <v>644</v>
      </c>
      <c r="B53" s="30" t="s">
        <v>643</v>
      </c>
      <c r="C53" s="30" t="s">
        <v>68</v>
      </c>
      <c r="D53" s="31" t="s">
        <v>716</v>
      </c>
      <c r="E53" s="42"/>
      <c r="F53" s="79"/>
      <c r="G53" s="72"/>
    </row>
    <row r="54" spans="1:8" s="43" customFormat="1" ht="39.6" x14ac:dyDescent="0.25">
      <c r="A54" s="30" t="s">
        <v>647</v>
      </c>
      <c r="B54" s="30" t="s">
        <v>645</v>
      </c>
      <c r="C54" s="30" t="s">
        <v>11</v>
      </c>
      <c r="D54" s="31" t="s">
        <v>716</v>
      </c>
      <c r="E54" s="42"/>
      <c r="F54" s="79"/>
      <c r="G54" s="72"/>
    </row>
    <row r="55" spans="1:8" s="43" customFormat="1" x14ac:dyDescent="0.25">
      <c r="A55" s="30"/>
      <c r="B55" s="47" t="s">
        <v>646</v>
      </c>
      <c r="C55" s="30"/>
      <c r="D55" s="31"/>
      <c r="E55" s="42"/>
      <c r="F55" s="79"/>
      <c r="G55" s="72"/>
    </row>
    <row r="56" spans="1:8" s="43" customFormat="1" ht="66" x14ac:dyDescent="0.25">
      <c r="A56" s="30" t="s">
        <v>649</v>
      </c>
      <c r="B56" s="30" t="s">
        <v>648</v>
      </c>
      <c r="C56" s="30" t="s">
        <v>68</v>
      </c>
      <c r="D56" s="179" t="e">
        <f>COUNTIF('[1]Trial Pits'!$J$2:$J91,"*PT*")+COUNTIF('[1]Inspection pit'!$K$2:$K91,"*PT*")+COUNTIF([1]Trenches!$G$3:$G92,"*PT*")</f>
        <v>#VALUE!</v>
      </c>
      <c r="E56" s="42"/>
      <c r="F56" s="79"/>
      <c r="G56" s="72"/>
      <c r="H56" s="43" t="s">
        <v>1250</v>
      </c>
    </row>
    <row r="57" spans="1:8" s="43" customFormat="1" ht="66" x14ac:dyDescent="0.25">
      <c r="A57" s="30" t="s">
        <v>651</v>
      </c>
      <c r="B57" s="30" t="s">
        <v>650</v>
      </c>
      <c r="C57" s="30" t="s">
        <v>68</v>
      </c>
      <c r="D57" s="31" t="s">
        <v>716</v>
      </c>
      <c r="E57" s="42"/>
      <c r="F57" s="79"/>
      <c r="G57" s="72"/>
    </row>
    <row r="58" spans="1:8" s="43" customFormat="1" ht="66" x14ac:dyDescent="0.25">
      <c r="A58" s="30" t="s">
        <v>653</v>
      </c>
      <c r="B58" s="30" t="s">
        <v>652</v>
      </c>
      <c r="C58" s="30" t="s">
        <v>68</v>
      </c>
      <c r="D58" s="31" t="s">
        <v>716</v>
      </c>
      <c r="E58" s="42"/>
      <c r="F58" s="79"/>
      <c r="G58" s="72"/>
    </row>
    <row r="59" spans="1:8" s="43" customFormat="1" ht="39.6" x14ac:dyDescent="0.25">
      <c r="A59" s="30" t="s">
        <v>655</v>
      </c>
      <c r="B59" s="30" t="s">
        <v>654</v>
      </c>
      <c r="C59" s="30" t="s">
        <v>179</v>
      </c>
      <c r="D59" s="31" t="s">
        <v>716</v>
      </c>
      <c r="E59" s="42"/>
      <c r="F59" s="79"/>
      <c r="G59" s="72"/>
    </row>
    <row r="60" spans="1:8" s="43" customFormat="1" ht="39.6" x14ac:dyDescent="0.25">
      <c r="A60" s="30" t="s">
        <v>658</v>
      </c>
      <c r="B60" s="30" t="s">
        <v>656</v>
      </c>
      <c r="C60" s="30" t="s">
        <v>68</v>
      </c>
      <c r="D60" s="179" t="e">
        <f>IF(D56&gt;0,1,"Not Required")</f>
        <v>#VALUE!</v>
      </c>
      <c r="E60" s="42"/>
      <c r="F60" s="79"/>
      <c r="G60" s="72"/>
      <c r="H60" s="43" t="s">
        <v>1263</v>
      </c>
    </row>
    <row r="61" spans="1:8" s="43" customFormat="1" x14ac:dyDescent="0.25">
      <c r="A61" s="30"/>
      <c r="B61" s="56" t="s">
        <v>657</v>
      </c>
      <c r="C61" s="30"/>
      <c r="D61" s="31"/>
      <c r="E61" s="42"/>
      <c r="F61" s="79"/>
      <c r="G61" s="72"/>
    </row>
    <row r="62" spans="1:8" s="43" customFormat="1" ht="26.4" x14ac:dyDescent="0.25">
      <c r="A62" s="30" t="s">
        <v>660</v>
      </c>
      <c r="B62" s="30" t="s">
        <v>659</v>
      </c>
      <c r="C62" s="30" t="s">
        <v>68</v>
      </c>
      <c r="D62" s="31" t="s">
        <v>716</v>
      </c>
      <c r="E62" s="42"/>
      <c r="F62" s="79"/>
      <c r="G62" s="72"/>
    </row>
    <row r="63" spans="1:8" s="43" customFormat="1" ht="26.4" x14ac:dyDescent="0.25">
      <c r="A63" s="30" t="s">
        <v>662</v>
      </c>
      <c r="B63" s="30" t="s">
        <v>661</v>
      </c>
      <c r="C63" s="30" t="s">
        <v>68</v>
      </c>
      <c r="D63" s="31" t="s">
        <v>716</v>
      </c>
      <c r="E63" s="42"/>
      <c r="F63" s="79"/>
      <c r="G63" s="72"/>
    </row>
    <row r="64" spans="1:8" s="43" customFormat="1" ht="26.4" x14ac:dyDescent="0.25">
      <c r="A64" s="30" t="s">
        <v>664</v>
      </c>
      <c r="B64" s="30" t="s">
        <v>663</v>
      </c>
      <c r="C64" s="30" t="s">
        <v>68</v>
      </c>
      <c r="D64" s="31" t="s">
        <v>716</v>
      </c>
      <c r="E64" s="42"/>
      <c r="F64" s="79"/>
      <c r="G64" s="72"/>
    </row>
    <row r="65" spans="1:7" s="43" customFormat="1" ht="26.4" x14ac:dyDescent="0.25">
      <c r="A65" s="30" t="s">
        <v>666</v>
      </c>
      <c r="B65" s="30" t="s">
        <v>665</v>
      </c>
      <c r="C65" s="30" t="s">
        <v>207</v>
      </c>
      <c r="D65" s="31" t="s">
        <v>716</v>
      </c>
      <c r="E65" s="42"/>
      <c r="F65" s="79"/>
      <c r="G65" s="72"/>
    </row>
    <row r="66" spans="1:7" s="43" customFormat="1" ht="26.4" x14ac:dyDescent="0.25">
      <c r="A66" s="30" t="s">
        <v>668</v>
      </c>
      <c r="B66" s="30" t="s">
        <v>667</v>
      </c>
      <c r="C66" s="30" t="s">
        <v>207</v>
      </c>
      <c r="D66" s="31" t="s">
        <v>716</v>
      </c>
      <c r="E66" s="42"/>
      <c r="F66" s="79"/>
      <c r="G66" s="72"/>
    </row>
    <row r="67" spans="1:7" s="43" customFormat="1" ht="26.4" x14ac:dyDescent="0.25">
      <c r="A67" s="30" t="s">
        <v>1285</v>
      </c>
      <c r="B67" s="30" t="s">
        <v>669</v>
      </c>
      <c r="C67" s="30" t="s">
        <v>207</v>
      </c>
      <c r="D67" s="31" t="s">
        <v>716</v>
      </c>
      <c r="E67" s="42"/>
      <c r="F67" s="79"/>
      <c r="G67" s="72"/>
    </row>
    <row r="68" spans="1:7" s="43" customFormat="1" ht="12.75" customHeight="1" thickBot="1" x14ac:dyDescent="0.3">
      <c r="A68" s="124"/>
      <c r="B68" s="124"/>
      <c r="C68" s="124"/>
      <c r="D68" s="126"/>
      <c r="E68" s="127"/>
      <c r="F68" s="79"/>
      <c r="G68" s="72"/>
    </row>
    <row r="69" spans="1:7" ht="13.8" thickBot="1" x14ac:dyDescent="0.3">
      <c r="B69" s="24" t="s">
        <v>1100</v>
      </c>
      <c r="C69" s="25"/>
      <c r="D69" s="25"/>
      <c r="E69" s="39"/>
      <c r="F69" s="86"/>
      <c r="G69" s="49"/>
    </row>
  </sheetData>
  <pageMargins left="0.70866141732283472" right="0.70866141732283472" top="0.74803149606299213" bottom="0.74803149606299213" header="0.31496062992125984" footer="0.31496062992125984"/>
  <pageSetup paperSize="9" scale="70" fitToHeight="0" orientation="portrait" r:id="rId1"/>
  <headerFooter>
    <oddHeader>&amp;LWater Rock LIHAF&amp;RCork County Council</oddHeader>
    <oddFooter>&amp;C&amp;A&amp;RPage &amp;P&amp;LJob Number 5163809</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7:H49"/>
  <sheetViews>
    <sheetView topLeftCell="A32" zoomScaleNormal="100" zoomScaleSheetLayoutView="80" zoomScalePageLayoutView="60" workbookViewId="0">
      <selection activeCell="D49" sqref="D49"/>
    </sheetView>
  </sheetViews>
  <sheetFormatPr defaultRowHeight="13.2" x14ac:dyDescent="0.25"/>
  <cols>
    <col min="2" max="2" width="35.77734375" customWidth="1"/>
    <col min="3" max="3" width="8.21875" style="1" customWidth="1"/>
    <col min="4" max="5" width="11.44140625" style="1" customWidth="1"/>
    <col min="6" max="6" width="11.44140625" style="70" customWidth="1"/>
    <col min="7" max="7" width="3.21875" style="64" customWidth="1"/>
  </cols>
  <sheetData>
    <row r="7" spans="1:8" x14ac:dyDescent="0.25">
      <c r="A7" s="5" t="s">
        <v>0</v>
      </c>
      <c r="B7" s="5" t="s">
        <v>1</v>
      </c>
      <c r="C7" s="5" t="s">
        <v>2</v>
      </c>
      <c r="D7" s="5" t="s">
        <v>3</v>
      </c>
      <c r="E7" s="5" t="s">
        <v>4</v>
      </c>
      <c r="F7" s="87" t="s">
        <v>5</v>
      </c>
      <c r="G7" s="67"/>
    </row>
    <row r="8" spans="1:8" x14ac:dyDescent="0.25">
      <c r="A8" s="7"/>
      <c r="B8" s="7"/>
      <c r="C8" s="8"/>
      <c r="D8" s="8"/>
      <c r="E8" s="8" t="s">
        <v>6</v>
      </c>
      <c r="F8" s="88" t="s">
        <v>6</v>
      </c>
    </row>
    <row r="9" spans="1:8" x14ac:dyDescent="0.25">
      <c r="A9" s="2" t="s">
        <v>670</v>
      </c>
      <c r="B9" s="2" t="s">
        <v>671</v>
      </c>
      <c r="C9" s="6"/>
      <c r="D9" s="6"/>
      <c r="E9" s="6"/>
      <c r="F9" s="89"/>
      <c r="G9" s="68"/>
    </row>
    <row r="10" spans="1:8" x14ac:dyDescent="0.25">
      <c r="A10" s="45"/>
      <c r="B10" s="56" t="s">
        <v>672</v>
      </c>
      <c r="C10" s="46"/>
      <c r="D10" s="46"/>
      <c r="E10" s="44"/>
      <c r="F10" s="90"/>
      <c r="G10" s="69"/>
    </row>
    <row r="11" spans="1:8" ht="26.4" x14ac:dyDescent="0.25">
      <c r="A11" s="32" t="s">
        <v>673</v>
      </c>
      <c r="B11" s="32" t="s">
        <v>674</v>
      </c>
      <c r="C11" s="52" t="s">
        <v>146</v>
      </c>
      <c r="D11" s="179">
        <f>[1]Boreholes!$BJ92+[1]Boreholes!$BM92+'[1]Dynamic Sampling'!$L$92</f>
        <v>0</v>
      </c>
      <c r="E11" s="29"/>
      <c r="F11" s="79"/>
      <c r="G11" s="69"/>
      <c r="H11" t="s">
        <v>1275</v>
      </c>
    </row>
    <row r="12" spans="1:8" ht="26.4" x14ac:dyDescent="0.25">
      <c r="A12" s="32" t="s">
        <v>675</v>
      </c>
      <c r="B12" s="32" t="s">
        <v>676</v>
      </c>
      <c r="C12" s="52" t="s">
        <v>68</v>
      </c>
      <c r="D12" s="179" t="e">
        <f>COUNTIF([1]Boreholes!$BI$2:$BI91,"YES")+COUNTIF('[1]Dynamic Sampling'!$K$2:$K$91,"YES")</f>
        <v>#VALUE!</v>
      </c>
      <c r="E12" s="29"/>
      <c r="F12" s="79"/>
      <c r="G12" s="69"/>
    </row>
    <row r="13" spans="1:8" ht="14.4" x14ac:dyDescent="0.25">
      <c r="A13" s="32" t="s">
        <v>677</v>
      </c>
      <c r="B13" s="32" t="s">
        <v>678</v>
      </c>
      <c r="C13" s="52" t="s">
        <v>146</v>
      </c>
      <c r="D13" s="179" t="e">
        <f>D12</f>
        <v>#VALUE!</v>
      </c>
      <c r="E13" s="29"/>
      <c r="F13" s="79"/>
      <c r="G13" s="69"/>
    </row>
    <row r="14" spans="1:8" ht="26.4" x14ac:dyDescent="0.25">
      <c r="A14" s="32" t="s">
        <v>679</v>
      </c>
      <c r="B14" s="32" t="s">
        <v>680</v>
      </c>
      <c r="C14" s="52" t="s">
        <v>146</v>
      </c>
      <c r="D14" s="179">
        <f>[1]Boreholes!$BJ92</f>
        <v>0</v>
      </c>
      <c r="E14" s="29"/>
      <c r="F14" s="79"/>
      <c r="G14" s="69"/>
    </row>
    <row r="15" spans="1:8" ht="14.4" x14ac:dyDescent="0.25">
      <c r="A15" s="32" t="s">
        <v>681</v>
      </c>
      <c r="B15" s="32" t="s">
        <v>682</v>
      </c>
      <c r="C15" s="52" t="s">
        <v>146</v>
      </c>
      <c r="D15" s="179" t="e">
        <f>(COUNTIF([1]Boreholes!$BI$2:$BI91,"YES"))*1</f>
        <v>#VALUE!</v>
      </c>
      <c r="E15" s="29"/>
      <c r="F15" s="79"/>
      <c r="G15" s="69"/>
      <c r="H15" t="s">
        <v>1269</v>
      </c>
    </row>
    <row r="16" spans="1:8" ht="26.4" x14ac:dyDescent="0.25">
      <c r="A16" s="32" t="s">
        <v>683</v>
      </c>
      <c r="B16" s="32" t="s">
        <v>684</v>
      </c>
      <c r="C16" s="52" t="s">
        <v>146</v>
      </c>
      <c r="D16" s="179">
        <f>[1]Boreholes!$BN92+'[1]Dynamic Sampling'!$M$92</f>
        <v>0</v>
      </c>
      <c r="E16" s="29"/>
      <c r="F16" s="79"/>
      <c r="G16" s="69"/>
    </row>
    <row r="17" spans="1:8" ht="14.4" x14ac:dyDescent="0.25">
      <c r="A17" s="32" t="s">
        <v>685</v>
      </c>
      <c r="B17" s="32" t="s">
        <v>686</v>
      </c>
      <c r="C17" s="52" t="s">
        <v>146</v>
      </c>
      <c r="D17" s="179">
        <f>D16</f>
        <v>0</v>
      </c>
      <c r="E17" s="29"/>
      <c r="F17" s="79"/>
      <c r="G17" s="69"/>
    </row>
    <row r="18" spans="1:8" ht="26.4" x14ac:dyDescent="0.25">
      <c r="A18" s="32" t="s">
        <v>687</v>
      </c>
      <c r="B18" s="32" t="s">
        <v>688</v>
      </c>
      <c r="C18" s="52" t="s">
        <v>146</v>
      </c>
      <c r="D18" s="179">
        <f>[1]Boreholes!$BM92+'[1]Dynamic Sampling'!$L92</f>
        <v>0</v>
      </c>
      <c r="E18" s="29"/>
      <c r="F18" s="79"/>
      <c r="G18" s="69"/>
    </row>
    <row r="19" spans="1:8" ht="14.4" x14ac:dyDescent="0.25">
      <c r="A19" s="32" t="s">
        <v>689</v>
      </c>
      <c r="B19" s="32" t="s">
        <v>690</v>
      </c>
      <c r="C19" s="52" t="s">
        <v>146</v>
      </c>
      <c r="D19" s="179" t="e">
        <f>(COUNTIF([1]Boreholes!$BM$2:$BM91,"&gt;0"))*1+(COUNTIF('[1]Dynamic Sampling'!$O$2:$O$91,"&gt;0"))*1</f>
        <v>#VALUE!</v>
      </c>
      <c r="E19" s="29"/>
      <c r="F19" s="79"/>
      <c r="G19" s="69"/>
      <c r="H19" t="s">
        <v>1269</v>
      </c>
    </row>
    <row r="20" spans="1:8" ht="32.1" customHeight="1" x14ac:dyDescent="0.25">
      <c r="A20" s="32" t="s">
        <v>691</v>
      </c>
      <c r="B20" s="32" t="s">
        <v>692</v>
      </c>
      <c r="C20" s="52" t="s">
        <v>146</v>
      </c>
      <c r="D20" s="52" t="s">
        <v>716</v>
      </c>
      <c r="E20" s="52" t="s">
        <v>1120</v>
      </c>
      <c r="F20" s="164" t="s">
        <v>1184</v>
      </c>
      <c r="G20" s="165"/>
    </row>
    <row r="21" spans="1:8" ht="26.4" x14ac:dyDescent="0.25">
      <c r="A21" s="32" t="s">
        <v>693</v>
      </c>
      <c r="B21" s="32" t="s">
        <v>694</v>
      </c>
      <c r="C21" s="52" t="s">
        <v>146</v>
      </c>
      <c r="D21" s="52" t="s">
        <v>716</v>
      </c>
      <c r="E21" s="52" t="s">
        <v>1120</v>
      </c>
      <c r="F21" s="164" t="s">
        <v>1184</v>
      </c>
      <c r="G21" s="165"/>
    </row>
    <row r="22" spans="1:8" ht="26.4" x14ac:dyDescent="0.25">
      <c r="A22" s="32" t="s">
        <v>695</v>
      </c>
      <c r="B22" s="32" t="s">
        <v>696</v>
      </c>
      <c r="C22" s="52" t="s">
        <v>146</v>
      </c>
      <c r="D22" s="52" t="s">
        <v>716</v>
      </c>
      <c r="E22" s="52" t="s">
        <v>1120</v>
      </c>
      <c r="F22" s="164" t="s">
        <v>1184</v>
      </c>
      <c r="G22" s="165"/>
    </row>
    <row r="23" spans="1:8" ht="26.4" x14ac:dyDescent="0.25">
      <c r="A23" s="32" t="s">
        <v>697</v>
      </c>
      <c r="B23" s="32" t="s">
        <v>698</v>
      </c>
      <c r="C23" s="52" t="s">
        <v>146</v>
      </c>
      <c r="D23" s="52" t="s">
        <v>716</v>
      </c>
      <c r="E23" s="52" t="s">
        <v>1120</v>
      </c>
      <c r="F23" s="164" t="s">
        <v>1184</v>
      </c>
      <c r="G23" s="165"/>
    </row>
    <row r="24" spans="1:8" ht="14.4" x14ac:dyDescent="0.25">
      <c r="A24" s="32" t="s">
        <v>699</v>
      </c>
      <c r="B24" s="32" t="s">
        <v>700</v>
      </c>
      <c r="C24" s="52" t="s">
        <v>68</v>
      </c>
      <c r="D24" s="179" t="e">
        <f>(COUNTIF([1]Boreholes!$BI$2:$BI91,"YES")+COUNTIF([1]Boreholes!$BL$2:$BL91,"YES")+COUNTIF('[1]Dynamic Sampling'!$K$2:$K$91, "YES"))*2</f>
        <v>#VALUE!</v>
      </c>
      <c r="E24" s="51"/>
      <c r="F24" s="164"/>
      <c r="G24" s="165"/>
    </row>
    <row r="25" spans="1:8" ht="26.4" x14ac:dyDescent="0.25">
      <c r="A25" s="32" t="s">
        <v>701</v>
      </c>
      <c r="B25" s="32" t="s">
        <v>702</v>
      </c>
      <c r="C25" s="52" t="s">
        <v>68</v>
      </c>
      <c r="D25" s="52" t="s">
        <v>716</v>
      </c>
      <c r="E25" s="52" t="s">
        <v>1120</v>
      </c>
      <c r="F25" s="164" t="s">
        <v>1184</v>
      </c>
      <c r="G25" s="165"/>
    </row>
    <row r="26" spans="1:8" ht="25.5" customHeight="1" x14ac:dyDescent="0.25">
      <c r="A26" s="32" t="s">
        <v>703</v>
      </c>
      <c r="B26" s="32" t="s">
        <v>704</v>
      </c>
      <c r="C26" s="52" t="s">
        <v>68</v>
      </c>
      <c r="D26" s="179" t="e">
        <f>COUNTIFS([1]Boreholes!$BH$2:$BH91,"YES",[1]Boreholes!$BP$2:$BP91,"&gt;0")+COUNTIFS('[1]Dynamic Sampling'!$I$2:$I$91,"YES",'[1]Dynamic Sampling'!$O$2:$O$91,"&gt;0")</f>
        <v>#VALUE!</v>
      </c>
      <c r="E26" s="52"/>
      <c r="F26" s="164"/>
      <c r="G26" s="165"/>
    </row>
    <row r="27" spans="1:8" ht="26.25" customHeight="1" x14ac:dyDescent="0.25">
      <c r="A27" s="32" t="s">
        <v>705</v>
      </c>
      <c r="B27" s="32" t="s">
        <v>706</v>
      </c>
      <c r="C27" s="52" t="s">
        <v>68</v>
      </c>
      <c r="D27" s="179" t="e">
        <f>(COUNTIFS([1]Boreholes!$BH$2:$BH91,"NO",[1]Boreholes!$BP$2:$BP91,"&gt;0")+COUNTIFS('[1]Dynamic Sampling'!$I$2:$I$91,"NO",'[1]Dynamic Sampling'!$O$2:$O$91,"&gt;0"))</f>
        <v>#VALUE!</v>
      </c>
      <c r="E27" s="52"/>
      <c r="F27" s="166"/>
      <c r="G27" s="165"/>
    </row>
    <row r="28" spans="1:8" ht="26.4" x14ac:dyDescent="0.25">
      <c r="A28" s="32" t="s">
        <v>707</v>
      </c>
      <c r="B28" s="32" t="s">
        <v>708</v>
      </c>
      <c r="C28" s="52" t="s">
        <v>68</v>
      </c>
      <c r="D28" s="52" t="s">
        <v>716</v>
      </c>
      <c r="E28" s="52" t="s">
        <v>1120</v>
      </c>
      <c r="F28" s="164" t="s">
        <v>1184</v>
      </c>
      <c r="G28" s="165"/>
    </row>
    <row r="29" spans="1:8" ht="39.6" x14ac:dyDescent="0.25">
      <c r="A29" s="32" t="s">
        <v>709</v>
      </c>
      <c r="B29" s="32" t="s">
        <v>710</v>
      </c>
      <c r="C29" s="52" t="s">
        <v>68</v>
      </c>
      <c r="D29" s="179" t="e">
        <f>D27</f>
        <v>#VALUE!</v>
      </c>
      <c r="E29" s="52"/>
      <c r="F29" s="164"/>
      <c r="G29" s="165"/>
    </row>
    <row r="30" spans="1:8" ht="26.4" x14ac:dyDescent="0.25">
      <c r="A30" s="32" t="s">
        <v>711</v>
      </c>
      <c r="B30" s="32" t="s">
        <v>712</v>
      </c>
      <c r="C30" s="52" t="s">
        <v>68</v>
      </c>
      <c r="D30" s="179" t="e">
        <f>D27</f>
        <v>#VALUE!</v>
      </c>
      <c r="E30" s="52"/>
      <c r="F30" s="164"/>
      <c r="G30" s="165"/>
    </row>
    <row r="31" spans="1:8" ht="26.4" x14ac:dyDescent="0.25">
      <c r="A31" s="32"/>
      <c r="B31" s="13" t="s">
        <v>713</v>
      </c>
      <c r="C31" s="52"/>
      <c r="D31" s="52"/>
      <c r="E31" s="52"/>
      <c r="F31" s="164"/>
      <c r="G31" s="165"/>
    </row>
    <row r="32" spans="1:8" ht="26.4" x14ac:dyDescent="0.25">
      <c r="A32" s="32" t="s">
        <v>714</v>
      </c>
      <c r="B32" s="32" t="s">
        <v>715</v>
      </c>
      <c r="C32" s="52" t="s">
        <v>11</v>
      </c>
      <c r="D32" s="52" t="s">
        <v>716</v>
      </c>
      <c r="E32" s="52" t="s">
        <v>1120</v>
      </c>
      <c r="F32" s="164" t="s">
        <v>1184</v>
      </c>
      <c r="G32" s="165"/>
    </row>
    <row r="33" spans="1:7" ht="26.4" x14ac:dyDescent="0.25">
      <c r="A33" s="32" t="s">
        <v>717</v>
      </c>
      <c r="B33" s="32" t="s">
        <v>718</v>
      </c>
      <c r="C33" s="52" t="s">
        <v>157</v>
      </c>
      <c r="D33" s="52" t="s">
        <v>716</v>
      </c>
      <c r="E33" s="52" t="s">
        <v>1120</v>
      </c>
      <c r="F33" s="164" t="s">
        <v>1184</v>
      </c>
      <c r="G33" s="165"/>
    </row>
    <row r="34" spans="1:7" ht="26.4" x14ac:dyDescent="0.25">
      <c r="A34" s="32" t="s">
        <v>719</v>
      </c>
      <c r="B34" s="32" t="s">
        <v>720</v>
      </c>
      <c r="C34" s="52" t="s">
        <v>68</v>
      </c>
      <c r="D34" s="52" t="s">
        <v>716</v>
      </c>
      <c r="E34" s="52" t="s">
        <v>1120</v>
      </c>
      <c r="F34" s="164" t="s">
        <v>1184</v>
      </c>
      <c r="G34" s="165"/>
    </row>
    <row r="35" spans="1:7" ht="26.4" x14ac:dyDescent="0.25">
      <c r="A35" s="32" t="s">
        <v>721</v>
      </c>
      <c r="B35" s="32" t="s">
        <v>722</v>
      </c>
      <c r="C35" s="52" t="s">
        <v>68</v>
      </c>
      <c r="D35" s="52" t="s">
        <v>716</v>
      </c>
      <c r="E35" s="52" t="s">
        <v>1120</v>
      </c>
      <c r="F35" s="164" t="s">
        <v>1184</v>
      </c>
      <c r="G35" s="165"/>
    </row>
    <row r="36" spans="1:7" ht="26.4" x14ac:dyDescent="0.25">
      <c r="A36" s="32" t="s">
        <v>723</v>
      </c>
      <c r="B36" s="32" t="s">
        <v>724</v>
      </c>
      <c r="C36" s="52" t="s">
        <v>68</v>
      </c>
      <c r="D36" s="52" t="s">
        <v>716</v>
      </c>
      <c r="E36" s="52" t="s">
        <v>1120</v>
      </c>
      <c r="F36" s="164" t="s">
        <v>1184</v>
      </c>
      <c r="G36" s="165"/>
    </row>
    <row r="37" spans="1:7" ht="26.4" x14ac:dyDescent="0.25">
      <c r="A37" s="32" t="s">
        <v>725</v>
      </c>
      <c r="B37" s="32" t="s">
        <v>726</v>
      </c>
      <c r="C37" s="52" t="s">
        <v>727</v>
      </c>
      <c r="D37" s="52" t="s">
        <v>716</v>
      </c>
      <c r="E37" s="52" t="s">
        <v>1120</v>
      </c>
      <c r="F37" s="164" t="s">
        <v>1184</v>
      </c>
      <c r="G37" s="165"/>
    </row>
    <row r="38" spans="1:7" x14ac:dyDescent="0.25">
      <c r="A38" s="32"/>
      <c r="B38" s="13" t="s">
        <v>728</v>
      </c>
      <c r="C38" s="52"/>
      <c r="D38" s="52"/>
      <c r="E38" s="52"/>
      <c r="F38" s="164"/>
      <c r="G38" s="165"/>
    </row>
    <row r="39" spans="1:7" ht="39.6" x14ac:dyDescent="0.25">
      <c r="A39" s="32" t="s">
        <v>729</v>
      </c>
      <c r="B39" s="32" t="s">
        <v>730</v>
      </c>
      <c r="C39" s="52" t="s">
        <v>146</v>
      </c>
      <c r="D39" s="52" t="s">
        <v>716</v>
      </c>
      <c r="E39" s="52" t="s">
        <v>1120</v>
      </c>
      <c r="F39" s="164" t="s">
        <v>1184</v>
      </c>
      <c r="G39" s="165"/>
    </row>
    <row r="40" spans="1:7" ht="26.4" x14ac:dyDescent="0.25">
      <c r="A40" s="32" t="s">
        <v>731</v>
      </c>
      <c r="B40" s="32" t="s">
        <v>732</v>
      </c>
      <c r="C40" s="52" t="s">
        <v>162</v>
      </c>
      <c r="D40" s="52" t="s">
        <v>716</v>
      </c>
      <c r="E40" s="52" t="s">
        <v>1120</v>
      </c>
      <c r="F40" s="164" t="s">
        <v>1184</v>
      </c>
      <c r="G40" s="165"/>
    </row>
    <row r="41" spans="1:7" ht="26.4" x14ac:dyDescent="0.25">
      <c r="A41" s="32" t="s">
        <v>733</v>
      </c>
      <c r="B41" s="32" t="s">
        <v>734</v>
      </c>
      <c r="C41" s="52" t="s">
        <v>37</v>
      </c>
      <c r="D41" s="52" t="s">
        <v>716</v>
      </c>
      <c r="E41" s="52" t="s">
        <v>1120</v>
      </c>
      <c r="F41" s="164" t="s">
        <v>1184</v>
      </c>
      <c r="G41" s="165"/>
    </row>
    <row r="42" spans="1:7" ht="26.4" x14ac:dyDescent="0.25">
      <c r="A42" s="32" t="s">
        <v>735</v>
      </c>
      <c r="B42" s="32" t="s">
        <v>736</v>
      </c>
      <c r="C42" s="52" t="s">
        <v>179</v>
      </c>
      <c r="D42" s="52" t="s">
        <v>716</v>
      </c>
      <c r="E42" s="52" t="s">
        <v>1120</v>
      </c>
      <c r="F42" s="164" t="s">
        <v>1184</v>
      </c>
      <c r="G42" s="165"/>
    </row>
    <row r="43" spans="1:7" ht="26.4" x14ac:dyDescent="0.25">
      <c r="A43" s="32" t="s">
        <v>737</v>
      </c>
      <c r="B43" s="32" t="s">
        <v>704</v>
      </c>
      <c r="C43" s="52" t="s">
        <v>68</v>
      </c>
      <c r="D43" s="52" t="s">
        <v>716</v>
      </c>
      <c r="E43" s="52" t="s">
        <v>1120</v>
      </c>
      <c r="F43" s="164" t="s">
        <v>1184</v>
      </c>
      <c r="G43" s="165"/>
    </row>
    <row r="44" spans="1:7" x14ac:dyDescent="0.25">
      <c r="A44" s="32"/>
      <c r="B44" s="13" t="s">
        <v>738</v>
      </c>
      <c r="C44" s="52"/>
      <c r="D44" s="52"/>
      <c r="E44" s="51"/>
      <c r="F44" s="164"/>
      <c r="G44" s="165"/>
    </row>
    <row r="45" spans="1:7" ht="26.4" x14ac:dyDescent="0.25">
      <c r="A45" s="32" t="s">
        <v>739</v>
      </c>
      <c r="B45" s="32" t="s">
        <v>740</v>
      </c>
      <c r="C45" s="52" t="s">
        <v>68</v>
      </c>
      <c r="D45" s="52" t="s">
        <v>716</v>
      </c>
      <c r="E45" s="52" t="s">
        <v>1120</v>
      </c>
      <c r="F45" s="164" t="s">
        <v>1184</v>
      </c>
      <c r="G45" s="165"/>
    </row>
    <row r="46" spans="1:7" ht="52.8" x14ac:dyDescent="0.25">
      <c r="A46" s="32" t="s">
        <v>741</v>
      </c>
      <c r="B46" s="32" t="s">
        <v>742</v>
      </c>
      <c r="C46" s="52" t="s">
        <v>146</v>
      </c>
      <c r="D46" s="52" t="s">
        <v>716</v>
      </c>
      <c r="E46" s="52" t="s">
        <v>1120</v>
      </c>
      <c r="F46" s="164" t="s">
        <v>1184</v>
      </c>
      <c r="G46" s="165"/>
    </row>
    <row r="47" spans="1:7" ht="26.4" x14ac:dyDescent="0.25">
      <c r="A47" s="32" t="s">
        <v>743</v>
      </c>
      <c r="B47" s="32" t="s">
        <v>704</v>
      </c>
      <c r="C47" s="52" t="s">
        <v>68</v>
      </c>
      <c r="D47" s="52" t="s">
        <v>716</v>
      </c>
      <c r="E47" s="52" t="s">
        <v>1120</v>
      </c>
      <c r="F47" s="164" t="s">
        <v>1184</v>
      </c>
      <c r="G47" s="165"/>
    </row>
    <row r="48" spans="1:7" ht="26.4" x14ac:dyDescent="0.25">
      <c r="A48" s="32" t="s">
        <v>744</v>
      </c>
      <c r="B48" s="32" t="s">
        <v>745</v>
      </c>
      <c r="C48" s="52" t="s">
        <v>68</v>
      </c>
      <c r="D48" s="52" t="s">
        <v>716</v>
      </c>
      <c r="E48" s="52" t="s">
        <v>1120</v>
      </c>
      <c r="F48" s="164" t="s">
        <v>1184</v>
      </c>
      <c r="G48" s="165"/>
    </row>
    <row r="49" spans="1:7" ht="12.75" customHeight="1" x14ac:dyDescent="0.25">
      <c r="A49" s="186"/>
      <c r="B49" s="187" t="s">
        <v>746</v>
      </c>
      <c r="C49" s="187"/>
      <c r="D49" s="187"/>
      <c r="E49" s="188"/>
      <c r="F49" s="91"/>
      <c r="G49" s="70"/>
    </row>
  </sheetData>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&amp;C&amp;A&amp;RPage &amp;P&amp;LJob Number 5163809</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7:F37"/>
  <sheetViews>
    <sheetView topLeftCell="A25" zoomScaleNormal="100" zoomScaleSheetLayoutView="100" zoomScalePageLayoutView="60" workbookViewId="0">
      <selection activeCell="D39" sqref="D39"/>
    </sheetView>
  </sheetViews>
  <sheetFormatPr defaultRowHeight="13.2" x14ac:dyDescent="0.25"/>
  <cols>
    <col min="2" max="2" width="35.77734375" customWidth="1"/>
    <col min="3" max="3" width="9.77734375" style="1" customWidth="1"/>
    <col min="4" max="4" width="12.21875" style="1" customWidth="1"/>
    <col min="5" max="5" width="11.44140625" style="1" customWidth="1"/>
    <col min="6" max="6" width="11.44140625" style="64" customWidth="1"/>
  </cols>
  <sheetData>
    <row r="7" spans="1:6" x14ac:dyDescent="0.25">
      <c r="A7" s="5" t="s">
        <v>0</v>
      </c>
      <c r="B7" s="5" t="s">
        <v>1</v>
      </c>
      <c r="C7" s="5" t="s">
        <v>2</v>
      </c>
      <c r="D7" s="5" t="s">
        <v>3</v>
      </c>
      <c r="E7" s="5" t="s">
        <v>4</v>
      </c>
      <c r="F7" s="61" t="s">
        <v>5</v>
      </c>
    </row>
    <row r="8" spans="1:6" x14ac:dyDescent="0.25">
      <c r="A8" s="7"/>
      <c r="B8" s="7"/>
      <c r="C8" s="8"/>
      <c r="D8" s="8"/>
      <c r="E8" s="8" t="s">
        <v>6</v>
      </c>
      <c r="F8" s="62" t="s">
        <v>6</v>
      </c>
    </row>
    <row r="9" spans="1:6" ht="26.4" x14ac:dyDescent="0.25">
      <c r="A9" s="9" t="s">
        <v>747</v>
      </c>
      <c r="B9" s="9" t="s">
        <v>748</v>
      </c>
      <c r="C9" s="12"/>
      <c r="D9" s="12"/>
      <c r="E9" s="12"/>
      <c r="F9" s="63"/>
    </row>
    <row r="10" spans="1:6" ht="39.6" x14ac:dyDescent="0.25">
      <c r="A10" s="32" t="s">
        <v>749</v>
      </c>
      <c r="B10" s="32" t="s">
        <v>750</v>
      </c>
      <c r="C10" s="52" t="s">
        <v>68</v>
      </c>
      <c r="D10" s="198" t="s">
        <v>716</v>
      </c>
      <c r="E10" s="52" t="s">
        <v>1120</v>
      </c>
      <c r="F10" s="76" t="s">
        <v>1184</v>
      </c>
    </row>
    <row r="11" spans="1:6" ht="39.6" x14ac:dyDescent="0.25">
      <c r="A11" s="30" t="s">
        <v>751</v>
      </c>
      <c r="B11" s="30" t="s">
        <v>752</v>
      </c>
      <c r="C11" s="31" t="s">
        <v>68</v>
      </c>
      <c r="D11" s="30" t="s">
        <v>716</v>
      </c>
      <c r="E11" s="52" t="s">
        <v>1120</v>
      </c>
      <c r="F11" s="76" t="s">
        <v>1184</v>
      </c>
    </row>
    <row r="12" spans="1:6" ht="39.6" x14ac:dyDescent="0.25">
      <c r="A12" s="30" t="s">
        <v>753</v>
      </c>
      <c r="B12" s="30" t="s">
        <v>754</v>
      </c>
      <c r="C12" s="31" t="s">
        <v>68</v>
      </c>
      <c r="D12" s="30" t="s">
        <v>716</v>
      </c>
      <c r="E12" s="52" t="s">
        <v>1120</v>
      </c>
      <c r="F12" s="76" t="s">
        <v>1184</v>
      </c>
    </row>
    <row r="13" spans="1:6" ht="39.6" x14ac:dyDescent="0.25">
      <c r="A13" s="30" t="s">
        <v>755</v>
      </c>
      <c r="B13" s="30" t="s">
        <v>756</v>
      </c>
      <c r="C13" s="31" t="s">
        <v>68</v>
      </c>
      <c r="D13" s="30" t="s">
        <v>716</v>
      </c>
      <c r="E13" s="52" t="s">
        <v>1120</v>
      </c>
      <c r="F13" s="76" t="s">
        <v>1184</v>
      </c>
    </row>
    <row r="14" spans="1:6" ht="52.8" x14ac:dyDescent="0.25">
      <c r="A14" s="30" t="s">
        <v>757</v>
      </c>
      <c r="B14" s="30" t="s">
        <v>758</v>
      </c>
      <c r="C14" s="31" t="s">
        <v>68</v>
      </c>
      <c r="D14" s="30" t="s">
        <v>716</v>
      </c>
      <c r="E14" s="52" t="s">
        <v>1120</v>
      </c>
      <c r="F14" s="76" t="s">
        <v>1184</v>
      </c>
    </row>
    <row r="15" spans="1:6" ht="26.4" x14ac:dyDescent="0.25">
      <c r="A15" s="30" t="s">
        <v>759</v>
      </c>
      <c r="B15" s="30" t="s">
        <v>760</v>
      </c>
      <c r="C15" s="31" t="s">
        <v>157</v>
      </c>
      <c r="D15" s="30" t="s">
        <v>716</v>
      </c>
      <c r="E15" s="52" t="s">
        <v>1120</v>
      </c>
      <c r="F15" s="76" t="s">
        <v>1184</v>
      </c>
    </row>
    <row r="16" spans="1:6" ht="39.6" x14ac:dyDescent="0.25">
      <c r="A16" s="30" t="s">
        <v>761</v>
      </c>
      <c r="B16" s="30" t="s">
        <v>762</v>
      </c>
      <c r="C16" s="31" t="s">
        <v>68</v>
      </c>
      <c r="D16" s="30" t="s">
        <v>716</v>
      </c>
      <c r="E16" s="52" t="s">
        <v>1120</v>
      </c>
      <c r="F16" s="76" t="s">
        <v>1184</v>
      </c>
    </row>
    <row r="17" spans="1:6" ht="39.6" x14ac:dyDescent="0.25">
      <c r="A17" s="30" t="s">
        <v>763</v>
      </c>
      <c r="B17" s="30" t="s">
        <v>764</v>
      </c>
      <c r="C17" s="31" t="s">
        <v>68</v>
      </c>
      <c r="D17" s="30" t="s">
        <v>716</v>
      </c>
      <c r="E17" s="52" t="s">
        <v>1120</v>
      </c>
      <c r="F17" s="76" t="s">
        <v>1184</v>
      </c>
    </row>
    <row r="18" spans="1:6" ht="26.4" x14ac:dyDescent="0.25">
      <c r="A18" s="30"/>
      <c r="B18" s="56" t="s">
        <v>765</v>
      </c>
      <c r="C18" s="31"/>
      <c r="D18" s="30"/>
      <c r="E18" s="29"/>
      <c r="F18" s="78"/>
    </row>
    <row r="19" spans="1:6" ht="26.4" x14ac:dyDescent="0.25">
      <c r="A19" s="30" t="s">
        <v>766</v>
      </c>
      <c r="B19" s="30" t="s">
        <v>767</v>
      </c>
      <c r="C19" s="31" t="s">
        <v>68</v>
      </c>
      <c r="D19" s="198" t="s">
        <v>716</v>
      </c>
      <c r="E19" s="52" t="s">
        <v>1120</v>
      </c>
      <c r="F19" s="76" t="s">
        <v>1184</v>
      </c>
    </row>
    <row r="20" spans="1:6" ht="39.6" x14ac:dyDescent="0.25">
      <c r="A20" s="30" t="s">
        <v>768</v>
      </c>
      <c r="B20" s="30" t="s">
        <v>769</v>
      </c>
      <c r="C20" s="31" t="s">
        <v>68</v>
      </c>
      <c r="D20" s="198" t="s">
        <v>716</v>
      </c>
      <c r="E20" s="52" t="s">
        <v>1120</v>
      </c>
      <c r="F20" s="76" t="s">
        <v>1184</v>
      </c>
    </row>
    <row r="21" spans="1:6" ht="39.6" x14ac:dyDescent="0.25">
      <c r="A21" s="30" t="s">
        <v>770</v>
      </c>
      <c r="B21" s="30" t="s">
        <v>771</v>
      </c>
      <c r="C21" s="31" t="s">
        <v>68</v>
      </c>
      <c r="D21" s="198" t="s">
        <v>716</v>
      </c>
      <c r="E21" s="52" t="s">
        <v>1120</v>
      </c>
      <c r="F21" s="76" t="s">
        <v>1184</v>
      </c>
    </row>
    <row r="22" spans="1:6" ht="39.6" x14ac:dyDescent="0.25">
      <c r="A22" s="30" t="s">
        <v>772</v>
      </c>
      <c r="B22" s="30" t="s">
        <v>773</v>
      </c>
      <c r="C22" s="31" t="s">
        <v>68</v>
      </c>
      <c r="D22" s="30" t="s">
        <v>716</v>
      </c>
      <c r="E22" s="52" t="s">
        <v>1120</v>
      </c>
      <c r="F22" s="76" t="s">
        <v>1184</v>
      </c>
    </row>
    <row r="23" spans="1:6" ht="24.75" customHeight="1" x14ac:dyDescent="0.25">
      <c r="A23" s="30" t="s">
        <v>774</v>
      </c>
      <c r="B23" s="30" t="s">
        <v>775</v>
      </c>
      <c r="C23" s="31" t="s">
        <v>68</v>
      </c>
      <c r="D23" s="30" t="s">
        <v>716</v>
      </c>
      <c r="E23" s="52" t="s">
        <v>1120</v>
      </c>
      <c r="F23" s="76" t="s">
        <v>1184</v>
      </c>
    </row>
    <row r="24" spans="1:6" ht="52.8" x14ac:dyDescent="0.25">
      <c r="A24" s="30" t="s">
        <v>776</v>
      </c>
      <c r="B24" s="30" t="s">
        <v>777</v>
      </c>
      <c r="C24" s="31" t="s">
        <v>68</v>
      </c>
      <c r="D24" s="30" t="s">
        <v>716</v>
      </c>
      <c r="E24" s="52" t="s">
        <v>1120</v>
      </c>
      <c r="F24" s="76" t="s">
        <v>1184</v>
      </c>
    </row>
    <row r="25" spans="1:6" ht="26.4" x14ac:dyDescent="0.25">
      <c r="A25" s="30" t="s">
        <v>778</v>
      </c>
      <c r="B25" s="30" t="s">
        <v>779</v>
      </c>
      <c r="C25" s="31" t="s">
        <v>157</v>
      </c>
      <c r="D25" s="30" t="s">
        <v>716</v>
      </c>
      <c r="E25" s="52" t="s">
        <v>1120</v>
      </c>
      <c r="F25" s="76" t="s">
        <v>1184</v>
      </c>
    </row>
    <row r="26" spans="1:6" ht="39.6" x14ac:dyDescent="0.25">
      <c r="A26" s="30" t="s">
        <v>780</v>
      </c>
      <c r="B26" s="30" t="s">
        <v>781</v>
      </c>
      <c r="C26" s="31" t="s">
        <v>68</v>
      </c>
      <c r="D26" s="30" t="s">
        <v>716</v>
      </c>
      <c r="E26" s="52" t="s">
        <v>1120</v>
      </c>
      <c r="F26" s="76" t="s">
        <v>1184</v>
      </c>
    </row>
    <row r="27" spans="1:6" ht="39.6" x14ac:dyDescent="0.25">
      <c r="A27" s="30" t="s">
        <v>782</v>
      </c>
      <c r="B27" s="30" t="s">
        <v>783</v>
      </c>
      <c r="C27" s="31" t="s">
        <v>68</v>
      </c>
      <c r="D27" s="30" t="s">
        <v>716</v>
      </c>
      <c r="E27" s="52" t="s">
        <v>1120</v>
      </c>
      <c r="F27" s="101" t="s">
        <v>1184</v>
      </c>
    </row>
    <row r="28" spans="1:6" ht="26.4" x14ac:dyDescent="0.25">
      <c r="A28" s="30" t="s">
        <v>784</v>
      </c>
      <c r="B28" s="30" t="s">
        <v>785</v>
      </c>
      <c r="C28" s="31" t="s">
        <v>11</v>
      </c>
      <c r="D28" s="30" t="s">
        <v>716</v>
      </c>
      <c r="E28" s="52" t="s">
        <v>1120</v>
      </c>
      <c r="F28" s="76" t="s">
        <v>1184</v>
      </c>
    </row>
    <row r="29" spans="1:6" ht="26.4" x14ac:dyDescent="0.25">
      <c r="A29" s="30" t="s">
        <v>786</v>
      </c>
      <c r="B29" s="30" t="s">
        <v>787</v>
      </c>
      <c r="C29" s="31" t="s">
        <v>68</v>
      </c>
      <c r="D29" s="30" t="s">
        <v>716</v>
      </c>
      <c r="E29" s="52" t="s">
        <v>1120</v>
      </c>
      <c r="F29" s="76" t="s">
        <v>1184</v>
      </c>
    </row>
    <row r="30" spans="1:6" ht="26.4" x14ac:dyDescent="0.25">
      <c r="A30" s="30" t="s">
        <v>788</v>
      </c>
      <c r="B30" s="30" t="s">
        <v>789</v>
      </c>
      <c r="C30" s="31" t="s">
        <v>68</v>
      </c>
      <c r="D30" s="30" t="s">
        <v>716</v>
      </c>
      <c r="E30" s="52" t="s">
        <v>1120</v>
      </c>
      <c r="F30" s="76" t="s">
        <v>1184</v>
      </c>
    </row>
    <row r="31" spans="1:6" ht="39.6" x14ac:dyDescent="0.25">
      <c r="A31" s="30" t="s">
        <v>790</v>
      </c>
      <c r="B31" s="30" t="s">
        <v>791</v>
      </c>
      <c r="C31" s="31" t="s">
        <v>207</v>
      </c>
      <c r="D31" s="30" t="s">
        <v>716</v>
      </c>
      <c r="E31" s="52" t="s">
        <v>1120</v>
      </c>
      <c r="F31" s="76" t="s">
        <v>1184</v>
      </c>
    </row>
    <row r="32" spans="1:6" ht="26.4" x14ac:dyDescent="0.25">
      <c r="A32" s="30"/>
      <c r="B32" s="56" t="s">
        <v>792</v>
      </c>
      <c r="C32" s="31"/>
      <c r="D32" s="73"/>
      <c r="E32" s="29"/>
      <c r="F32" s="78"/>
    </row>
    <row r="33" spans="1:6" ht="26.4" x14ac:dyDescent="0.25">
      <c r="A33" s="30" t="s">
        <v>793</v>
      </c>
      <c r="B33" s="30" t="s">
        <v>794</v>
      </c>
      <c r="C33" s="31" t="s">
        <v>68</v>
      </c>
      <c r="D33" s="30" t="s">
        <v>716</v>
      </c>
      <c r="E33" s="52" t="s">
        <v>1120</v>
      </c>
      <c r="F33" s="76" t="s">
        <v>1184</v>
      </c>
    </row>
    <row r="34" spans="1:6" ht="26.4" x14ac:dyDescent="0.25">
      <c r="A34" s="30" t="s">
        <v>795</v>
      </c>
      <c r="B34" s="30" t="s">
        <v>796</v>
      </c>
      <c r="C34" s="31" t="s">
        <v>68</v>
      </c>
      <c r="D34" s="30" t="s">
        <v>716</v>
      </c>
      <c r="E34" s="52" t="s">
        <v>1120</v>
      </c>
      <c r="F34" s="76" t="s">
        <v>1184</v>
      </c>
    </row>
    <row r="35" spans="1:6" ht="52.8" x14ac:dyDescent="0.25">
      <c r="A35" s="30" t="s">
        <v>797</v>
      </c>
      <c r="B35" s="30" t="s">
        <v>798</v>
      </c>
      <c r="C35" s="31" t="s">
        <v>68</v>
      </c>
      <c r="D35" s="30" t="s">
        <v>716</v>
      </c>
      <c r="E35" s="52" t="s">
        <v>1120</v>
      </c>
      <c r="F35" s="76" t="s">
        <v>1184</v>
      </c>
    </row>
    <row r="36" spans="1:6" ht="52.8" x14ac:dyDescent="0.25">
      <c r="A36" s="30" t="s">
        <v>799</v>
      </c>
      <c r="B36" s="30" t="s">
        <v>800</v>
      </c>
      <c r="C36" s="31" t="s">
        <v>68</v>
      </c>
      <c r="D36" s="30" t="s">
        <v>716</v>
      </c>
      <c r="E36" s="52" t="s">
        <v>1120</v>
      </c>
      <c r="F36" s="76" t="s">
        <v>1184</v>
      </c>
    </row>
    <row r="37" spans="1:6" ht="12.75" customHeight="1" x14ac:dyDescent="0.25">
      <c r="A37" s="186"/>
      <c r="B37" s="186" t="s">
        <v>801</v>
      </c>
      <c r="C37" s="187"/>
      <c r="D37" s="187"/>
      <c r="E37" s="188"/>
      <c r="F37" s="84"/>
    </row>
  </sheetData>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&amp;C&amp;A&amp;RPage &amp;P&amp;LJob Number 5163809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7:H133"/>
  <sheetViews>
    <sheetView topLeftCell="A117" zoomScaleNormal="100" zoomScaleSheetLayoutView="100" zoomScalePageLayoutView="60" workbookViewId="0">
      <selection activeCell="D129" sqref="D129"/>
    </sheetView>
  </sheetViews>
  <sheetFormatPr defaultRowHeight="13.2" x14ac:dyDescent="0.25"/>
  <cols>
    <col min="2" max="2" width="35.77734375" customWidth="1"/>
    <col min="3" max="3" width="9.5546875" style="1" customWidth="1"/>
    <col min="4" max="4" width="11.44140625" style="1" customWidth="1"/>
    <col min="5" max="5" width="11.44140625" style="92" customWidth="1"/>
    <col min="6" max="6" width="11.44140625" style="64" customWidth="1"/>
  </cols>
  <sheetData>
    <row r="7" spans="1:8" x14ac:dyDescent="0.25">
      <c r="A7" s="5" t="s">
        <v>0</v>
      </c>
      <c r="B7" s="5" t="s">
        <v>1</v>
      </c>
      <c r="C7" s="5" t="s">
        <v>2</v>
      </c>
      <c r="D7" s="5" t="s">
        <v>3</v>
      </c>
      <c r="E7" s="93" t="s">
        <v>4</v>
      </c>
      <c r="F7" s="61" t="s">
        <v>5</v>
      </c>
    </row>
    <row r="8" spans="1:8" x14ac:dyDescent="0.25">
      <c r="A8" s="7"/>
      <c r="B8" s="7"/>
      <c r="C8" s="8"/>
      <c r="D8" s="8"/>
      <c r="E8" s="94" t="s">
        <v>6</v>
      </c>
      <c r="F8" s="62" t="s">
        <v>6</v>
      </c>
    </row>
    <row r="9" spans="1:8" x14ac:dyDescent="0.25">
      <c r="A9" s="9" t="s">
        <v>802</v>
      </c>
      <c r="B9" s="9" t="s">
        <v>803</v>
      </c>
      <c r="C9" s="12"/>
      <c r="D9" s="12"/>
      <c r="E9" s="95"/>
      <c r="F9" s="63"/>
    </row>
    <row r="10" spans="1:8" x14ac:dyDescent="0.25">
      <c r="A10" s="10" t="s">
        <v>804</v>
      </c>
      <c r="B10" s="11" t="s">
        <v>805</v>
      </c>
      <c r="C10" s="29"/>
      <c r="D10" s="29"/>
      <c r="E10" s="96"/>
      <c r="F10" s="76"/>
    </row>
    <row r="11" spans="1:8" ht="14.4" x14ac:dyDescent="0.25">
      <c r="A11" s="32" t="s">
        <v>806</v>
      </c>
      <c r="B11" s="32" t="s">
        <v>807</v>
      </c>
      <c r="C11" s="52" t="s">
        <v>68</v>
      </c>
      <c r="D11" s="178">
        <f>'Section E'!D12</f>
        <v>0</v>
      </c>
      <c r="E11" s="167"/>
      <c r="F11" s="164"/>
      <c r="H11" t="s">
        <v>1252</v>
      </c>
    </row>
    <row r="12" spans="1:8" ht="26.4" x14ac:dyDescent="0.25">
      <c r="A12" s="32" t="s">
        <v>808</v>
      </c>
      <c r="B12" s="32" t="s">
        <v>809</v>
      </c>
      <c r="C12" s="52" t="s">
        <v>68</v>
      </c>
      <c r="D12" s="178">
        <f>0.5*(D11)</f>
        <v>0</v>
      </c>
      <c r="E12" s="167"/>
      <c r="F12" s="164"/>
      <c r="H12" t="s">
        <v>1253</v>
      </c>
    </row>
    <row r="13" spans="1:8" ht="26.4" x14ac:dyDescent="0.25">
      <c r="A13" s="32" t="s">
        <v>810</v>
      </c>
      <c r="B13" s="32" t="s">
        <v>811</v>
      </c>
      <c r="C13" s="52" t="s">
        <v>68</v>
      </c>
      <c r="D13" s="52" t="s">
        <v>716</v>
      </c>
      <c r="E13" s="167" t="s">
        <v>1120</v>
      </c>
      <c r="F13" s="164" t="s">
        <v>1184</v>
      </c>
    </row>
    <row r="14" spans="1:8" ht="26.4" x14ac:dyDescent="0.25">
      <c r="A14" s="32" t="s">
        <v>812</v>
      </c>
      <c r="B14" s="32" t="s">
        <v>813</v>
      </c>
      <c r="C14" s="52" t="s">
        <v>68</v>
      </c>
      <c r="D14" s="52" t="s">
        <v>716</v>
      </c>
      <c r="E14" s="167" t="s">
        <v>1120</v>
      </c>
      <c r="F14" s="164" t="s">
        <v>1184</v>
      </c>
    </row>
    <row r="15" spans="1:8" ht="26.4" x14ac:dyDescent="0.25">
      <c r="A15" s="32" t="s">
        <v>814</v>
      </c>
      <c r="B15" s="32" t="s">
        <v>815</v>
      </c>
      <c r="C15" s="52" t="s">
        <v>68</v>
      </c>
      <c r="D15" s="52" t="s">
        <v>716</v>
      </c>
      <c r="E15" s="167" t="s">
        <v>1120</v>
      </c>
      <c r="F15" s="164" t="s">
        <v>1184</v>
      </c>
    </row>
    <row r="16" spans="1:8" ht="26.4" x14ac:dyDescent="0.25">
      <c r="A16" s="32" t="s">
        <v>816</v>
      </c>
      <c r="B16" s="32" t="s">
        <v>817</v>
      </c>
      <c r="C16" s="52" t="s">
        <v>68</v>
      </c>
      <c r="D16" s="52" t="s">
        <v>716</v>
      </c>
      <c r="E16" s="167" t="s">
        <v>1120</v>
      </c>
      <c r="F16" s="164" t="s">
        <v>1184</v>
      </c>
    </row>
    <row r="17" spans="1:8" ht="26.4" x14ac:dyDescent="0.25">
      <c r="A17" s="32" t="s">
        <v>818</v>
      </c>
      <c r="B17" s="32" t="s">
        <v>819</v>
      </c>
      <c r="C17" s="52" t="s">
        <v>68</v>
      </c>
      <c r="D17" s="52" t="s">
        <v>716</v>
      </c>
      <c r="E17" s="167" t="s">
        <v>1120</v>
      </c>
      <c r="F17" s="164" t="s">
        <v>1184</v>
      </c>
    </row>
    <row r="18" spans="1:8" ht="26.4" x14ac:dyDescent="0.25">
      <c r="A18" s="32" t="s">
        <v>820</v>
      </c>
      <c r="B18" s="32" t="s">
        <v>821</v>
      </c>
      <c r="C18" s="52" t="s">
        <v>68</v>
      </c>
      <c r="D18" s="52" t="s">
        <v>716</v>
      </c>
      <c r="E18" s="167" t="s">
        <v>1120</v>
      </c>
      <c r="F18" s="164" t="s">
        <v>1184</v>
      </c>
    </row>
    <row r="19" spans="1:8" ht="14.4" x14ac:dyDescent="0.25">
      <c r="A19" s="32" t="s">
        <v>822</v>
      </c>
      <c r="B19" s="32" t="s">
        <v>823</v>
      </c>
      <c r="C19" s="52" t="s">
        <v>68</v>
      </c>
      <c r="D19" s="178">
        <f>0.25*(D11)</f>
        <v>0</v>
      </c>
      <c r="E19" s="167"/>
      <c r="F19" s="164"/>
      <c r="H19" t="s">
        <v>1253</v>
      </c>
    </row>
    <row r="20" spans="1:8" ht="26.4" x14ac:dyDescent="0.25">
      <c r="A20" s="32" t="s">
        <v>824</v>
      </c>
      <c r="B20" s="32" t="s">
        <v>825</v>
      </c>
      <c r="C20" s="52" t="s">
        <v>68</v>
      </c>
      <c r="D20" s="52" t="s">
        <v>716</v>
      </c>
      <c r="E20" s="167" t="s">
        <v>1120</v>
      </c>
      <c r="F20" s="164" t="s">
        <v>1184</v>
      </c>
    </row>
    <row r="21" spans="1:8" ht="26.4" x14ac:dyDescent="0.25">
      <c r="A21" s="32" t="s">
        <v>826</v>
      </c>
      <c r="B21" s="32" t="s">
        <v>827</v>
      </c>
      <c r="C21" s="52" t="s">
        <v>68</v>
      </c>
      <c r="D21" s="52" t="s">
        <v>716</v>
      </c>
      <c r="E21" s="167" t="s">
        <v>1120</v>
      </c>
      <c r="F21" s="164" t="s">
        <v>1184</v>
      </c>
    </row>
    <row r="22" spans="1:8" ht="14.4" x14ac:dyDescent="0.25">
      <c r="A22" s="32" t="s">
        <v>828</v>
      </c>
      <c r="B22" s="32" t="s">
        <v>829</v>
      </c>
      <c r="C22" s="52" t="s">
        <v>68</v>
      </c>
      <c r="D22" s="178">
        <f>0.25*(D11)</f>
        <v>0</v>
      </c>
      <c r="E22" s="167"/>
      <c r="F22" s="164"/>
      <c r="H22" t="s">
        <v>1253</v>
      </c>
    </row>
    <row r="23" spans="1:8" x14ac:dyDescent="0.25">
      <c r="A23" s="32" t="s">
        <v>830</v>
      </c>
      <c r="B23" s="11" t="s">
        <v>1199</v>
      </c>
      <c r="C23" s="52"/>
      <c r="D23" s="52"/>
      <c r="E23" s="167"/>
      <c r="F23" s="164"/>
    </row>
    <row r="24" spans="1:8" ht="14.4" x14ac:dyDescent="0.25">
      <c r="A24" s="32" t="s">
        <v>831</v>
      </c>
      <c r="B24" s="32" t="s">
        <v>832</v>
      </c>
      <c r="C24" s="52" t="s">
        <v>68</v>
      </c>
      <c r="D24" s="192"/>
      <c r="E24" s="167"/>
      <c r="F24" s="164"/>
    </row>
    <row r="25" spans="1:8" ht="26.4" x14ac:dyDescent="0.25">
      <c r="A25" s="32" t="s">
        <v>833</v>
      </c>
      <c r="B25" s="32" t="s">
        <v>834</v>
      </c>
      <c r="C25" s="52" t="s">
        <v>68</v>
      </c>
      <c r="D25" s="52" t="s">
        <v>716</v>
      </c>
      <c r="E25" s="167" t="s">
        <v>1120</v>
      </c>
      <c r="F25" s="164" t="s">
        <v>1184</v>
      </c>
    </row>
    <row r="26" spans="1:8" ht="14.4" x14ac:dyDescent="0.25">
      <c r="A26" s="32" t="s">
        <v>835</v>
      </c>
      <c r="B26" s="32" t="s">
        <v>836</v>
      </c>
      <c r="C26" s="52" t="s">
        <v>68</v>
      </c>
      <c r="D26" s="192"/>
      <c r="E26" s="167"/>
      <c r="F26" s="164" t="s">
        <v>1184</v>
      </c>
    </row>
    <row r="27" spans="1:8" ht="14.4" x14ac:dyDescent="0.25">
      <c r="A27" s="32" t="s">
        <v>837</v>
      </c>
      <c r="B27" s="32" t="s">
        <v>838</v>
      </c>
      <c r="C27" s="52" t="s">
        <v>68</v>
      </c>
      <c r="D27" s="192"/>
      <c r="E27" s="167"/>
      <c r="F27" s="166"/>
    </row>
    <row r="28" spans="1:8" ht="14.4" x14ac:dyDescent="0.25">
      <c r="A28" s="32" t="s">
        <v>839</v>
      </c>
      <c r="B28" s="32" t="s">
        <v>840</v>
      </c>
      <c r="C28" s="52" t="s">
        <v>68</v>
      </c>
      <c r="D28" s="192"/>
      <c r="E28" s="167"/>
      <c r="F28" s="164"/>
    </row>
    <row r="29" spans="1:8" ht="26.4" x14ac:dyDescent="0.25">
      <c r="A29" s="32" t="s">
        <v>841</v>
      </c>
      <c r="B29" s="32" t="s">
        <v>842</v>
      </c>
      <c r="C29" s="52" t="s">
        <v>68</v>
      </c>
      <c r="D29" s="52" t="s">
        <v>716</v>
      </c>
      <c r="E29" s="167" t="s">
        <v>1120</v>
      </c>
      <c r="F29" s="164" t="s">
        <v>1184</v>
      </c>
    </row>
    <row r="30" spans="1:8" ht="26.4" x14ac:dyDescent="0.25">
      <c r="A30" s="32" t="s">
        <v>843</v>
      </c>
      <c r="B30" s="32" t="s">
        <v>844</v>
      </c>
      <c r="C30" s="52" t="s">
        <v>68</v>
      </c>
      <c r="D30" s="52" t="s">
        <v>716</v>
      </c>
      <c r="E30" s="167" t="s">
        <v>1120</v>
      </c>
      <c r="F30" s="164" t="s">
        <v>1184</v>
      </c>
    </row>
    <row r="31" spans="1:8" ht="14.4" x14ac:dyDescent="0.25">
      <c r="A31" s="32" t="s">
        <v>845</v>
      </c>
      <c r="B31" s="32" t="s">
        <v>846</v>
      </c>
      <c r="C31" s="52" t="s">
        <v>68</v>
      </c>
      <c r="D31" s="192"/>
      <c r="E31" s="167"/>
      <c r="F31" s="164"/>
    </row>
    <row r="32" spans="1:8" ht="13.05" customHeight="1" x14ac:dyDescent="0.25">
      <c r="A32" s="32" t="s">
        <v>847</v>
      </c>
      <c r="B32" s="32" t="s">
        <v>848</v>
      </c>
      <c r="C32" s="52" t="s">
        <v>68</v>
      </c>
      <c r="D32" s="52" t="s">
        <v>716</v>
      </c>
      <c r="E32" s="167" t="s">
        <v>1120</v>
      </c>
      <c r="F32" s="164" t="s">
        <v>1184</v>
      </c>
    </row>
    <row r="33" spans="1:6" ht="26.4" x14ac:dyDescent="0.25">
      <c r="A33" s="32" t="s">
        <v>849</v>
      </c>
      <c r="B33" s="32" t="s">
        <v>850</v>
      </c>
      <c r="C33" s="52" t="s">
        <v>68</v>
      </c>
      <c r="D33" s="52" t="s">
        <v>716</v>
      </c>
      <c r="E33" s="167" t="s">
        <v>1120</v>
      </c>
      <c r="F33" s="164" t="s">
        <v>1184</v>
      </c>
    </row>
    <row r="34" spans="1:6" ht="26.4" x14ac:dyDescent="0.25">
      <c r="A34" s="32" t="s">
        <v>851</v>
      </c>
      <c r="B34" s="32" t="s">
        <v>852</v>
      </c>
      <c r="C34" s="52" t="s">
        <v>68</v>
      </c>
      <c r="D34" s="52" t="s">
        <v>716</v>
      </c>
      <c r="E34" s="167" t="s">
        <v>1120</v>
      </c>
      <c r="F34" s="164" t="s">
        <v>1184</v>
      </c>
    </row>
    <row r="35" spans="1:6" ht="14.4" x14ac:dyDescent="0.25">
      <c r="A35" s="32" t="s">
        <v>853</v>
      </c>
      <c r="B35" s="32" t="s">
        <v>854</v>
      </c>
      <c r="C35" s="52" t="s">
        <v>68</v>
      </c>
      <c r="D35" s="192"/>
      <c r="E35" s="167"/>
      <c r="F35" s="164"/>
    </row>
    <row r="36" spans="1:6" ht="26.4" x14ac:dyDescent="0.25">
      <c r="A36" s="32" t="s">
        <v>855</v>
      </c>
      <c r="B36" s="32" t="s">
        <v>856</v>
      </c>
      <c r="C36" s="52" t="s">
        <v>68</v>
      </c>
      <c r="D36" s="52" t="s">
        <v>716</v>
      </c>
      <c r="E36" s="167" t="s">
        <v>1120</v>
      </c>
      <c r="F36" s="164" t="s">
        <v>1184</v>
      </c>
    </row>
    <row r="37" spans="1:6" ht="26.4" x14ac:dyDescent="0.25">
      <c r="A37" s="32" t="s">
        <v>857</v>
      </c>
      <c r="B37" s="32" t="s">
        <v>858</v>
      </c>
      <c r="C37" s="52" t="s">
        <v>68</v>
      </c>
      <c r="D37" s="52" t="s">
        <v>716</v>
      </c>
      <c r="E37" s="167" t="s">
        <v>1120</v>
      </c>
      <c r="F37" s="164" t="s">
        <v>1184</v>
      </c>
    </row>
    <row r="38" spans="1:6" x14ac:dyDescent="0.25">
      <c r="A38" s="32" t="s">
        <v>859</v>
      </c>
      <c r="B38" s="11" t="s">
        <v>860</v>
      </c>
      <c r="C38" s="52"/>
      <c r="D38" s="52"/>
      <c r="E38" s="167"/>
      <c r="F38" s="164"/>
    </row>
    <row r="39" spans="1:6" ht="26.4" x14ac:dyDescent="0.25">
      <c r="A39" s="32" t="s">
        <v>861</v>
      </c>
      <c r="B39" s="32" t="s">
        <v>862</v>
      </c>
      <c r="C39" s="52" t="s">
        <v>68</v>
      </c>
      <c r="D39" s="192"/>
      <c r="E39" s="167"/>
      <c r="F39" s="164"/>
    </row>
    <row r="40" spans="1:6" ht="26.4" x14ac:dyDescent="0.25">
      <c r="A40" s="32" t="s">
        <v>863</v>
      </c>
      <c r="B40" s="32" t="s">
        <v>864</v>
      </c>
      <c r="C40" s="52" t="s">
        <v>68</v>
      </c>
      <c r="D40" s="52" t="s">
        <v>716</v>
      </c>
      <c r="E40" s="167" t="s">
        <v>1120</v>
      </c>
      <c r="F40" s="164" t="s">
        <v>1184</v>
      </c>
    </row>
    <row r="41" spans="1:6" ht="26.4" x14ac:dyDescent="0.25">
      <c r="A41" s="32" t="s">
        <v>865</v>
      </c>
      <c r="B41" s="32" t="s">
        <v>866</v>
      </c>
      <c r="C41" s="52" t="s">
        <v>68</v>
      </c>
      <c r="D41" s="192"/>
      <c r="E41" s="167"/>
      <c r="F41" s="164"/>
    </row>
    <row r="42" spans="1:6" ht="26.4" x14ac:dyDescent="0.25">
      <c r="A42" s="32" t="s">
        <v>867</v>
      </c>
      <c r="B42" s="32" t="s">
        <v>868</v>
      </c>
      <c r="C42" s="52" t="s">
        <v>68</v>
      </c>
      <c r="D42" s="52" t="s">
        <v>716</v>
      </c>
      <c r="E42" s="167" t="s">
        <v>1120</v>
      </c>
      <c r="F42" s="164" t="s">
        <v>1184</v>
      </c>
    </row>
    <row r="43" spans="1:6" ht="26.4" x14ac:dyDescent="0.25">
      <c r="A43" s="32" t="s">
        <v>869</v>
      </c>
      <c r="B43" s="32" t="s">
        <v>870</v>
      </c>
      <c r="C43" s="52" t="s">
        <v>68</v>
      </c>
      <c r="D43" s="192"/>
      <c r="E43" s="167"/>
      <c r="F43" s="164"/>
    </row>
    <row r="44" spans="1:6" ht="26.4" x14ac:dyDescent="0.25">
      <c r="A44" s="32" t="s">
        <v>871</v>
      </c>
      <c r="B44" s="32" t="s">
        <v>872</v>
      </c>
      <c r="C44" s="52" t="s">
        <v>68</v>
      </c>
      <c r="D44" s="192"/>
      <c r="E44" s="167"/>
      <c r="F44" s="164"/>
    </row>
    <row r="45" spans="1:6" ht="26.4" x14ac:dyDescent="0.25">
      <c r="A45" s="32" t="s">
        <v>873</v>
      </c>
      <c r="B45" s="32" t="s">
        <v>874</v>
      </c>
      <c r="C45" s="52" t="s">
        <v>68</v>
      </c>
      <c r="D45" s="52" t="s">
        <v>716</v>
      </c>
      <c r="E45" s="167" t="s">
        <v>1120</v>
      </c>
      <c r="F45" s="164" t="s">
        <v>1184</v>
      </c>
    </row>
    <row r="46" spans="1:6" ht="26.4" x14ac:dyDescent="0.25">
      <c r="A46" s="32" t="s">
        <v>875</v>
      </c>
      <c r="B46" s="32" t="s">
        <v>876</v>
      </c>
      <c r="C46" s="52" t="s">
        <v>68</v>
      </c>
      <c r="D46" s="52" t="s">
        <v>716</v>
      </c>
      <c r="E46" s="167" t="s">
        <v>1120</v>
      </c>
      <c r="F46" s="164" t="s">
        <v>1184</v>
      </c>
    </row>
    <row r="47" spans="1:6" ht="26.4" x14ac:dyDescent="0.25">
      <c r="A47" s="32" t="s">
        <v>877</v>
      </c>
      <c r="B47" s="32" t="s">
        <v>878</v>
      </c>
      <c r="C47" s="52" t="s">
        <v>68</v>
      </c>
      <c r="D47" s="177"/>
      <c r="E47"/>
      <c r="F47" s="164"/>
    </row>
    <row r="48" spans="1:6" ht="26.4" x14ac:dyDescent="0.25">
      <c r="A48" s="32" t="s">
        <v>879</v>
      </c>
      <c r="B48" s="32" t="s">
        <v>880</v>
      </c>
      <c r="C48" s="52" t="s">
        <v>207</v>
      </c>
      <c r="D48" s="52" t="s">
        <v>716</v>
      </c>
      <c r="E48" s="167" t="s">
        <v>1120</v>
      </c>
      <c r="F48" s="164" t="s">
        <v>1184</v>
      </c>
    </row>
    <row r="49" spans="1:6" ht="26.4" x14ac:dyDescent="0.25">
      <c r="A49" s="32" t="s">
        <v>881</v>
      </c>
      <c r="B49" s="11" t="s">
        <v>1200</v>
      </c>
      <c r="C49" s="52"/>
      <c r="D49" s="52"/>
      <c r="E49" s="167"/>
      <c r="F49" s="169"/>
    </row>
    <row r="50" spans="1:6" ht="26.4" x14ac:dyDescent="0.3">
      <c r="A50" s="32" t="s">
        <v>882</v>
      </c>
      <c r="B50" s="32" t="s">
        <v>883</v>
      </c>
      <c r="C50" s="52" t="s">
        <v>68</v>
      </c>
      <c r="D50" s="193"/>
      <c r="E50" s="167"/>
      <c r="F50" s="164"/>
    </row>
    <row r="51" spans="1:6" ht="26.4" x14ac:dyDescent="0.25">
      <c r="A51" s="32" t="s">
        <v>884</v>
      </c>
      <c r="B51" s="32" t="s">
        <v>885</v>
      </c>
      <c r="C51" s="52" t="s">
        <v>207</v>
      </c>
      <c r="D51" s="177"/>
      <c r="E51"/>
      <c r="F51" s="164"/>
    </row>
    <row r="52" spans="1:6" ht="26.4" x14ac:dyDescent="0.25">
      <c r="A52" s="32" t="s">
        <v>886</v>
      </c>
      <c r="B52" s="32" t="s">
        <v>887</v>
      </c>
      <c r="C52" s="52" t="s">
        <v>68</v>
      </c>
      <c r="D52" s="52" t="s">
        <v>716</v>
      </c>
      <c r="E52" s="167" t="s">
        <v>1120</v>
      </c>
      <c r="F52" s="164" t="s">
        <v>1184</v>
      </c>
    </row>
    <row r="53" spans="1:6" ht="26.4" x14ac:dyDescent="0.25">
      <c r="A53" s="32" t="s">
        <v>888</v>
      </c>
      <c r="B53" s="32" t="s">
        <v>889</v>
      </c>
      <c r="C53" s="52" t="s">
        <v>68</v>
      </c>
      <c r="D53" s="52" t="s">
        <v>716</v>
      </c>
      <c r="E53" s="167" t="s">
        <v>1120</v>
      </c>
      <c r="F53" s="164" t="s">
        <v>1184</v>
      </c>
    </row>
    <row r="54" spans="1:6" ht="26.4" x14ac:dyDescent="0.25">
      <c r="A54" s="32" t="s">
        <v>890</v>
      </c>
      <c r="B54" s="32" t="s">
        <v>891</v>
      </c>
      <c r="C54" s="52" t="s">
        <v>68</v>
      </c>
      <c r="D54" s="52" t="s">
        <v>716</v>
      </c>
      <c r="E54" s="167" t="s">
        <v>1120</v>
      </c>
      <c r="F54" s="164" t="s">
        <v>1184</v>
      </c>
    </row>
    <row r="55" spans="1:6" ht="26.4" x14ac:dyDescent="0.25">
      <c r="A55" s="32" t="s">
        <v>892</v>
      </c>
      <c r="B55" s="32" t="s">
        <v>893</v>
      </c>
      <c r="C55" s="52" t="s">
        <v>207</v>
      </c>
      <c r="D55" s="52" t="s">
        <v>716</v>
      </c>
      <c r="E55" s="167" t="s">
        <v>1120</v>
      </c>
      <c r="F55" s="164" t="s">
        <v>1184</v>
      </c>
    </row>
    <row r="56" spans="1:6" ht="26.4" x14ac:dyDescent="0.25">
      <c r="A56" s="32" t="s">
        <v>894</v>
      </c>
      <c r="B56" s="32" t="s">
        <v>895</v>
      </c>
      <c r="C56" s="52" t="s">
        <v>68</v>
      </c>
      <c r="D56" s="52" t="s">
        <v>716</v>
      </c>
      <c r="E56" s="167" t="s">
        <v>1120</v>
      </c>
      <c r="F56" s="164" t="s">
        <v>1184</v>
      </c>
    </row>
    <row r="57" spans="1:6" ht="26.4" x14ac:dyDescent="0.25">
      <c r="A57" s="32" t="s">
        <v>896</v>
      </c>
      <c r="B57" s="32" t="s">
        <v>897</v>
      </c>
      <c r="C57" s="52" t="s">
        <v>68</v>
      </c>
      <c r="D57" s="52" t="s">
        <v>716</v>
      </c>
      <c r="E57" s="167" t="s">
        <v>1120</v>
      </c>
      <c r="F57" s="164" t="s">
        <v>1184</v>
      </c>
    </row>
    <row r="58" spans="1:6" ht="26.4" x14ac:dyDescent="0.25">
      <c r="A58" s="32" t="s">
        <v>898</v>
      </c>
      <c r="B58" s="32" t="s">
        <v>899</v>
      </c>
      <c r="C58" s="52" t="s">
        <v>68</v>
      </c>
      <c r="D58" s="52" t="s">
        <v>716</v>
      </c>
      <c r="E58" s="167" t="s">
        <v>1120</v>
      </c>
      <c r="F58" s="164" t="s">
        <v>1184</v>
      </c>
    </row>
    <row r="59" spans="1:6" ht="26.4" x14ac:dyDescent="0.25">
      <c r="A59" s="32" t="s">
        <v>900</v>
      </c>
      <c r="B59" s="32" t="s">
        <v>901</v>
      </c>
      <c r="C59" s="52" t="s">
        <v>68</v>
      </c>
      <c r="D59" s="52" t="s">
        <v>716</v>
      </c>
      <c r="E59" s="167" t="s">
        <v>1120</v>
      </c>
      <c r="F59" s="164" t="s">
        <v>1184</v>
      </c>
    </row>
    <row r="60" spans="1:6" ht="26.4" x14ac:dyDescent="0.25">
      <c r="A60" s="32" t="s">
        <v>902</v>
      </c>
      <c r="B60" s="32" t="s">
        <v>903</v>
      </c>
      <c r="C60" s="52" t="s">
        <v>68</v>
      </c>
      <c r="D60" s="52" t="s">
        <v>716</v>
      </c>
      <c r="E60" s="167" t="s">
        <v>1120</v>
      </c>
      <c r="F60" s="164" t="s">
        <v>1184</v>
      </c>
    </row>
    <row r="61" spans="1:6" ht="26.4" x14ac:dyDescent="0.25">
      <c r="A61" s="32" t="s">
        <v>904</v>
      </c>
      <c r="B61" s="32" t="s">
        <v>1183</v>
      </c>
      <c r="C61" s="52" t="s">
        <v>68</v>
      </c>
      <c r="D61" s="52" t="s">
        <v>716</v>
      </c>
      <c r="E61" s="167" t="s">
        <v>1120</v>
      </c>
      <c r="F61" s="164" t="s">
        <v>1184</v>
      </c>
    </row>
    <row r="62" spans="1:6" ht="39.6" x14ac:dyDescent="0.25">
      <c r="A62" s="32" t="s">
        <v>905</v>
      </c>
      <c r="B62" s="32" t="s">
        <v>906</v>
      </c>
      <c r="C62" s="52" t="s">
        <v>68</v>
      </c>
      <c r="D62" s="52" t="s">
        <v>716</v>
      </c>
      <c r="E62" s="167" t="s">
        <v>1120</v>
      </c>
      <c r="F62" s="164" t="s">
        <v>1184</v>
      </c>
    </row>
    <row r="63" spans="1:6" ht="26.4" x14ac:dyDescent="0.25">
      <c r="A63" s="32" t="s">
        <v>907</v>
      </c>
      <c r="B63" s="32" t="s">
        <v>908</v>
      </c>
      <c r="C63" s="52" t="s">
        <v>68</v>
      </c>
      <c r="D63" s="52" t="s">
        <v>716</v>
      </c>
      <c r="E63" s="167" t="s">
        <v>1120</v>
      </c>
      <c r="F63" s="164" t="s">
        <v>1184</v>
      </c>
    </row>
    <row r="64" spans="1:6" ht="26.4" x14ac:dyDescent="0.25">
      <c r="A64" s="32" t="s">
        <v>909</v>
      </c>
      <c r="B64" s="32" t="s">
        <v>910</v>
      </c>
      <c r="C64" s="52" t="s">
        <v>68</v>
      </c>
      <c r="D64" s="52" t="s">
        <v>716</v>
      </c>
      <c r="E64" s="167" t="s">
        <v>1120</v>
      </c>
      <c r="F64" s="164" t="s">
        <v>1184</v>
      </c>
    </row>
    <row r="65" spans="1:6" ht="26.4" x14ac:dyDescent="0.25">
      <c r="A65" s="32" t="s">
        <v>911</v>
      </c>
      <c r="B65" s="32" t="s">
        <v>912</v>
      </c>
      <c r="C65" s="52" t="s">
        <v>68</v>
      </c>
      <c r="D65" s="52" t="s">
        <v>716</v>
      </c>
      <c r="E65" s="167" t="s">
        <v>1120</v>
      </c>
      <c r="F65" s="164" t="s">
        <v>1184</v>
      </c>
    </row>
    <row r="66" spans="1:6" ht="26.4" x14ac:dyDescent="0.25">
      <c r="A66" s="32" t="s">
        <v>913</v>
      </c>
      <c r="B66" s="32" t="s">
        <v>914</v>
      </c>
      <c r="C66" s="52" t="s">
        <v>207</v>
      </c>
      <c r="D66" s="52" t="s">
        <v>716</v>
      </c>
      <c r="E66" s="167" t="s">
        <v>1120</v>
      </c>
      <c r="F66" s="164" t="s">
        <v>1184</v>
      </c>
    </row>
    <row r="67" spans="1:6" ht="39.6" x14ac:dyDescent="0.25">
      <c r="A67" s="32" t="s">
        <v>915</v>
      </c>
      <c r="B67" s="32" t="s">
        <v>916</v>
      </c>
      <c r="C67" s="52" t="s">
        <v>68</v>
      </c>
      <c r="D67" s="52" t="s">
        <v>716</v>
      </c>
      <c r="E67" s="167" t="s">
        <v>1120</v>
      </c>
      <c r="F67" s="164" t="s">
        <v>1184</v>
      </c>
    </row>
    <row r="68" spans="1:6" ht="26.4" x14ac:dyDescent="0.25">
      <c r="A68" s="32" t="s">
        <v>917</v>
      </c>
      <c r="B68" s="32" t="s">
        <v>918</v>
      </c>
      <c r="C68" s="52" t="s">
        <v>68</v>
      </c>
      <c r="D68" s="52" t="s">
        <v>716</v>
      </c>
      <c r="E68" s="167" t="s">
        <v>1120</v>
      </c>
      <c r="F68" s="164" t="s">
        <v>1184</v>
      </c>
    </row>
    <row r="69" spans="1:6" ht="26.4" x14ac:dyDescent="0.25">
      <c r="A69" s="32" t="s">
        <v>919</v>
      </c>
      <c r="B69" s="32" t="s">
        <v>920</v>
      </c>
      <c r="C69" s="52" t="s">
        <v>68</v>
      </c>
      <c r="D69" s="52" t="s">
        <v>716</v>
      </c>
      <c r="E69" s="167" t="s">
        <v>1120</v>
      </c>
      <c r="F69" s="164" t="s">
        <v>1184</v>
      </c>
    </row>
    <row r="70" spans="1:6" ht="26.4" x14ac:dyDescent="0.25">
      <c r="A70" s="32" t="s">
        <v>921</v>
      </c>
      <c r="B70" s="32" t="s">
        <v>922</v>
      </c>
      <c r="C70" s="52" t="s">
        <v>68</v>
      </c>
      <c r="D70" s="52" t="s">
        <v>716</v>
      </c>
      <c r="E70" s="167" t="s">
        <v>1120</v>
      </c>
      <c r="F70" s="164" t="s">
        <v>1184</v>
      </c>
    </row>
    <row r="71" spans="1:6" ht="26.4" x14ac:dyDescent="0.25">
      <c r="A71" s="32" t="s">
        <v>923</v>
      </c>
      <c r="B71" s="32" t="s">
        <v>924</v>
      </c>
      <c r="C71" s="52" t="s">
        <v>207</v>
      </c>
      <c r="D71" s="52" t="s">
        <v>716</v>
      </c>
      <c r="E71" s="167" t="s">
        <v>1120</v>
      </c>
      <c r="F71" s="164" t="s">
        <v>1184</v>
      </c>
    </row>
    <row r="72" spans="1:6" ht="26.4" x14ac:dyDescent="0.25">
      <c r="A72" s="32" t="s">
        <v>925</v>
      </c>
      <c r="B72" s="32" t="s">
        <v>926</v>
      </c>
      <c r="C72" s="52" t="s">
        <v>68</v>
      </c>
      <c r="D72" s="52" t="s">
        <v>716</v>
      </c>
      <c r="E72" s="167" t="s">
        <v>1120</v>
      </c>
      <c r="F72" s="164" t="s">
        <v>1184</v>
      </c>
    </row>
    <row r="73" spans="1:6" ht="26.4" x14ac:dyDescent="0.25">
      <c r="A73" s="32" t="s">
        <v>927</v>
      </c>
      <c r="B73" s="32" t="s">
        <v>928</v>
      </c>
      <c r="C73" s="52" t="s">
        <v>207</v>
      </c>
      <c r="D73" s="52" t="s">
        <v>716</v>
      </c>
      <c r="E73" s="167" t="s">
        <v>1120</v>
      </c>
      <c r="F73" s="164" t="s">
        <v>1184</v>
      </c>
    </row>
    <row r="74" spans="1:6" ht="26.4" x14ac:dyDescent="0.25">
      <c r="A74" s="32" t="s">
        <v>929</v>
      </c>
      <c r="B74" s="32" t="s">
        <v>930</v>
      </c>
      <c r="C74" s="52" t="s">
        <v>68</v>
      </c>
      <c r="D74" s="52" t="s">
        <v>716</v>
      </c>
      <c r="E74" s="167" t="s">
        <v>1120</v>
      </c>
      <c r="F74" s="164" t="s">
        <v>1184</v>
      </c>
    </row>
    <row r="75" spans="1:6" ht="26.4" x14ac:dyDescent="0.25">
      <c r="A75" s="32" t="s">
        <v>931</v>
      </c>
      <c r="B75" s="32" t="s">
        <v>932</v>
      </c>
      <c r="C75" s="52" t="s">
        <v>207</v>
      </c>
      <c r="D75" s="52" t="s">
        <v>716</v>
      </c>
      <c r="E75" s="167" t="s">
        <v>1120</v>
      </c>
      <c r="F75" s="164" t="s">
        <v>1184</v>
      </c>
    </row>
    <row r="76" spans="1:6" x14ac:dyDescent="0.25">
      <c r="A76" s="32" t="s">
        <v>933</v>
      </c>
      <c r="B76" s="11" t="s">
        <v>934</v>
      </c>
      <c r="C76" s="52"/>
      <c r="D76" s="52"/>
      <c r="E76" s="167"/>
      <c r="F76" s="164" t="s">
        <v>1184</v>
      </c>
    </row>
    <row r="77" spans="1:6" ht="26.4" x14ac:dyDescent="0.25">
      <c r="A77" s="32" t="s">
        <v>935</v>
      </c>
      <c r="B77" s="32" t="s">
        <v>936</v>
      </c>
      <c r="C77" s="52" t="s">
        <v>68</v>
      </c>
      <c r="D77" s="194"/>
      <c r="E77" s="167"/>
      <c r="F77" s="164" t="s">
        <v>1184</v>
      </c>
    </row>
    <row r="78" spans="1:6" ht="23.55" customHeight="1" x14ac:dyDescent="0.25">
      <c r="A78" s="32" t="s">
        <v>937</v>
      </c>
      <c r="B78" s="32" t="s">
        <v>938</v>
      </c>
      <c r="C78" s="52" t="s">
        <v>68</v>
      </c>
      <c r="D78" s="195"/>
      <c r="E78" s="3"/>
      <c r="F78" s="164" t="s">
        <v>1184</v>
      </c>
    </row>
    <row r="79" spans="1:6" ht="26.4" x14ac:dyDescent="0.25">
      <c r="A79" s="32" t="s">
        <v>939</v>
      </c>
      <c r="B79" s="32" t="s">
        <v>940</v>
      </c>
      <c r="C79" s="52" t="s">
        <v>68</v>
      </c>
      <c r="D79" s="195"/>
      <c r="E79" s="3"/>
      <c r="F79" s="164" t="s">
        <v>1184</v>
      </c>
    </row>
    <row r="80" spans="1:6" ht="52.05" customHeight="1" x14ac:dyDescent="0.25">
      <c r="A80" s="32" t="s">
        <v>941</v>
      </c>
      <c r="B80" s="32" t="s">
        <v>1201</v>
      </c>
      <c r="C80" s="52" t="s">
        <v>68</v>
      </c>
      <c r="D80" s="194"/>
      <c r="E80" s="3"/>
      <c r="F80" s="164" t="s">
        <v>1184</v>
      </c>
    </row>
    <row r="81" spans="1:6" ht="26.4" x14ac:dyDescent="0.25">
      <c r="A81" s="32" t="s">
        <v>942</v>
      </c>
      <c r="B81" s="32" t="s">
        <v>943</v>
      </c>
      <c r="C81" s="52" t="s">
        <v>944</v>
      </c>
      <c r="D81" s="195"/>
      <c r="E81" s="3"/>
      <c r="F81" s="164" t="s">
        <v>1184</v>
      </c>
    </row>
    <row r="82" spans="1:6" ht="39.6" x14ac:dyDescent="0.25">
      <c r="A82" s="32" t="s">
        <v>945</v>
      </c>
      <c r="B82" s="32" t="s">
        <v>1202</v>
      </c>
      <c r="C82" s="52" t="s">
        <v>68</v>
      </c>
      <c r="D82" s="194"/>
      <c r="E82" s="3"/>
      <c r="F82" s="164" t="s">
        <v>1184</v>
      </c>
    </row>
    <row r="83" spans="1:6" ht="26.4" x14ac:dyDescent="0.25">
      <c r="A83" s="32" t="s">
        <v>946</v>
      </c>
      <c r="B83" s="32" t="s">
        <v>947</v>
      </c>
      <c r="C83" s="52" t="s">
        <v>207</v>
      </c>
      <c r="D83" s="195"/>
      <c r="E83" s="3"/>
      <c r="F83" s="164" t="s">
        <v>1184</v>
      </c>
    </row>
    <row r="84" spans="1:6" ht="52.8" x14ac:dyDescent="0.25">
      <c r="A84" s="32" t="s">
        <v>948</v>
      </c>
      <c r="B84" s="32" t="s">
        <v>949</v>
      </c>
      <c r="C84" s="52" t="s">
        <v>68</v>
      </c>
      <c r="D84" s="194"/>
      <c r="E84" s="3"/>
      <c r="F84" s="164" t="s">
        <v>1184</v>
      </c>
    </row>
    <row r="85" spans="1:6" ht="26.4" x14ac:dyDescent="0.25">
      <c r="A85" s="32" t="s">
        <v>950</v>
      </c>
      <c r="B85" s="32" t="s">
        <v>951</v>
      </c>
      <c r="C85" s="52" t="s">
        <v>944</v>
      </c>
      <c r="D85" s="195"/>
      <c r="E85" s="3"/>
      <c r="F85" s="164" t="s">
        <v>1184</v>
      </c>
    </row>
    <row r="86" spans="1:6" ht="39.6" x14ac:dyDescent="0.25">
      <c r="A86" s="32" t="s">
        <v>952</v>
      </c>
      <c r="B86" s="32" t="s">
        <v>953</v>
      </c>
      <c r="C86" s="52" t="s">
        <v>68</v>
      </c>
      <c r="D86" s="194"/>
      <c r="E86" s="3"/>
      <c r="F86" s="164" t="s">
        <v>1184</v>
      </c>
    </row>
    <row r="87" spans="1:6" ht="26.4" x14ac:dyDescent="0.25">
      <c r="A87" s="32" t="s">
        <v>954</v>
      </c>
      <c r="B87" s="32" t="s">
        <v>955</v>
      </c>
      <c r="C87" s="52" t="s">
        <v>207</v>
      </c>
      <c r="D87" s="52" t="s">
        <v>716</v>
      </c>
      <c r="E87" s="167" t="s">
        <v>1120</v>
      </c>
      <c r="F87" s="164" t="s">
        <v>1184</v>
      </c>
    </row>
    <row r="88" spans="1:6" ht="52.8" x14ac:dyDescent="0.25">
      <c r="A88" s="32" t="s">
        <v>956</v>
      </c>
      <c r="B88" s="32" t="s">
        <v>957</v>
      </c>
      <c r="C88" s="52" t="s">
        <v>68</v>
      </c>
      <c r="D88" s="52" t="s">
        <v>716</v>
      </c>
      <c r="E88" s="167" t="s">
        <v>1120</v>
      </c>
      <c r="F88" s="164" t="s">
        <v>1184</v>
      </c>
    </row>
    <row r="89" spans="1:6" ht="26.4" x14ac:dyDescent="0.25">
      <c r="A89" s="32" t="s">
        <v>958</v>
      </c>
      <c r="B89" s="32" t="s">
        <v>959</v>
      </c>
      <c r="C89" s="52" t="s">
        <v>207</v>
      </c>
      <c r="D89" s="52" t="s">
        <v>716</v>
      </c>
      <c r="E89" s="167" t="s">
        <v>1120</v>
      </c>
      <c r="F89" s="164" t="s">
        <v>1184</v>
      </c>
    </row>
    <row r="90" spans="1:6" ht="26.4" x14ac:dyDescent="0.25">
      <c r="A90" s="32" t="s">
        <v>960</v>
      </c>
      <c r="B90" s="32" t="s">
        <v>961</v>
      </c>
      <c r="C90" s="52" t="s">
        <v>68</v>
      </c>
      <c r="D90" s="52" t="s">
        <v>716</v>
      </c>
      <c r="E90" s="167" t="s">
        <v>1120</v>
      </c>
      <c r="F90" s="164" t="s">
        <v>1184</v>
      </c>
    </row>
    <row r="91" spans="1:6" ht="52.8" x14ac:dyDescent="0.25">
      <c r="A91" s="32" t="s">
        <v>962</v>
      </c>
      <c r="B91" s="32" t="s">
        <v>1203</v>
      </c>
      <c r="C91" s="52" t="s">
        <v>68</v>
      </c>
      <c r="D91" s="192"/>
      <c r="E91" s="167"/>
      <c r="F91" s="164"/>
    </row>
    <row r="92" spans="1:6" ht="39.6" x14ac:dyDescent="0.25">
      <c r="A92" s="32" t="s">
        <v>963</v>
      </c>
      <c r="B92" s="32" t="s">
        <v>1204</v>
      </c>
      <c r="C92" s="52" t="s">
        <v>68</v>
      </c>
      <c r="D92" s="52" t="s">
        <v>716</v>
      </c>
      <c r="E92" s="167" t="s">
        <v>1120</v>
      </c>
      <c r="F92" s="164" t="s">
        <v>1184</v>
      </c>
    </row>
    <row r="93" spans="1:6" ht="52.8" x14ac:dyDescent="0.25">
      <c r="A93" s="32" t="s">
        <v>964</v>
      </c>
      <c r="B93" s="32" t="s">
        <v>1205</v>
      </c>
      <c r="C93" s="52" t="s">
        <v>68</v>
      </c>
      <c r="D93" s="192"/>
      <c r="E93" s="167"/>
      <c r="F93" s="164"/>
    </row>
    <row r="94" spans="1:6" x14ac:dyDescent="0.25">
      <c r="A94" s="32" t="s">
        <v>965</v>
      </c>
      <c r="B94" s="11" t="s">
        <v>966</v>
      </c>
      <c r="C94" s="52"/>
      <c r="D94" s="52"/>
      <c r="E94" s="167"/>
      <c r="F94" s="164"/>
    </row>
    <row r="95" spans="1:6" ht="66" x14ac:dyDescent="0.25">
      <c r="A95" s="32" t="s">
        <v>967</v>
      </c>
      <c r="B95" s="32" t="s">
        <v>968</v>
      </c>
      <c r="C95" s="52" t="s">
        <v>68</v>
      </c>
      <c r="D95" s="192"/>
      <c r="E95" s="167"/>
      <c r="F95" s="164" t="s">
        <v>1184</v>
      </c>
    </row>
    <row r="96" spans="1:6" ht="26.4" x14ac:dyDescent="0.25">
      <c r="A96" s="32" t="s">
        <v>969</v>
      </c>
      <c r="B96" s="32" t="s">
        <v>970</v>
      </c>
      <c r="C96" s="52" t="s">
        <v>68</v>
      </c>
      <c r="D96" s="52" t="s">
        <v>716</v>
      </c>
      <c r="E96" s="167" t="s">
        <v>1120</v>
      </c>
      <c r="F96" s="164" t="s">
        <v>1184</v>
      </c>
    </row>
    <row r="97" spans="1:6" ht="66" x14ac:dyDescent="0.25">
      <c r="A97" s="32" t="s">
        <v>971</v>
      </c>
      <c r="B97" s="32" t="s">
        <v>972</v>
      </c>
      <c r="C97" s="52" t="s">
        <v>68</v>
      </c>
      <c r="D97" s="192"/>
      <c r="E97" s="168"/>
      <c r="F97" s="164" t="s">
        <v>1184</v>
      </c>
    </row>
    <row r="98" spans="1:6" ht="52.8" x14ac:dyDescent="0.25">
      <c r="A98" s="32" t="s">
        <v>973</v>
      </c>
      <c r="B98" s="32" t="s">
        <v>974</v>
      </c>
      <c r="C98" s="52" t="s">
        <v>68</v>
      </c>
      <c r="D98" s="52" t="s">
        <v>716</v>
      </c>
      <c r="E98" s="167" t="s">
        <v>1120</v>
      </c>
      <c r="F98" s="164" t="s">
        <v>1184</v>
      </c>
    </row>
    <row r="99" spans="1:6" ht="39.6" x14ac:dyDescent="0.25">
      <c r="A99" s="32" t="s">
        <v>975</v>
      </c>
      <c r="B99" s="32" t="s">
        <v>976</v>
      </c>
      <c r="C99" s="52" t="s">
        <v>944</v>
      </c>
      <c r="D99" s="52" t="s">
        <v>716</v>
      </c>
      <c r="E99" s="167" t="s">
        <v>1120</v>
      </c>
      <c r="F99" s="164" t="s">
        <v>1184</v>
      </c>
    </row>
    <row r="100" spans="1:6" ht="26.4" x14ac:dyDescent="0.25">
      <c r="A100" s="32" t="s">
        <v>977</v>
      </c>
      <c r="B100" s="32" t="s">
        <v>978</v>
      </c>
      <c r="C100" s="52" t="s">
        <v>207</v>
      </c>
      <c r="D100" s="52" t="s">
        <v>716</v>
      </c>
      <c r="E100" s="167" t="s">
        <v>1120</v>
      </c>
      <c r="F100" s="164" t="s">
        <v>1184</v>
      </c>
    </row>
    <row r="101" spans="1:6" x14ac:dyDescent="0.25">
      <c r="A101" s="32" t="s">
        <v>979</v>
      </c>
      <c r="B101" s="11" t="s">
        <v>980</v>
      </c>
      <c r="C101" s="52"/>
      <c r="D101" s="52"/>
      <c r="E101" s="167"/>
      <c r="F101" s="164"/>
    </row>
    <row r="102" spans="1:6" ht="26.4" x14ac:dyDescent="0.25">
      <c r="A102" s="32" t="s">
        <v>981</v>
      </c>
      <c r="B102" s="32" t="s">
        <v>982</v>
      </c>
      <c r="C102" s="52" t="s">
        <v>68</v>
      </c>
      <c r="D102" s="52" t="s">
        <v>716</v>
      </c>
      <c r="E102" s="167" t="s">
        <v>1120</v>
      </c>
      <c r="F102" s="164" t="s">
        <v>1184</v>
      </c>
    </row>
    <row r="103" spans="1:6" ht="26.4" x14ac:dyDescent="0.25">
      <c r="A103" s="32" t="s">
        <v>983</v>
      </c>
      <c r="B103" s="32" t="s">
        <v>984</v>
      </c>
      <c r="C103" s="52" t="s">
        <v>68</v>
      </c>
      <c r="D103" s="52" t="s">
        <v>716</v>
      </c>
      <c r="E103" s="167" t="s">
        <v>1120</v>
      </c>
      <c r="F103" s="164" t="s">
        <v>1184</v>
      </c>
    </row>
    <row r="104" spans="1:6" ht="26.4" x14ac:dyDescent="0.25">
      <c r="A104" s="32" t="s">
        <v>985</v>
      </c>
      <c r="B104" s="32" t="s">
        <v>986</v>
      </c>
      <c r="C104" s="52" t="s">
        <v>68</v>
      </c>
      <c r="D104" s="52" t="s">
        <v>716</v>
      </c>
      <c r="E104" s="167" t="s">
        <v>1120</v>
      </c>
      <c r="F104" s="164" t="s">
        <v>1184</v>
      </c>
    </row>
    <row r="105" spans="1:6" ht="26.4" x14ac:dyDescent="0.25">
      <c r="A105" s="32" t="s">
        <v>987</v>
      </c>
      <c r="B105" s="32" t="s">
        <v>988</v>
      </c>
      <c r="C105" s="52" t="s">
        <v>68</v>
      </c>
      <c r="D105" s="52" t="s">
        <v>716</v>
      </c>
      <c r="E105" s="167" t="s">
        <v>1120</v>
      </c>
      <c r="F105" s="164" t="s">
        <v>1184</v>
      </c>
    </row>
    <row r="106" spans="1:6" ht="26.4" x14ac:dyDescent="0.25">
      <c r="A106" s="32" t="s">
        <v>989</v>
      </c>
      <c r="B106" s="32" t="s">
        <v>990</v>
      </c>
      <c r="C106" s="52" t="s">
        <v>68</v>
      </c>
      <c r="D106" s="52" t="s">
        <v>716</v>
      </c>
      <c r="E106" s="167" t="s">
        <v>1120</v>
      </c>
      <c r="F106" s="164" t="s">
        <v>1184</v>
      </c>
    </row>
    <row r="107" spans="1:6" ht="12.75" customHeight="1" x14ac:dyDescent="0.25">
      <c r="A107" s="32" t="s">
        <v>991</v>
      </c>
      <c r="B107" s="32" t="s">
        <v>992</v>
      </c>
      <c r="C107" s="52" t="s">
        <v>68</v>
      </c>
      <c r="D107" s="52" t="s">
        <v>716</v>
      </c>
      <c r="E107" s="167" t="s">
        <v>1120</v>
      </c>
      <c r="F107" s="164" t="s">
        <v>1184</v>
      </c>
    </row>
    <row r="108" spans="1:6" ht="26.4" x14ac:dyDescent="0.25">
      <c r="A108" s="32" t="s">
        <v>993</v>
      </c>
      <c r="B108" s="32" t="s">
        <v>994</v>
      </c>
      <c r="C108" s="52" t="s">
        <v>68</v>
      </c>
      <c r="D108" s="52" t="s">
        <v>716</v>
      </c>
      <c r="E108" s="167" t="s">
        <v>1120</v>
      </c>
      <c r="F108" s="164" t="s">
        <v>1184</v>
      </c>
    </row>
    <row r="109" spans="1:6" ht="26.4" x14ac:dyDescent="0.25">
      <c r="A109" s="32" t="s">
        <v>995</v>
      </c>
      <c r="B109" s="32" t="s">
        <v>996</v>
      </c>
      <c r="C109" s="52" t="s">
        <v>68</v>
      </c>
      <c r="D109" s="52" t="s">
        <v>716</v>
      </c>
      <c r="E109" s="167" t="s">
        <v>1120</v>
      </c>
      <c r="F109" s="164" t="s">
        <v>1184</v>
      </c>
    </row>
    <row r="110" spans="1:6" ht="26.4" x14ac:dyDescent="0.25">
      <c r="A110" s="32" t="s">
        <v>997</v>
      </c>
      <c r="B110" s="32" t="s">
        <v>998</v>
      </c>
      <c r="C110" s="52" t="s">
        <v>68</v>
      </c>
      <c r="D110" s="52" t="s">
        <v>716</v>
      </c>
      <c r="E110" s="167" t="s">
        <v>1120</v>
      </c>
      <c r="F110" s="164" t="s">
        <v>1184</v>
      </c>
    </row>
    <row r="111" spans="1:6" ht="26.4" x14ac:dyDescent="0.25">
      <c r="A111" s="32" t="s">
        <v>999</v>
      </c>
      <c r="B111" s="32" t="s">
        <v>1000</v>
      </c>
      <c r="C111" s="52" t="s">
        <v>68</v>
      </c>
      <c r="D111" s="52" t="s">
        <v>716</v>
      </c>
      <c r="E111" s="167" t="s">
        <v>1120</v>
      </c>
      <c r="F111" s="164" t="s">
        <v>1184</v>
      </c>
    </row>
    <row r="112" spans="1:6" ht="26.4" x14ac:dyDescent="0.25">
      <c r="A112" s="32" t="s">
        <v>1001</v>
      </c>
      <c r="B112" s="32" t="s">
        <v>1002</v>
      </c>
      <c r="C112" s="52" t="s">
        <v>68</v>
      </c>
      <c r="D112" s="52" t="s">
        <v>716</v>
      </c>
      <c r="E112" s="167" t="s">
        <v>1120</v>
      </c>
      <c r="F112" s="164" t="s">
        <v>1184</v>
      </c>
    </row>
    <row r="113" spans="1:6" ht="26.4" x14ac:dyDescent="0.25">
      <c r="A113" s="32" t="s">
        <v>1003</v>
      </c>
      <c r="B113" s="32" t="s">
        <v>1004</v>
      </c>
      <c r="C113" s="52" t="s">
        <v>68</v>
      </c>
      <c r="D113" s="52" t="s">
        <v>716</v>
      </c>
      <c r="E113" s="167" t="s">
        <v>1120</v>
      </c>
      <c r="F113" s="164" t="s">
        <v>1184</v>
      </c>
    </row>
    <row r="114" spans="1:6" ht="26.4" x14ac:dyDescent="0.25">
      <c r="A114" s="32" t="s">
        <v>1005</v>
      </c>
      <c r="B114" s="32" t="s">
        <v>1006</v>
      </c>
      <c r="C114" s="52" t="s">
        <v>68</v>
      </c>
      <c r="D114" s="52" t="s">
        <v>716</v>
      </c>
      <c r="E114" s="167" t="s">
        <v>1120</v>
      </c>
      <c r="F114" s="164" t="s">
        <v>1184</v>
      </c>
    </row>
    <row r="115" spans="1:6" ht="14.4" x14ac:dyDescent="0.25">
      <c r="A115" s="32" t="s">
        <v>1007</v>
      </c>
      <c r="B115" s="32" t="s">
        <v>1008</v>
      </c>
      <c r="C115" s="52" t="s">
        <v>68</v>
      </c>
      <c r="D115" s="192"/>
      <c r="E115" s="168"/>
      <c r="F115" s="164"/>
    </row>
    <row r="116" spans="1:6" ht="26.4" x14ac:dyDescent="0.25">
      <c r="A116" s="32" t="s">
        <v>1009</v>
      </c>
      <c r="B116" s="32" t="s">
        <v>1010</v>
      </c>
      <c r="C116" s="52" t="s">
        <v>68</v>
      </c>
      <c r="D116" s="52" t="s">
        <v>716</v>
      </c>
      <c r="E116" s="167" t="s">
        <v>1120</v>
      </c>
      <c r="F116" s="164" t="s">
        <v>1184</v>
      </c>
    </row>
    <row r="117" spans="1:6" ht="26.4" x14ac:dyDescent="0.25">
      <c r="A117" s="32" t="s">
        <v>1011</v>
      </c>
      <c r="B117" s="32" t="s">
        <v>1012</v>
      </c>
      <c r="C117" s="52" t="s">
        <v>68</v>
      </c>
      <c r="D117" s="52" t="s">
        <v>716</v>
      </c>
      <c r="E117" s="167" t="s">
        <v>1120</v>
      </c>
      <c r="F117" s="164" t="s">
        <v>1184</v>
      </c>
    </row>
    <row r="118" spans="1:6" ht="26.4" x14ac:dyDescent="0.25">
      <c r="A118" s="32" t="s">
        <v>1013</v>
      </c>
      <c r="B118" s="32" t="s">
        <v>1014</v>
      </c>
      <c r="C118" s="52" t="s">
        <v>68</v>
      </c>
      <c r="D118" s="52" t="s">
        <v>716</v>
      </c>
      <c r="E118" s="167" t="s">
        <v>1120</v>
      </c>
      <c r="F118" s="164" t="s">
        <v>1184</v>
      </c>
    </row>
    <row r="119" spans="1:6" ht="26.4" x14ac:dyDescent="0.25">
      <c r="A119" s="32" t="s">
        <v>1015</v>
      </c>
      <c r="B119" s="32" t="s">
        <v>1016</v>
      </c>
      <c r="C119" s="52" t="s">
        <v>68</v>
      </c>
      <c r="D119" s="192"/>
      <c r="E119" s="168"/>
      <c r="F119" s="164"/>
    </row>
    <row r="120" spans="1:6" ht="39.6" x14ac:dyDescent="0.25">
      <c r="A120" s="32" t="s">
        <v>1017</v>
      </c>
      <c r="B120" s="32" t="s">
        <v>1018</v>
      </c>
      <c r="C120" s="52" t="s">
        <v>68</v>
      </c>
      <c r="D120" s="52" t="s">
        <v>716</v>
      </c>
      <c r="E120" s="167" t="s">
        <v>1120</v>
      </c>
      <c r="F120" s="164" t="s">
        <v>1184</v>
      </c>
    </row>
    <row r="121" spans="1:6" ht="26.4" x14ac:dyDescent="0.25">
      <c r="A121" s="32" t="s">
        <v>1019</v>
      </c>
      <c r="B121" s="32" t="s">
        <v>1020</v>
      </c>
      <c r="C121" s="52" t="s">
        <v>68</v>
      </c>
      <c r="D121" s="52" t="s">
        <v>716</v>
      </c>
      <c r="E121" s="167" t="s">
        <v>1120</v>
      </c>
      <c r="F121" s="164" t="s">
        <v>1184</v>
      </c>
    </row>
    <row r="122" spans="1:6" ht="26.4" x14ac:dyDescent="0.25">
      <c r="A122" s="32" t="s">
        <v>1021</v>
      </c>
      <c r="B122" s="32" t="s">
        <v>1022</v>
      </c>
      <c r="C122" s="52" t="s">
        <v>68</v>
      </c>
      <c r="D122" s="52" t="s">
        <v>716</v>
      </c>
      <c r="E122" s="167" t="s">
        <v>1120</v>
      </c>
      <c r="F122" s="164" t="s">
        <v>1184</v>
      </c>
    </row>
    <row r="123" spans="1:6" ht="39.6" x14ac:dyDescent="0.25">
      <c r="A123" s="32"/>
      <c r="B123" s="11" t="s">
        <v>1023</v>
      </c>
      <c r="C123" s="52"/>
      <c r="D123" s="51"/>
      <c r="E123" s="168"/>
      <c r="F123" s="164"/>
    </row>
    <row r="124" spans="1:6" ht="39.6" x14ac:dyDescent="0.25">
      <c r="A124" s="32" t="s">
        <v>1024</v>
      </c>
      <c r="B124" s="32" t="s">
        <v>1025</v>
      </c>
      <c r="C124" s="52" t="s">
        <v>68</v>
      </c>
      <c r="D124" s="52" t="s">
        <v>716</v>
      </c>
      <c r="E124" s="167" t="s">
        <v>1120</v>
      </c>
      <c r="F124" s="164" t="s">
        <v>1184</v>
      </c>
    </row>
    <row r="125" spans="1:6" ht="79.2" x14ac:dyDescent="0.25">
      <c r="A125" s="32" t="s">
        <v>1026</v>
      </c>
      <c r="B125" s="32" t="s">
        <v>1027</v>
      </c>
      <c r="C125" s="52" t="s">
        <v>68</v>
      </c>
      <c r="D125" s="52" t="s">
        <v>716</v>
      </c>
      <c r="E125" s="167" t="s">
        <v>1120</v>
      </c>
      <c r="F125" s="164" t="s">
        <v>1184</v>
      </c>
    </row>
    <row r="126" spans="1:6" ht="105.6" x14ac:dyDescent="0.25">
      <c r="A126" s="32" t="s">
        <v>1028</v>
      </c>
      <c r="B126" s="32" t="s">
        <v>1029</v>
      </c>
      <c r="C126" s="52" t="s">
        <v>68</v>
      </c>
      <c r="D126" s="52" t="s">
        <v>716</v>
      </c>
      <c r="E126" s="167" t="s">
        <v>1120</v>
      </c>
      <c r="F126" s="164" t="s">
        <v>1184</v>
      </c>
    </row>
    <row r="127" spans="1:6" ht="12.75" customHeight="1" x14ac:dyDescent="0.25">
      <c r="B127" s="170" t="s">
        <v>1030</v>
      </c>
      <c r="C127" s="171"/>
      <c r="D127" s="171"/>
      <c r="E127" s="172"/>
      <c r="F127" s="84"/>
    </row>
    <row r="128" spans="1:6" x14ac:dyDescent="0.25">
      <c r="E128" s="38"/>
    </row>
    <row r="129" spans="5:5" x14ac:dyDescent="0.25">
      <c r="E129" s="38"/>
    </row>
    <row r="130" spans="5:5" x14ac:dyDescent="0.25">
      <c r="E130" s="38"/>
    </row>
    <row r="131" spans="5:5" x14ac:dyDescent="0.25">
      <c r="E131" s="38"/>
    </row>
    <row r="132" spans="5:5" x14ac:dyDescent="0.25">
      <c r="E132" s="38"/>
    </row>
    <row r="133" spans="5:5" x14ac:dyDescent="0.25">
      <c r="E133" s="38"/>
    </row>
  </sheetData>
  <pageMargins left="0.70866141732283472" right="0.70866141732283472" top="0.74803149606299213" bottom="0.74803149606299213" header="0.31496062992125984" footer="0.31496062992125984"/>
  <pageSetup paperSize="9" scale="65" fitToHeight="0" orientation="portrait" r:id="rId1"/>
  <headerFooter>
    <oddHeader>&amp;LWater Rock LIHAF&amp;RCork County Council</oddHeader>
    <oddFooter>&amp;C&amp;A&amp;RPage &amp;P&amp;LJob Number 5163809</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7:F28"/>
  <sheetViews>
    <sheetView zoomScaleNormal="100" zoomScaleSheetLayoutView="100" zoomScalePageLayoutView="60" workbookViewId="0">
      <selection activeCell="D15" sqref="D15"/>
    </sheetView>
  </sheetViews>
  <sheetFormatPr defaultRowHeight="13.2" x14ac:dyDescent="0.25"/>
  <cols>
    <col min="2" max="2" width="35.77734375" customWidth="1"/>
    <col min="3" max="3" width="8.21875" style="1" customWidth="1"/>
    <col min="4" max="4" width="11.44140625" style="1" customWidth="1"/>
    <col min="5" max="5" width="11.44140625" style="38" customWidth="1"/>
    <col min="6" max="6" width="11.44140625" style="64" customWidth="1"/>
  </cols>
  <sheetData>
    <row r="7" spans="1:6" x14ac:dyDescent="0.25">
      <c r="A7" s="5" t="s">
        <v>0</v>
      </c>
      <c r="B7" s="5" t="s">
        <v>1</v>
      </c>
      <c r="C7" s="5" t="s">
        <v>2</v>
      </c>
      <c r="D7" s="5" t="s">
        <v>3</v>
      </c>
      <c r="E7" s="33" t="s">
        <v>4</v>
      </c>
      <c r="F7" s="61" t="s">
        <v>5</v>
      </c>
    </row>
    <row r="8" spans="1:6" x14ac:dyDescent="0.25">
      <c r="A8" s="7"/>
      <c r="B8" s="7"/>
      <c r="C8" s="8"/>
      <c r="D8" s="8"/>
      <c r="E8" s="34" t="s">
        <v>6</v>
      </c>
      <c r="F8" s="62" t="s">
        <v>6</v>
      </c>
    </row>
    <row r="9" spans="1:6" x14ac:dyDescent="0.25">
      <c r="A9" s="9" t="s">
        <v>1031</v>
      </c>
      <c r="B9" s="9" t="s">
        <v>1032</v>
      </c>
      <c r="C9" s="12"/>
      <c r="D9" s="12"/>
      <c r="E9" s="35"/>
      <c r="F9" s="63"/>
    </row>
    <row r="10" spans="1:6" ht="26.4" x14ac:dyDescent="0.25">
      <c r="A10" s="10"/>
      <c r="B10" s="11" t="s">
        <v>1033</v>
      </c>
      <c r="C10" s="29"/>
      <c r="D10" s="29"/>
      <c r="E10" s="36"/>
      <c r="F10" s="78"/>
    </row>
    <row r="11" spans="1:6" ht="14.4" x14ac:dyDescent="0.25">
      <c r="A11" s="10" t="s">
        <v>1034</v>
      </c>
      <c r="B11" s="10" t="s">
        <v>1035</v>
      </c>
      <c r="C11" s="29" t="s">
        <v>68</v>
      </c>
      <c r="D11" s="178" t="e">
        <f>'Section E'!D25/5</f>
        <v>#VALUE!</v>
      </c>
      <c r="E11" s="36"/>
      <c r="F11" s="76"/>
    </row>
    <row r="12" spans="1:6" ht="26.4" x14ac:dyDescent="0.25">
      <c r="A12" s="30" t="s">
        <v>1036</v>
      </c>
      <c r="B12" s="30" t="s">
        <v>1037</v>
      </c>
      <c r="C12" s="31" t="s">
        <v>68</v>
      </c>
      <c r="D12" s="31" t="s">
        <v>716</v>
      </c>
      <c r="E12" s="42"/>
      <c r="F12" s="76"/>
    </row>
    <row r="13" spans="1:6" ht="26.4" x14ac:dyDescent="0.25">
      <c r="A13" s="30" t="s">
        <v>1038</v>
      </c>
      <c r="B13" s="30" t="s">
        <v>1039</v>
      </c>
      <c r="C13" s="31" t="s">
        <v>68</v>
      </c>
      <c r="D13" s="31" t="s">
        <v>716</v>
      </c>
      <c r="E13" s="31" t="s">
        <v>1120</v>
      </c>
      <c r="F13" s="76" t="s">
        <v>1184</v>
      </c>
    </row>
    <row r="14" spans="1:6" ht="26.4" x14ac:dyDescent="0.25">
      <c r="A14" s="30" t="s">
        <v>1040</v>
      </c>
      <c r="B14" s="30" t="s">
        <v>1041</v>
      </c>
      <c r="C14" s="31" t="s">
        <v>68</v>
      </c>
      <c r="D14" s="31" t="s">
        <v>716</v>
      </c>
      <c r="E14" s="31" t="s">
        <v>1120</v>
      </c>
      <c r="F14" s="76" t="s">
        <v>1184</v>
      </c>
    </row>
    <row r="15" spans="1:6" ht="14.4" x14ac:dyDescent="0.25">
      <c r="A15" s="10" t="s">
        <v>1042</v>
      </c>
      <c r="B15" s="30" t="s">
        <v>1043</v>
      </c>
      <c r="C15" s="31" t="s">
        <v>68</v>
      </c>
      <c r="D15" s="178" t="e">
        <f>'Section E'!D29/5</f>
        <v>#VALUE!</v>
      </c>
      <c r="E15" s="36"/>
      <c r="F15" s="76"/>
    </row>
    <row r="16" spans="1:6" ht="26.4" x14ac:dyDescent="0.25">
      <c r="A16" s="30" t="s">
        <v>1044</v>
      </c>
      <c r="B16" s="30" t="s">
        <v>1045</v>
      </c>
      <c r="C16" s="31" t="s">
        <v>68</v>
      </c>
      <c r="D16" s="31" t="s">
        <v>716</v>
      </c>
      <c r="E16" s="31" t="s">
        <v>1120</v>
      </c>
      <c r="F16" s="76" t="s">
        <v>1184</v>
      </c>
    </row>
    <row r="17" spans="1:6" x14ac:dyDescent="0.25">
      <c r="A17" s="30" t="s">
        <v>1277</v>
      </c>
      <c r="B17" s="30" t="s">
        <v>1278</v>
      </c>
      <c r="C17" s="31" t="s">
        <v>68</v>
      </c>
      <c r="D17" s="31"/>
      <c r="E17" s="31"/>
      <c r="F17" s="76" t="s">
        <v>1184</v>
      </c>
    </row>
    <row r="18" spans="1:6" ht="12.75" customHeight="1" x14ac:dyDescent="0.25">
      <c r="B18" s="74" t="s">
        <v>1046</v>
      </c>
      <c r="C18" s="75"/>
      <c r="D18" s="75"/>
      <c r="E18" s="37"/>
      <c r="F18" s="84">
        <f>SUM(F11:F17)</f>
        <v>0</v>
      </c>
    </row>
    <row r="28" spans="1:6" x14ac:dyDescent="0.25">
      <c r="F28" s="103"/>
    </row>
  </sheetData>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&amp;C&amp;A&amp;RPage &amp;P&amp;LJob Number 5163809</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7:F27"/>
  <sheetViews>
    <sheetView zoomScaleNormal="100" zoomScaleSheetLayoutView="110" zoomScalePageLayoutView="60" workbookViewId="0">
      <selection activeCell="C19" sqref="C19"/>
    </sheetView>
  </sheetViews>
  <sheetFormatPr defaultRowHeight="13.2" x14ac:dyDescent="0.25"/>
  <cols>
    <col min="2" max="2" width="35.77734375" customWidth="1"/>
    <col min="3" max="3" width="11.44140625" style="1" customWidth="1"/>
    <col min="6" max="6" width="10.5546875" bestFit="1" customWidth="1"/>
  </cols>
  <sheetData>
    <row r="7" spans="1:3" x14ac:dyDescent="0.25">
      <c r="A7" s="190" t="s">
        <v>1047</v>
      </c>
      <c r="B7" s="190"/>
      <c r="C7" s="190"/>
    </row>
    <row r="8" spans="1:3" x14ac:dyDescent="0.25">
      <c r="A8" s="7"/>
      <c r="B8" s="7"/>
      <c r="C8" s="8" t="s">
        <v>6</v>
      </c>
    </row>
    <row r="9" spans="1:3" ht="26.4" x14ac:dyDescent="0.25">
      <c r="A9" s="10" t="s">
        <v>1048</v>
      </c>
      <c r="B9" s="10" t="s">
        <v>8</v>
      </c>
      <c r="C9" s="14"/>
    </row>
    <row r="10" spans="1:3" x14ac:dyDescent="0.25">
      <c r="A10" s="10" t="s">
        <v>1049</v>
      </c>
      <c r="B10" s="10" t="s">
        <v>1050</v>
      </c>
      <c r="C10" s="14"/>
    </row>
    <row r="11" spans="1:3" x14ac:dyDescent="0.25">
      <c r="A11" s="10" t="s">
        <v>1051</v>
      </c>
      <c r="B11" s="10" t="s">
        <v>195</v>
      </c>
      <c r="C11" s="14"/>
    </row>
    <row r="12" spans="1:3" x14ac:dyDescent="0.25">
      <c r="A12" s="10" t="s">
        <v>1052</v>
      </c>
      <c r="B12" s="10" t="s">
        <v>342</v>
      </c>
      <c r="C12" s="14"/>
    </row>
    <row r="13" spans="1:3" ht="26.4" x14ac:dyDescent="0.25">
      <c r="A13" s="10" t="s">
        <v>1053</v>
      </c>
      <c r="B13" s="10" t="s">
        <v>454</v>
      </c>
      <c r="C13" s="14"/>
    </row>
    <row r="14" spans="1:3" x14ac:dyDescent="0.25">
      <c r="A14" s="10" t="s">
        <v>1054</v>
      </c>
      <c r="B14" s="10" t="s">
        <v>497</v>
      </c>
      <c r="C14" s="14"/>
    </row>
    <row r="15" spans="1:3" x14ac:dyDescent="0.25">
      <c r="A15" s="10" t="s">
        <v>1055</v>
      </c>
      <c r="B15" s="10" t="s">
        <v>545</v>
      </c>
      <c r="C15" s="14"/>
    </row>
    <row r="16" spans="1:3" x14ac:dyDescent="0.25">
      <c r="A16" s="10" t="s">
        <v>1056</v>
      </c>
      <c r="B16" s="10" t="s">
        <v>571</v>
      </c>
      <c r="C16" s="14"/>
    </row>
    <row r="17" spans="1:6" ht="12.75" customHeight="1" x14ac:dyDescent="0.25">
      <c r="A17" s="10" t="s">
        <v>1057</v>
      </c>
      <c r="B17" s="10" t="s">
        <v>671</v>
      </c>
      <c r="C17" s="16"/>
    </row>
    <row r="18" spans="1:6" x14ac:dyDescent="0.25">
      <c r="A18" s="10" t="s">
        <v>1058</v>
      </c>
      <c r="B18" s="10" t="s">
        <v>1059</v>
      </c>
      <c r="C18" s="15"/>
    </row>
    <row r="19" spans="1:6" x14ac:dyDescent="0.25">
      <c r="A19" s="10" t="s">
        <v>1060</v>
      </c>
      <c r="B19" s="10" t="s">
        <v>803</v>
      </c>
      <c r="C19" s="15"/>
    </row>
    <row r="20" spans="1:6" x14ac:dyDescent="0.25">
      <c r="A20" s="10" t="s">
        <v>1061</v>
      </c>
      <c r="B20" s="10" t="s">
        <v>1032</v>
      </c>
      <c r="C20" s="15"/>
    </row>
    <row r="21" spans="1:6" x14ac:dyDescent="0.25">
      <c r="A21" s="189"/>
      <c r="B21" s="189" t="s">
        <v>1062</v>
      </c>
      <c r="C21" s="17"/>
    </row>
    <row r="27" spans="1:6" x14ac:dyDescent="0.25">
      <c r="F27" s="102"/>
    </row>
  </sheetData>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&amp;C&amp;A&amp;RPage &amp;P&amp;LJob Number 5163809</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7:F45"/>
  <sheetViews>
    <sheetView zoomScaleNormal="100" zoomScaleSheetLayoutView="100" zoomScalePageLayoutView="60" workbookViewId="0">
      <selection activeCell="D47" sqref="D47"/>
    </sheetView>
  </sheetViews>
  <sheetFormatPr defaultRowHeight="13.2" x14ac:dyDescent="0.25"/>
  <cols>
    <col min="2" max="2" width="49.77734375" customWidth="1"/>
    <col min="3" max="4" width="11.44140625" style="1" customWidth="1"/>
    <col min="6" max="6" width="10.21875" bestFit="1" customWidth="1"/>
  </cols>
  <sheetData>
    <row r="7" spans="1:4" x14ac:dyDescent="0.25">
      <c r="A7" s="18" t="s">
        <v>1063</v>
      </c>
      <c r="B7" s="3"/>
      <c r="C7" s="4"/>
      <c r="D7" s="4"/>
    </row>
    <row r="8" spans="1:4" x14ac:dyDescent="0.25">
      <c r="A8" s="3"/>
      <c r="B8" s="3"/>
      <c r="C8" s="4"/>
      <c r="D8" s="4"/>
    </row>
    <row r="9" spans="1:4" x14ac:dyDescent="0.25">
      <c r="A9" s="5" t="s">
        <v>1064</v>
      </c>
      <c r="B9" s="5" t="s">
        <v>1</v>
      </c>
      <c r="C9" s="5" t="s">
        <v>2</v>
      </c>
      <c r="D9" s="5" t="s">
        <v>4</v>
      </c>
    </row>
    <row r="10" spans="1:4" x14ac:dyDescent="0.25">
      <c r="A10" s="7"/>
      <c r="B10" s="7"/>
      <c r="C10" s="8"/>
      <c r="D10" s="8" t="s">
        <v>6</v>
      </c>
    </row>
    <row r="11" spans="1:4" x14ac:dyDescent="0.25">
      <c r="A11" s="10">
        <v>1</v>
      </c>
      <c r="B11" s="10" t="s">
        <v>1065</v>
      </c>
      <c r="C11" s="10" t="s">
        <v>157</v>
      </c>
      <c r="D11" s="9"/>
    </row>
    <row r="12" spans="1:4" x14ac:dyDescent="0.25">
      <c r="A12" s="10">
        <v>2</v>
      </c>
      <c r="B12" s="10" t="s">
        <v>1066</v>
      </c>
      <c r="C12" s="10" t="s">
        <v>157</v>
      </c>
      <c r="D12" s="9"/>
    </row>
    <row r="13" spans="1:4" x14ac:dyDescent="0.25">
      <c r="A13" s="10">
        <v>3</v>
      </c>
      <c r="B13" s="10" t="s">
        <v>1067</v>
      </c>
      <c r="C13" s="10" t="s">
        <v>157</v>
      </c>
      <c r="D13" s="9"/>
    </row>
    <row r="14" spans="1:4" ht="26.4" x14ac:dyDescent="0.25">
      <c r="A14" s="10">
        <v>4</v>
      </c>
      <c r="B14" s="10" t="s">
        <v>1068</v>
      </c>
      <c r="C14" s="10" t="s">
        <v>157</v>
      </c>
      <c r="D14" s="9"/>
    </row>
    <row r="15" spans="1:4" ht="26.4" x14ac:dyDescent="0.25">
      <c r="A15" s="10">
        <v>5</v>
      </c>
      <c r="B15" s="10" t="s">
        <v>1069</v>
      </c>
      <c r="C15" s="10" t="s">
        <v>157</v>
      </c>
      <c r="D15" s="9"/>
    </row>
    <row r="16" spans="1:4" ht="26.4" x14ac:dyDescent="0.25">
      <c r="A16" s="10">
        <v>6</v>
      </c>
      <c r="B16" s="10" t="s">
        <v>1070</v>
      </c>
      <c r="C16" s="10" t="s">
        <v>207</v>
      </c>
      <c r="D16" s="9"/>
    </row>
    <row r="17" spans="1:6" ht="26.4" x14ac:dyDescent="0.25">
      <c r="A17" s="10">
        <v>7</v>
      </c>
      <c r="B17" s="10" t="s">
        <v>1071</v>
      </c>
      <c r="C17" s="10" t="s">
        <v>1072</v>
      </c>
      <c r="D17" s="9"/>
    </row>
    <row r="18" spans="1:6" x14ac:dyDescent="0.25">
      <c r="A18" s="10">
        <v>8</v>
      </c>
      <c r="B18" s="10" t="s">
        <v>1073</v>
      </c>
      <c r="C18" s="10" t="s">
        <v>1072</v>
      </c>
      <c r="D18" s="9"/>
    </row>
    <row r="19" spans="1:6" ht="39.6" x14ac:dyDescent="0.25">
      <c r="A19" s="10">
        <v>9</v>
      </c>
      <c r="B19" s="10" t="s">
        <v>1074</v>
      </c>
      <c r="C19" s="10" t="s">
        <v>1075</v>
      </c>
      <c r="D19" s="9"/>
    </row>
    <row r="20" spans="1:6" x14ac:dyDescent="0.25">
      <c r="A20" s="10">
        <v>10</v>
      </c>
      <c r="B20" s="10" t="s">
        <v>1073</v>
      </c>
      <c r="C20" s="10" t="s">
        <v>1075</v>
      </c>
      <c r="D20" s="9"/>
    </row>
    <row r="21" spans="1:6" ht="26.4" x14ac:dyDescent="0.25">
      <c r="A21" s="10">
        <v>11</v>
      </c>
      <c r="B21" s="10" t="s">
        <v>1076</v>
      </c>
      <c r="C21" s="10" t="s">
        <v>1077</v>
      </c>
      <c r="D21" s="9"/>
    </row>
    <row r="22" spans="1:6" x14ac:dyDescent="0.25">
      <c r="A22" s="10">
        <v>12</v>
      </c>
      <c r="B22" s="10" t="s">
        <v>1078</v>
      </c>
      <c r="C22" s="10" t="s">
        <v>1077</v>
      </c>
      <c r="D22" s="9"/>
    </row>
    <row r="25" spans="1:6" x14ac:dyDescent="0.25">
      <c r="A25" s="19" t="s">
        <v>1079</v>
      </c>
      <c r="B25" s="3"/>
      <c r="C25" s="4"/>
      <c r="D25" s="4"/>
    </row>
    <row r="26" spans="1:6" x14ac:dyDescent="0.25">
      <c r="A26" s="3"/>
      <c r="B26" s="3"/>
      <c r="C26" s="4"/>
      <c r="D26" s="4"/>
    </row>
    <row r="27" spans="1:6" x14ac:dyDescent="0.25">
      <c r="A27" s="5" t="s">
        <v>1064</v>
      </c>
      <c r="B27" s="5" t="s">
        <v>1</v>
      </c>
      <c r="C27" s="5" t="s">
        <v>2</v>
      </c>
      <c r="D27" s="5" t="s">
        <v>1080</v>
      </c>
      <c r="F27" s="102"/>
    </row>
    <row r="28" spans="1:6" x14ac:dyDescent="0.25">
      <c r="A28" s="7"/>
      <c r="B28" s="7"/>
      <c r="C28" s="8"/>
      <c r="D28" s="8" t="s">
        <v>6</v>
      </c>
    </row>
    <row r="29" spans="1:6" x14ac:dyDescent="0.25">
      <c r="A29" s="183" t="s">
        <v>1081</v>
      </c>
      <c r="B29" s="183"/>
      <c r="C29" s="183"/>
      <c r="D29" s="6"/>
      <c r="E29" s="48"/>
    </row>
    <row r="30" spans="1:6" x14ac:dyDescent="0.25">
      <c r="A30" s="45">
        <v>1</v>
      </c>
      <c r="B30" s="30" t="s">
        <v>1082</v>
      </c>
      <c r="C30" s="31" t="s">
        <v>68</v>
      </c>
      <c r="D30" s="4"/>
      <c r="E30" s="49"/>
    </row>
    <row r="31" spans="1:6" x14ac:dyDescent="0.25">
      <c r="A31" s="45">
        <v>2</v>
      </c>
      <c r="B31" s="30" t="s">
        <v>1083</v>
      </c>
      <c r="C31" s="31" t="s">
        <v>68</v>
      </c>
      <c r="D31" s="4"/>
      <c r="E31" s="49"/>
    </row>
    <row r="32" spans="1:6" x14ac:dyDescent="0.25">
      <c r="A32" s="45">
        <v>3</v>
      </c>
      <c r="B32" s="30" t="s">
        <v>1084</v>
      </c>
      <c r="C32" s="31" t="s">
        <v>68</v>
      </c>
      <c r="D32" s="4"/>
      <c r="E32" s="49"/>
    </row>
    <row r="33" spans="1:5" x14ac:dyDescent="0.25">
      <c r="A33" s="23">
        <v>4</v>
      </c>
      <c r="B33" s="30" t="s">
        <v>461</v>
      </c>
      <c r="C33" s="31" t="s">
        <v>68</v>
      </c>
      <c r="D33" s="4"/>
      <c r="E33" s="49"/>
    </row>
    <row r="34" spans="1:5" x14ac:dyDescent="0.25">
      <c r="A34" s="23">
        <v>5</v>
      </c>
      <c r="B34" s="30" t="s">
        <v>1085</v>
      </c>
      <c r="C34" s="31" t="s">
        <v>68</v>
      </c>
      <c r="D34" s="4"/>
      <c r="E34" s="49"/>
    </row>
    <row r="35" spans="1:5" x14ac:dyDescent="0.25">
      <c r="A35" s="45">
        <v>6</v>
      </c>
      <c r="B35" s="30" t="s">
        <v>1086</v>
      </c>
      <c r="C35" s="31" t="s">
        <v>68</v>
      </c>
      <c r="D35" s="4"/>
      <c r="E35" s="49"/>
    </row>
    <row r="36" spans="1:5" x14ac:dyDescent="0.25">
      <c r="A36" s="45">
        <v>7</v>
      </c>
      <c r="B36" s="30" t="s">
        <v>1087</v>
      </c>
      <c r="C36" s="31" t="s">
        <v>68</v>
      </c>
      <c r="D36" s="4"/>
      <c r="E36" s="49"/>
    </row>
    <row r="37" spans="1:5" x14ac:dyDescent="0.25">
      <c r="A37" s="45">
        <v>8</v>
      </c>
      <c r="B37" s="30" t="s">
        <v>1088</v>
      </c>
      <c r="C37" s="31" t="s">
        <v>68</v>
      </c>
      <c r="D37" s="4"/>
      <c r="E37" s="49"/>
    </row>
    <row r="38" spans="1:5" x14ac:dyDescent="0.25">
      <c r="A38" s="23">
        <v>9</v>
      </c>
      <c r="B38" s="23" t="s">
        <v>477</v>
      </c>
      <c r="C38" s="44" t="s">
        <v>68</v>
      </c>
      <c r="D38" s="4"/>
      <c r="E38" s="49"/>
    </row>
    <row r="39" spans="1:5" ht="25.5" customHeight="1" x14ac:dyDescent="0.25">
      <c r="A39" s="23">
        <v>10</v>
      </c>
      <c r="B39" s="23" t="s">
        <v>1089</v>
      </c>
      <c r="C39" s="44" t="s">
        <v>68</v>
      </c>
      <c r="D39" s="4"/>
      <c r="E39" s="49"/>
    </row>
    <row r="40" spans="1:5" x14ac:dyDescent="0.25">
      <c r="A40" s="183" t="s">
        <v>1090</v>
      </c>
      <c r="B40" s="183"/>
      <c r="C40" s="183"/>
      <c r="D40" s="6"/>
      <c r="E40" s="48"/>
    </row>
    <row r="41" spans="1:5" x14ac:dyDescent="0.25">
      <c r="A41" s="23">
        <v>13</v>
      </c>
      <c r="B41" s="23" t="s">
        <v>1091</v>
      </c>
      <c r="C41" s="44" t="s">
        <v>68</v>
      </c>
      <c r="D41" s="4"/>
      <c r="E41" s="49"/>
    </row>
    <row r="42" spans="1:5" x14ac:dyDescent="0.25">
      <c r="A42" s="23">
        <v>14</v>
      </c>
      <c r="B42" s="23" t="s">
        <v>1092</v>
      </c>
      <c r="C42" s="44" t="s">
        <v>68</v>
      </c>
      <c r="D42" s="4"/>
      <c r="E42" s="49"/>
    </row>
    <row r="43" spans="1:5" x14ac:dyDescent="0.25">
      <c r="A43" s="23">
        <v>15</v>
      </c>
      <c r="B43" s="23" t="s">
        <v>477</v>
      </c>
      <c r="C43" s="44" t="s">
        <v>68</v>
      </c>
      <c r="D43" s="4"/>
      <c r="E43" s="49"/>
    </row>
    <row r="44" spans="1:5" x14ac:dyDescent="0.25">
      <c r="A44" s="45">
        <v>16</v>
      </c>
      <c r="B44" s="45" t="s">
        <v>1093</v>
      </c>
      <c r="C44" s="46" t="s">
        <v>68</v>
      </c>
      <c r="D44" s="4"/>
      <c r="E44" s="49"/>
    </row>
    <row r="45" spans="1:5" ht="29.25" customHeight="1" x14ac:dyDescent="0.25">
      <c r="A45" s="191" t="s">
        <v>1094</v>
      </c>
      <c r="B45" s="184"/>
      <c r="C45" s="184"/>
      <c r="D45" s="185"/>
      <c r="E45" s="50"/>
    </row>
  </sheetData>
  <pageMargins left="0.70866141732283472" right="0.70866141732283472" top="0.74803149606299213" bottom="0.74803149606299213" header="0.31496062992125984" footer="0.31496062992125984"/>
  <pageSetup paperSize="9" fitToHeight="0" orientation="portrait" r:id="rId1"/>
  <headerFooter>
    <oddHeader>&amp;LWater Rock LIHAF&amp;RCork County Council</oddHeader>
    <oddFooter>&amp;C&amp;A&amp;RPage &amp;P&amp;LJob Number 5163809</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34"/>
  <sheetViews>
    <sheetView workbookViewId="0">
      <selection activeCell="Z12" sqref="Z12"/>
    </sheetView>
  </sheetViews>
  <sheetFormatPr defaultRowHeight="13.2" x14ac:dyDescent="0.25"/>
  <cols>
    <col min="1" max="1" width="10.21875" style="108" customWidth="1"/>
    <col min="2" max="2" width="8.77734375" style="108" customWidth="1"/>
    <col min="3" max="3" width="3.77734375" style="108" customWidth="1"/>
    <col min="4" max="4" width="11" style="108" customWidth="1"/>
    <col min="5" max="5" width="9.77734375" style="108" customWidth="1"/>
    <col min="6" max="11" width="9.21875" style="108"/>
    <col min="12" max="12" width="10.44140625" style="108" customWidth="1"/>
    <col min="13" max="13" width="10.77734375" style="108" customWidth="1"/>
    <col min="14" max="22" width="9.21875" style="108"/>
    <col min="23" max="23" width="41.5546875" style="108" customWidth="1"/>
    <col min="24" max="24" width="9.21875" style="176"/>
    <col min="25" max="252" width="9.21875" style="108"/>
    <col min="253" max="253" width="10.21875" style="108" customWidth="1"/>
    <col min="254" max="254" width="8.77734375" style="108" customWidth="1"/>
    <col min="255" max="255" width="3.77734375" style="108" customWidth="1"/>
    <col min="256" max="256" width="8.21875" style="108" customWidth="1"/>
    <col min="257" max="257" width="9.77734375" style="108" customWidth="1"/>
    <col min="258" max="263" width="9.21875" style="108"/>
    <col min="264" max="264" width="10.44140625" style="108" customWidth="1"/>
    <col min="265" max="265" width="10.77734375" style="108" customWidth="1"/>
    <col min="266" max="508" width="9.21875" style="108"/>
    <col min="509" max="509" width="10.21875" style="108" customWidth="1"/>
    <col min="510" max="510" width="8.77734375" style="108" customWidth="1"/>
    <col min="511" max="511" width="3.77734375" style="108" customWidth="1"/>
    <col min="512" max="512" width="8.21875" style="108" customWidth="1"/>
    <col min="513" max="513" width="9.77734375" style="108" customWidth="1"/>
    <col min="514" max="519" width="9.21875" style="108"/>
    <col min="520" max="520" width="10.44140625" style="108" customWidth="1"/>
    <col min="521" max="521" width="10.77734375" style="108" customWidth="1"/>
    <col min="522" max="764" width="9.21875" style="108"/>
    <col min="765" max="765" width="10.21875" style="108" customWidth="1"/>
    <col min="766" max="766" width="8.77734375" style="108" customWidth="1"/>
    <col min="767" max="767" width="3.77734375" style="108" customWidth="1"/>
    <col min="768" max="768" width="8.21875" style="108" customWidth="1"/>
    <col min="769" max="769" width="9.77734375" style="108" customWidth="1"/>
    <col min="770" max="775" width="9.21875" style="108"/>
    <col min="776" max="776" width="10.44140625" style="108" customWidth="1"/>
    <col min="777" max="777" width="10.77734375" style="108" customWidth="1"/>
    <col min="778" max="1020" width="9.21875" style="108"/>
    <col min="1021" max="1021" width="10.21875" style="108" customWidth="1"/>
    <col min="1022" max="1022" width="8.77734375" style="108" customWidth="1"/>
    <col min="1023" max="1023" width="3.77734375" style="108" customWidth="1"/>
    <col min="1024" max="1024" width="8.21875" style="108" customWidth="1"/>
    <col min="1025" max="1025" width="9.77734375" style="108" customWidth="1"/>
    <col min="1026" max="1031" width="9.21875" style="108"/>
    <col min="1032" max="1032" width="10.44140625" style="108" customWidth="1"/>
    <col min="1033" max="1033" width="10.77734375" style="108" customWidth="1"/>
    <col min="1034" max="1276" width="9.21875" style="108"/>
    <col min="1277" max="1277" width="10.21875" style="108" customWidth="1"/>
    <col min="1278" max="1278" width="8.77734375" style="108" customWidth="1"/>
    <col min="1279" max="1279" width="3.77734375" style="108" customWidth="1"/>
    <col min="1280" max="1280" width="8.21875" style="108" customWidth="1"/>
    <col min="1281" max="1281" width="9.77734375" style="108" customWidth="1"/>
    <col min="1282" max="1287" width="9.21875" style="108"/>
    <col min="1288" max="1288" width="10.44140625" style="108" customWidth="1"/>
    <col min="1289" max="1289" width="10.77734375" style="108" customWidth="1"/>
    <col min="1290" max="1532" width="9.21875" style="108"/>
    <col min="1533" max="1533" width="10.21875" style="108" customWidth="1"/>
    <col min="1534" max="1534" width="8.77734375" style="108" customWidth="1"/>
    <col min="1535" max="1535" width="3.77734375" style="108" customWidth="1"/>
    <col min="1536" max="1536" width="8.21875" style="108" customWidth="1"/>
    <col min="1537" max="1537" width="9.77734375" style="108" customWidth="1"/>
    <col min="1538" max="1543" width="9.21875" style="108"/>
    <col min="1544" max="1544" width="10.44140625" style="108" customWidth="1"/>
    <col min="1545" max="1545" width="10.77734375" style="108" customWidth="1"/>
    <col min="1546" max="1788" width="9.21875" style="108"/>
    <col min="1789" max="1789" width="10.21875" style="108" customWidth="1"/>
    <col min="1790" max="1790" width="8.77734375" style="108" customWidth="1"/>
    <col min="1791" max="1791" width="3.77734375" style="108" customWidth="1"/>
    <col min="1792" max="1792" width="8.21875" style="108" customWidth="1"/>
    <col min="1793" max="1793" width="9.77734375" style="108" customWidth="1"/>
    <col min="1794" max="1799" width="9.21875" style="108"/>
    <col min="1800" max="1800" width="10.44140625" style="108" customWidth="1"/>
    <col min="1801" max="1801" width="10.77734375" style="108" customWidth="1"/>
    <col min="1802" max="2044" width="9.21875" style="108"/>
    <col min="2045" max="2045" width="10.21875" style="108" customWidth="1"/>
    <col min="2046" max="2046" width="8.77734375" style="108" customWidth="1"/>
    <col min="2047" max="2047" width="3.77734375" style="108" customWidth="1"/>
    <col min="2048" max="2048" width="8.21875" style="108" customWidth="1"/>
    <col min="2049" max="2049" width="9.77734375" style="108" customWidth="1"/>
    <col min="2050" max="2055" width="9.21875" style="108"/>
    <col min="2056" max="2056" width="10.44140625" style="108" customWidth="1"/>
    <col min="2057" max="2057" width="10.77734375" style="108" customWidth="1"/>
    <col min="2058" max="2300" width="9.21875" style="108"/>
    <col min="2301" max="2301" width="10.21875" style="108" customWidth="1"/>
    <col min="2302" max="2302" width="8.77734375" style="108" customWidth="1"/>
    <col min="2303" max="2303" width="3.77734375" style="108" customWidth="1"/>
    <col min="2304" max="2304" width="8.21875" style="108" customWidth="1"/>
    <col min="2305" max="2305" width="9.77734375" style="108" customWidth="1"/>
    <col min="2306" max="2311" width="9.21875" style="108"/>
    <col min="2312" max="2312" width="10.44140625" style="108" customWidth="1"/>
    <col min="2313" max="2313" width="10.77734375" style="108" customWidth="1"/>
    <col min="2314" max="2556" width="9.21875" style="108"/>
    <col min="2557" max="2557" width="10.21875" style="108" customWidth="1"/>
    <col min="2558" max="2558" width="8.77734375" style="108" customWidth="1"/>
    <col min="2559" max="2559" width="3.77734375" style="108" customWidth="1"/>
    <col min="2560" max="2560" width="8.21875" style="108" customWidth="1"/>
    <col min="2561" max="2561" width="9.77734375" style="108" customWidth="1"/>
    <col min="2562" max="2567" width="9.21875" style="108"/>
    <col min="2568" max="2568" width="10.44140625" style="108" customWidth="1"/>
    <col min="2569" max="2569" width="10.77734375" style="108" customWidth="1"/>
    <col min="2570" max="2812" width="9.21875" style="108"/>
    <col min="2813" max="2813" width="10.21875" style="108" customWidth="1"/>
    <col min="2814" max="2814" width="8.77734375" style="108" customWidth="1"/>
    <col min="2815" max="2815" width="3.77734375" style="108" customWidth="1"/>
    <col min="2816" max="2816" width="8.21875" style="108" customWidth="1"/>
    <col min="2817" max="2817" width="9.77734375" style="108" customWidth="1"/>
    <col min="2818" max="2823" width="9.21875" style="108"/>
    <col min="2824" max="2824" width="10.44140625" style="108" customWidth="1"/>
    <col min="2825" max="2825" width="10.77734375" style="108" customWidth="1"/>
    <col min="2826" max="3068" width="9.21875" style="108"/>
    <col min="3069" max="3069" width="10.21875" style="108" customWidth="1"/>
    <col min="3070" max="3070" width="8.77734375" style="108" customWidth="1"/>
    <col min="3071" max="3071" width="3.77734375" style="108" customWidth="1"/>
    <col min="3072" max="3072" width="8.21875" style="108" customWidth="1"/>
    <col min="3073" max="3073" width="9.77734375" style="108" customWidth="1"/>
    <col min="3074" max="3079" width="9.21875" style="108"/>
    <col min="3080" max="3080" width="10.44140625" style="108" customWidth="1"/>
    <col min="3081" max="3081" width="10.77734375" style="108" customWidth="1"/>
    <col min="3082" max="3324" width="9.21875" style="108"/>
    <col min="3325" max="3325" width="10.21875" style="108" customWidth="1"/>
    <col min="3326" max="3326" width="8.77734375" style="108" customWidth="1"/>
    <col min="3327" max="3327" width="3.77734375" style="108" customWidth="1"/>
    <col min="3328" max="3328" width="8.21875" style="108" customWidth="1"/>
    <col min="3329" max="3329" width="9.77734375" style="108" customWidth="1"/>
    <col min="3330" max="3335" width="9.21875" style="108"/>
    <col min="3336" max="3336" width="10.44140625" style="108" customWidth="1"/>
    <col min="3337" max="3337" width="10.77734375" style="108" customWidth="1"/>
    <col min="3338" max="3580" width="9.21875" style="108"/>
    <col min="3581" max="3581" width="10.21875" style="108" customWidth="1"/>
    <col min="3582" max="3582" width="8.77734375" style="108" customWidth="1"/>
    <col min="3583" max="3583" width="3.77734375" style="108" customWidth="1"/>
    <col min="3584" max="3584" width="8.21875" style="108" customWidth="1"/>
    <col min="3585" max="3585" width="9.77734375" style="108" customWidth="1"/>
    <col min="3586" max="3591" width="9.21875" style="108"/>
    <col min="3592" max="3592" width="10.44140625" style="108" customWidth="1"/>
    <col min="3593" max="3593" width="10.77734375" style="108" customWidth="1"/>
    <col min="3594" max="3836" width="9.21875" style="108"/>
    <col min="3837" max="3837" width="10.21875" style="108" customWidth="1"/>
    <col min="3838" max="3838" width="8.77734375" style="108" customWidth="1"/>
    <col min="3839" max="3839" width="3.77734375" style="108" customWidth="1"/>
    <col min="3840" max="3840" width="8.21875" style="108" customWidth="1"/>
    <col min="3841" max="3841" width="9.77734375" style="108" customWidth="1"/>
    <col min="3842" max="3847" width="9.21875" style="108"/>
    <col min="3848" max="3848" width="10.44140625" style="108" customWidth="1"/>
    <col min="3849" max="3849" width="10.77734375" style="108" customWidth="1"/>
    <col min="3850" max="4092" width="9.21875" style="108"/>
    <col min="4093" max="4093" width="10.21875" style="108" customWidth="1"/>
    <col min="4094" max="4094" width="8.77734375" style="108" customWidth="1"/>
    <col min="4095" max="4095" width="3.77734375" style="108" customWidth="1"/>
    <col min="4096" max="4096" width="8.21875" style="108" customWidth="1"/>
    <col min="4097" max="4097" width="9.77734375" style="108" customWidth="1"/>
    <col min="4098" max="4103" width="9.21875" style="108"/>
    <col min="4104" max="4104" width="10.44140625" style="108" customWidth="1"/>
    <col min="4105" max="4105" width="10.77734375" style="108" customWidth="1"/>
    <col min="4106" max="4348" width="9.21875" style="108"/>
    <col min="4349" max="4349" width="10.21875" style="108" customWidth="1"/>
    <col min="4350" max="4350" width="8.77734375" style="108" customWidth="1"/>
    <col min="4351" max="4351" width="3.77734375" style="108" customWidth="1"/>
    <col min="4352" max="4352" width="8.21875" style="108" customWidth="1"/>
    <col min="4353" max="4353" width="9.77734375" style="108" customWidth="1"/>
    <col min="4354" max="4359" width="9.21875" style="108"/>
    <col min="4360" max="4360" width="10.44140625" style="108" customWidth="1"/>
    <col min="4361" max="4361" width="10.77734375" style="108" customWidth="1"/>
    <col min="4362" max="4604" width="9.21875" style="108"/>
    <col min="4605" max="4605" width="10.21875" style="108" customWidth="1"/>
    <col min="4606" max="4606" width="8.77734375" style="108" customWidth="1"/>
    <col min="4607" max="4607" width="3.77734375" style="108" customWidth="1"/>
    <col min="4608" max="4608" width="8.21875" style="108" customWidth="1"/>
    <col min="4609" max="4609" width="9.77734375" style="108" customWidth="1"/>
    <col min="4610" max="4615" width="9.21875" style="108"/>
    <col min="4616" max="4616" width="10.44140625" style="108" customWidth="1"/>
    <col min="4617" max="4617" width="10.77734375" style="108" customWidth="1"/>
    <col min="4618" max="4860" width="9.21875" style="108"/>
    <col min="4861" max="4861" width="10.21875" style="108" customWidth="1"/>
    <col min="4862" max="4862" width="8.77734375" style="108" customWidth="1"/>
    <col min="4863" max="4863" width="3.77734375" style="108" customWidth="1"/>
    <col min="4864" max="4864" width="8.21875" style="108" customWidth="1"/>
    <col min="4865" max="4865" width="9.77734375" style="108" customWidth="1"/>
    <col min="4866" max="4871" width="9.21875" style="108"/>
    <col min="4872" max="4872" width="10.44140625" style="108" customWidth="1"/>
    <col min="4873" max="4873" width="10.77734375" style="108" customWidth="1"/>
    <col min="4874" max="5116" width="9.21875" style="108"/>
    <col min="5117" max="5117" width="10.21875" style="108" customWidth="1"/>
    <col min="5118" max="5118" width="8.77734375" style="108" customWidth="1"/>
    <col min="5119" max="5119" width="3.77734375" style="108" customWidth="1"/>
    <col min="5120" max="5120" width="8.21875" style="108" customWidth="1"/>
    <col min="5121" max="5121" width="9.77734375" style="108" customWidth="1"/>
    <col min="5122" max="5127" width="9.21875" style="108"/>
    <col min="5128" max="5128" width="10.44140625" style="108" customWidth="1"/>
    <col min="5129" max="5129" width="10.77734375" style="108" customWidth="1"/>
    <col min="5130" max="5372" width="9.21875" style="108"/>
    <col min="5373" max="5373" width="10.21875" style="108" customWidth="1"/>
    <col min="5374" max="5374" width="8.77734375" style="108" customWidth="1"/>
    <col min="5375" max="5375" width="3.77734375" style="108" customWidth="1"/>
    <col min="5376" max="5376" width="8.21875" style="108" customWidth="1"/>
    <col min="5377" max="5377" width="9.77734375" style="108" customWidth="1"/>
    <col min="5378" max="5383" width="9.21875" style="108"/>
    <col min="5384" max="5384" width="10.44140625" style="108" customWidth="1"/>
    <col min="5385" max="5385" width="10.77734375" style="108" customWidth="1"/>
    <col min="5386" max="5628" width="9.21875" style="108"/>
    <col min="5629" max="5629" width="10.21875" style="108" customWidth="1"/>
    <col min="5630" max="5630" width="8.77734375" style="108" customWidth="1"/>
    <col min="5631" max="5631" width="3.77734375" style="108" customWidth="1"/>
    <col min="5632" max="5632" width="8.21875" style="108" customWidth="1"/>
    <col min="5633" max="5633" width="9.77734375" style="108" customWidth="1"/>
    <col min="5634" max="5639" width="9.21875" style="108"/>
    <col min="5640" max="5640" width="10.44140625" style="108" customWidth="1"/>
    <col min="5641" max="5641" width="10.77734375" style="108" customWidth="1"/>
    <col min="5642" max="5884" width="9.21875" style="108"/>
    <col min="5885" max="5885" width="10.21875" style="108" customWidth="1"/>
    <col min="5886" max="5886" width="8.77734375" style="108" customWidth="1"/>
    <col min="5887" max="5887" width="3.77734375" style="108" customWidth="1"/>
    <col min="5888" max="5888" width="8.21875" style="108" customWidth="1"/>
    <col min="5889" max="5889" width="9.77734375" style="108" customWidth="1"/>
    <col min="5890" max="5895" width="9.21875" style="108"/>
    <col min="5896" max="5896" width="10.44140625" style="108" customWidth="1"/>
    <col min="5897" max="5897" width="10.77734375" style="108" customWidth="1"/>
    <col min="5898" max="6140" width="9.21875" style="108"/>
    <col min="6141" max="6141" width="10.21875" style="108" customWidth="1"/>
    <col min="6142" max="6142" width="8.77734375" style="108" customWidth="1"/>
    <col min="6143" max="6143" width="3.77734375" style="108" customWidth="1"/>
    <col min="6144" max="6144" width="8.21875" style="108" customWidth="1"/>
    <col min="6145" max="6145" width="9.77734375" style="108" customWidth="1"/>
    <col min="6146" max="6151" width="9.21875" style="108"/>
    <col min="6152" max="6152" width="10.44140625" style="108" customWidth="1"/>
    <col min="6153" max="6153" width="10.77734375" style="108" customWidth="1"/>
    <col min="6154" max="6396" width="9.21875" style="108"/>
    <col min="6397" max="6397" width="10.21875" style="108" customWidth="1"/>
    <col min="6398" max="6398" width="8.77734375" style="108" customWidth="1"/>
    <col min="6399" max="6399" width="3.77734375" style="108" customWidth="1"/>
    <col min="6400" max="6400" width="8.21875" style="108" customWidth="1"/>
    <col min="6401" max="6401" width="9.77734375" style="108" customWidth="1"/>
    <col min="6402" max="6407" width="9.21875" style="108"/>
    <col min="6408" max="6408" width="10.44140625" style="108" customWidth="1"/>
    <col min="6409" max="6409" width="10.77734375" style="108" customWidth="1"/>
    <col min="6410" max="6652" width="9.21875" style="108"/>
    <col min="6653" max="6653" width="10.21875" style="108" customWidth="1"/>
    <col min="6654" max="6654" width="8.77734375" style="108" customWidth="1"/>
    <col min="6655" max="6655" width="3.77734375" style="108" customWidth="1"/>
    <col min="6656" max="6656" width="8.21875" style="108" customWidth="1"/>
    <col min="6657" max="6657" width="9.77734375" style="108" customWidth="1"/>
    <col min="6658" max="6663" width="9.21875" style="108"/>
    <col min="6664" max="6664" width="10.44140625" style="108" customWidth="1"/>
    <col min="6665" max="6665" width="10.77734375" style="108" customWidth="1"/>
    <col min="6666" max="6908" width="9.21875" style="108"/>
    <col min="6909" max="6909" width="10.21875" style="108" customWidth="1"/>
    <col min="6910" max="6910" width="8.77734375" style="108" customWidth="1"/>
    <col min="6911" max="6911" width="3.77734375" style="108" customWidth="1"/>
    <col min="6912" max="6912" width="8.21875" style="108" customWidth="1"/>
    <col min="6913" max="6913" width="9.77734375" style="108" customWidth="1"/>
    <col min="6914" max="6919" width="9.21875" style="108"/>
    <col min="6920" max="6920" width="10.44140625" style="108" customWidth="1"/>
    <col min="6921" max="6921" width="10.77734375" style="108" customWidth="1"/>
    <col min="6922" max="7164" width="9.21875" style="108"/>
    <col min="7165" max="7165" width="10.21875" style="108" customWidth="1"/>
    <col min="7166" max="7166" width="8.77734375" style="108" customWidth="1"/>
    <col min="7167" max="7167" width="3.77734375" style="108" customWidth="1"/>
    <col min="7168" max="7168" width="8.21875" style="108" customWidth="1"/>
    <col min="7169" max="7169" width="9.77734375" style="108" customWidth="1"/>
    <col min="7170" max="7175" width="9.21875" style="108"/>
    <col min="7176" max="7176" width="10.44140625" style="108" customWidth="1"/>
    <col min="7177" max="7177" width="10.77734375" style="108" customWidth="1"/>
    <col min="7178" max="7420" width="9.21875" style="108"/>
    <col min="7421" max="7421" width="10.21875" style="108" customWidth="1"/>
    <col min="7422" max="7422" width="8.77734375" style="108" customWidth="1"/>
    <col min="7423" max="7423" width="3.77734375" style="108" customWidth="1"/>
    <col min="7424" max="7424" width="8.21875" style="108" customWidth="1"/>
    <col min="7425" max="7425" width="9.77734375" style="108" customWidth="1"/>
    <col min="7426" max="7431" width="9.21875" style="108"/>
    <col min="7432" max="7432" width="10.44140625" style="108" customWidth="1"/>
    <col min="7433" max="7433" width="10.77734375" style="108" customWidth="1"/>
    <col min="7434" max="7676" width="9.21875" style="108"/>
    <col min="7677" max="7677" width="10.21875" style="108" customWidth="1"/>
    <col min="7678" max="7678" width="8.77734375" style="108" customWidth="1"/>
    <col min="7679" max="7679" width="3.77734375" style="108" customWidth="1"/>
    <col min="7680" max="7680" width="8.21875" style="108" customWidth="1"/>
    <col min="7681" max="7681" width="9.77734375" style="108" customWidth="1"/>
    <col min="7682" max="7687" width="9.21875" style="108"/>
    <col min="7688" max="7688" width="10.44140625" style="108" customWidth="1"/>
    <col min="7689" max="7689" width="10.77734375" style="108" customWidth="1"/>
    <col min="7690" max="7932" width="9.21875" style="108"/>
    <col min="7933" max="7933" width="10.21875" style="108" customWidth="1"/>
    <col min="7934" max="7934" width="8.77734375" style="108" customWidth="1"/>
    <col min="7935" max="7935" width="3.77734375" style="108" customWidth="1"/>
    <col min="7936" max="7936" width="8.21875" style="108" customWidth="1"/>
    <col min="7937" max="7937" width="9.77734375" style="108" customWidth="1"/>
    <col min="7938" max="7943" width="9.21875" style="108"/>
    <col min="7944" max="7944" width="10.44140625" style="108" customWidth="1"/>
    <col min="7945" max="7945" width="10.77734375" style="108" customWidth="1"/>
    <col min="7946" max="8188" width="9.21875" style="108"/>
    <col min="8189" max="8189" width="10.21875" style="108" customWidth="1"/>
    <col min="8190" max="8190" width="8.77734375" style="108" customWidth="1"/>
    <col min="8191" max="8191" width="3.77734375" style="108" customWidth="1"/>
    <col min="8192" max="8192" width="8.21875" style="108" customWidth="1"/>
    <col min="8193" max="8193" width="9.77734375" style="108" customWidth="1"/>
    <col min="8194" max="8199" width="9.21875" style="108"/>
    <col min="8200" max="8200" width="10.44140625" style="108" customWidth="1"/>
    <col min="8201" max="8201" width="10.77734375" style="108" customWidth="1"/>
    <col min="8202" max="8444" width="9.21875" style="108"/>
    <col min="8445" max="8445" width="10.21875" style="108" customWidth="1"/>
    <col min="8446" max="8446" width="8.77734375" style="108" customWidth="1"/>
    <col min="8447" max="8447" width="3.77734375" style="108" customWidth="1"/>
    <col min="8448" max="8448" width="8.21875" style="108" customWidth="1"/>
    <col min="8449" max="8449" width="9.77734375" style="108" customWidth="1"/>
    <col min="8450" max="8455" width="9.21875" style="108"/>
    <col min="8456" max="8456" width="10.44140625" style="108" customWidth="1"/>
    <col min="8457" max="8457" width="10.77734375" style="108" customWidth="1"/>
    <col min="8458" max="8700" width="9.21875" style="108"/>
    <col min="8701" max="8701" width="10.21875" style="108" customWidth="1"/>
    <col min="8702" max="8702" width="8.77734375" style="108" customWidth="1"/>
    <col min="8703" max="8703" width="3.77734375" style="108" customWidth="1"/>
    <col min="8704" max="8704" width="8.21875" style="108" customWidth="1"/>
    <col min="8705" max="8705" width="9.77734375" style="108" customWidth="1"/>
    <col min="8706" max="8711" width="9.21875" style="108"/>
    <col min="8712" max="8712" width="10.44140625" style="108" customWidth="1"/>
    <col min="8713" max="8713" width="10.77734375" style="108" customWidth="1"/>
    <col min="8714" max="8956" width="9.21875" style="108"/>
    <col min="8957" max="8957" width="10.21875" style="108" customWidth="1"/>
    <col min="8958" max="8958" width="8.77734375" style="108" customWidth="1"/>
    <col min="8959" max="8959" width="3.77734375" style="108" customWidth="1"/>
    <col min="8960" max="8960" width="8.21875" style="108" customWidth="1"/>
    <col min="8961" max="8961" width="9.77734375" style="108" customWidth="1"/>
    <col min="8962" max="8967" width="9.21875" style="108"/>
    <col min="8968" max="8968" width="10.44140625" style="108" customWidth="1"/>
    <col min="8969" max="8969" width="10.77734375" style="108" customWidth="1"/>
    <col min="8970" max="9212" width="9.21875" style="108"/>
    <col min="9213" max="9213" width="10.21875" style="108" customWidth="1"/>
    <col min="9214" max="9214" width="8.77734375" style="108" customWidth="1"/>
    <col min="9215" max="9215" width="3.77734375" style="108" customWidth="1"/>
    <col min="9216" max="9216" width="8.21875" style="108" customWidth="1"/>
    <col min="9217" max="9217" width="9.77734375" style="108" customWidth="1"/>
    <col min="9218" max="9223" width="9.21875" style="108"/>
    <col min="9224" max="9224" width="10.44140625" style="108" customWidth="1"/>
    <col min="9225" max="9225" width="10.77734375" style="108" customWidth="1"/>
    <col min="9226" max="9468" width="9.21875" style="108"/>
    <col min="9469" max="9469" width="10.21875" style="108" customWidth="1"/>
    <col min="9470" max="9470" width="8.77734375" style="108" customWidth="1"/>
    <col min="9471" max="9471" width="3.77734375" style="108" customWidth="1"/>
    <col min="9472" max="9472" width="8.21875" style="108" customWidth="1"/>
    <col min="9473" max="9473" width="9.77734375" style="108" customWidth="1"/>
    <col min="9474" max="9479" width="9.21875" style="108"/>
    <col min="9480" max="9480" width="10.44140625" style="108" customWidth="1"/>
    <col min="9481" max="9481" width="10.77734375" style="108" customWidth="1"/>
    <col min="9482" max="9724" width="9.21875" style="108"/>
    <col min="9725" max="9725" width="10.21875" style="108" customWidth="1"/>
    <col min="9726" max="9726" width="8.77734375" style="108" customWidth="1"/>
    <col min="9727" max="9727" width="3.77734375" style="108" customWidth="1"/>
    <col min="9728" max="9728" width="8.21875" style="108" customWidth="1"/>
    <col min="9729" max="9729" width="9.77734375" style="108" customWidth="1"/>
    <col min="9730" max="9735" width="9.21875" style="108"/>
    <col min="9736" max="9736" width="10.44140625" style="108" customWidth="1"/>
    <col min="9737" max="9737" width="10.77734375" style="108" customWidth="1"/>
    <col min="9738" max="9980" width="9.21875" style="108"/>
    <col min="9981" max="9981" width="10.21875" style="108" customWidth="1"/>
    <col min="9982" max="9982" width="8.77734375" style="108" customWidth="1"/>
    <col min="9983" max="9983" width="3.77734375" style="108" customWidth="1"/>
    <col min="9984" max="9984" width="8.21875" style="108" customWidth="1"/>
    <col min="9985" max="9985" width="9.77734375" style="108" customWidth="1"/>
    <col min="9986" max="9991" width="9.21875" style="108"/>
    <col min="9992" max="9992" width="10.44140625" style="108" customWidth="1"/>
    <col min="9993" max="9993" width="10.77734375" style="108" customWidth="1"/>
    <col min="9994" max="10236" width="9.21875" style="108"/>
    <col min="10237" max="10237" width="10.21875" style="108" customWidth="1"/>
    <col min="10238" max="10238" width="8.77734375" style="108" customWidth="1"/>
    <col min="10239" max="10239" width="3.77734375" style="108" customWidth="1"/>
    <col min="10240" max="10240" width="8.21875" style="108" customWidth="1"/>
    <col min="10241" max="10241" width="9.77734375" style="108" customWidth="1"/>
    <col min="10242" max="10247" width="9.21875" style="108"/>
    <col min="10248" max="10248" width="10.44140625" style="108" customWidth="1"/>
    <col min="10249" max="10249" width="10.77734375" style="108" customWidth="1"/>
    <col min="10250" max="10492" width="9.21875" style="108"/>
    <col min="10493" max="10493" width="10.21875" style="108" customWidth="1"/>
    <col min="10494" max="10494" width="8.77734375" style="108" customWidth="1"/>
    <col min="10495" max="10495" width="3.77734375" style="108" customWidth="1"/>
    <col min="10496" max="10496" width="8.21875" style="108" customWidth="1"/>
    <col min="10497" max="10497" width="9.77734375" style="108" customWidth="1"/>
    <col min="10498" max="10503" width="9.21875" style="108"/>
    <col min="10504" max="10504" width="10.44140625" style="108" customWidth="1"/>
    <col min="10505" max="10505" width="10.77734375" style="108" customWidth="1"/>
    <col min="10506" max="10748" width="9.21875" style="108"/>
    <col min="10749" max="10749" width="10.21875" style="108" customWidth="1"/>
    <col min="10750" max="10750" width="8.77734375" style="108" customWidth="1"/>
    <col min="10751" max="10751" width="3.77734375" style="108" customWidth="1"/>
    <col min="10752" max="10752" width="8.21875" style="108" customWidth="1"/>
    <col min="10753" max="10753" width="9.77734375" style="108" customWidth="1"/>
    <col min="10754" max="10759" width="9.21875" style="108"/>
    <col min="10760" max="10760" width="10.44140625" style="108" customWidth="1"/>
    <col min="10761" max="10761" width="10.77734375" style="108" customWidth="1"/>
    <col min="10762" max="11004" width="9.21875" style="108"/>
    <col min="11005" max="11005" width="10.21875" style="108" customWidth="1"/>
    <col min="11006" max="11006" width="8.77734375" style="108" customWidth="1"/>
    <col min="11007" max="11007" width="3.77734375" style="108" customWidth="1"/>
    <col min="11008" max="11008" width="8.21875" style="108" customWidth="1"/>
    <col min="11009" max="11009" width="9.77734375" style="108" customWidth="1"/>
    <col min="11010" max="11015" width="9.21875" style="108"/>
    <col min="11016" max="11016" width="10.44140625" style="108" customWidth="1"/>
    <col min="11017" max="11017" width="10.77734375" style="108" customWidth="1"/>
    <col min="11018" max="11260" width="9.21875" style="108"/>
    <col min="11261" max="11261" width="10.21875" style="108" customWidth="1"/>
    <col min="11262" max="11262" width="8.77734375" style="108" customWidth="1"/>
    <col min="11263" max="11263" width="3.77734375" style="108" customWidth="1"/>
    <col min="11264" max="11264" width="8.21875" style="108" customWidth="1"/>
    <col min="11265" max="11265" width="9.77734375" style="108" customWidth="1"/>
    <col min="11266" max="11271" width="9.21875" style="108"/>
    <col min="11272" max="11272" width="10.44140625" style="108" customWidth="1"/>
    <col min="11273" max="11273" width="10.77734375" style="108" customWidth="1"/>
    <col min="11274" max="11516" width="9.21875" style="108"/>
    <col min="11517" max="11517" width="10.21875" style="108" customWidth="1"/>
    <col min="11518" max="11518" width="8.77734375" style="108" customWidth="1"/>
    <col min="11519" max="11519" width="3.77734375" style="108" customWidth="1"/>
    <col min="11520" max="11520" width="8.21875" style="108" customWidth="1"/>
    <col min="11521" max="11521" width="9.77734375" style="108" customWidth="1"/>
    <col min="11522" max="11527" width="9.21875" style="108"/>
    <col min="11528" max="11528" width="10.44140625" style="108" customWidth="1"/>
    <col min="11529" max="11529" width="10.77734375" style="108" customWidth="1"/>
    <col min="11530" max="11772" width="9.21875" style="108"/>
    <col min="11773" max="11773" width="10.21875" style="108" customWidth="1"/>
    <col min="11774" max="11774" width="8.77734375" style="108" customWidth="1"/>
    <col min="11775" max="11775" width="3.77734375" style="108" customWidth="1"/>
    <col min="11776" max="11776" width="8.21875" style="108" customWidth="1"/>
    <col min="11777" max="11777" width="9.77734375" style="108" customWidth="1"/>
    <col min="11778" max="11783" width="9.21875" style="108"/>
    <col min="11784" max="11784" width="10.44140625" style="108" customWidth="1"/>
    <col min="11785" max="11785" width="10.77734375" style="108" customWidth="1"/>
    <col min="11786" max="12028" width="9.21875" style="108"/>
    <col min="12029" max="12029" width="10.21875" style="108" customWidth="1"/>
    <col min="12030" max="12030" width="8.77734375" style="108" customWidth="1"/>
    <col min="12031" max="12031" width="3.77734375" style="108" customWidth="1"/>
    <col min="12032" max="12032" width="8.21875" style="108" customWidth="1"/>
    <col min="12033" max="12033" width="9.77734375" style="108" customWidth="1"/>
    <col min="12034" max="12039" width="9.21875" style="108"/>
    <col min="12040" max="12040" width="10.44140625" style="108" customWidth="1"/>
    <col min="12041" max="12041" width="10.77734375" style="108" customWidth="1"/>
    <col min="12042" max="12284" width="9.21875" style="108"/>
    <col min="12285" max="12285" width="10.21875" style="108" customWidth="1"/>
    <col min="12286" max="12286" width="8.77734375" style="108" customWidth="1"/>
    <col min="12287" max="12287" width="3.77734375" style="108" customWidth="1"/>
    <col min="12288" max="12288" width="8.21875" style="108" customWidth="1"/>
    <col min="12289" max="12289" width="9.77734375" style="108" customWidth="1"/>
    <col min="12290" max="12295" width="9.21875" style="108"/>
    <col min="12296" max="12296" width="10.44140625" style="108" customWidth="1"/>
    <col min="12297" max="12297" width="10.77734375" style="108" customWidth="1"/>
    <col min="12298" max="12540" width="9.21875" style="108"/>
    <col min="12541" max="12541" width="10.21875" style="108" customWidth="1"/>
    <col min="12542" max="12542" width="8.77734375" style="108" customWidth="1"/>
    <col min="12543" max="12543" width="3.77734375" style="108" customWidth="1"/>
    <col min="12544" max="12544" width="8.21875" style="108" customWidth="1"/>
    <col min="12545" max="12545" width="9.77734375" style="108" customWidth="1"/>
    <col min="12546" max="12551" width="9.21875" style="108"/>
    <col min="12552" max="12552" width="10.44140625" style="108" customWidth="1"/>
    <col min="12553" max="12553" width="10.77734375" style="108" customWidth="1"/>
    <col min="12554" max="12796" width="9.21875" style="108"/>
    <col min="12797" max="12797" width="10.21875" style="108" customWidth="1"/>
    <col min="12798" max="12798" width="8.77734375" style="108" customWidth="1"/>
    <col min="12799" max="12799" width="3.77734375" style="108" customWidth="1"/>
    <col min="12800" max="12800" width="8.21875" style="108" customWidth="1"/>
    <col min="12801" max="12801" width="9.77734375" style="108" customWidth="1"/>
    <col min="12802" max="12807" width="9.21875" style="108"/>
    <col min="12808" max="12808" width="10.44140625" style="108" customWidth="1"/>
    <col min="12809" max="12809" width="10.77734375" style="108" customWidth="1"/>
    <col min="12810" max="13052" width="9.21875" style="108"/>
    <col min="13053" max="13053" width="10.21875" style="108" customWidth="1"/>
    <col min="13054" max="13054" width="8.77734375" style="108" customWidth="1"/>
    <col min="13055" max="13055" width="3.77734375" style="108" customWidth="1"/>
    <col min="13056" max="13056" width="8.21875" style="108" customWidth="1"/>
    <col min="13057" max="13057" width="9.77734375" style="108" customWidth="1"/>
    <col min="13058" max="13063" width="9.21875" style="108"/>
    <col min="13064" max="13064" width="10.44140625" style="108" customWidth="1"/>
    <col min="13065" max="13065" width="10.77734375" style="108" customWidth="1"/>
    <col min="13066" max="13308" width="9.21875" style="108"/>
    <col min="13309" max="13309" width="10.21875" style="108" customWidth="1"/>
    <col min="13310" max="13310" width="8.77734375" style="108" customWidth="1"/>
    <col min="13311" max="13311" width="3.77734375" style="108" customWidth="1"/>
    <col min="13312" max="13312" width="8.21875" style="108" customWidth="1"/>
    <col min="13313" max="13313" width="9.77734375" style="108" customWidth="1"/>
    <col min="13314" max="13319" width="9.21875" style="108"/>
    <col min="13320" max="13320" width="10.44140625" style="108" customWidth="1"/>
    <col min="13321" max="13321" width="10.77734375" style="108" customWidth="1"/>
    <col min="13322" max="13564" width="9.21875" style="108"/>
    <col min="13565" max="13565" width="10.21875" style="108" customWidth="1"/>
    <col min="13566" max="13566" width="8.77734375" style="108" customWidth="1"/>
    <col min="13567" max="13567" width="3.77734375" style="108" customWidth="1"/>
    <col min="13568" max="13568" width="8.21875" style="108" customWidth="1"/>
    <col min="13569" max="13569" width="9.77734375" style="108" customWidth="1"/>
    <col min="13570" max="13575" width="9.21875" style="108"/>
    <col min="13576" max="13576" width="10.44140625" style="108" customWidth="1"/>
    <col min="13577" max="13577" width="10.77734375" style="108" customWidth="1"/>
    <col min="13578" max="13820" width="9.21875" style="108"/>
    <col min="13821" max="13821" width="10.21875" style="108" customWidth="1"/>
    <col min="13822" max="13822" width="8.77734375" style="108" customWidth="1"/>
    <col min="13823" max="13823" width="3.77734375" style="108" customWidth="1"/>
    <col min="13824" max="13824" width="8.21875" style="108" customWidth="1"/>
    <col min="13825" max="13825" width="9.77734375" style="108" customWidth="1"/>
    <col min="13826" max="13831" width="9.21875" style="108"/>
    <col min="13832" max="13832" width="10.44140625" style="108" customWidth="1"/>
    <col min="13833" max="13833" width="10.77734375" style="108" customWidth="1"/>
    <col min="13834" max="14076" width="9.21875" style="108"/>
    <col min="14077" max="14077" width="10.21875" style="108" customWidth="1"/>
    <col min="14078" max="14078" width="8.77734375" style="108" customWidth="1"/>
    <col min="14079" max="14079" width="3.77734375" style="108" customWidth="1"/>
    <col min="14080" max="14080" width="8.21875" style="108" customWidth="1"/>
    <col min="14081" max="14081" width="9.77734375" style="108" customWidth="1"/>
    <col min="14082" max="14087" width="9.21875" style="108"/>
    <col min="14088" max="14088" width="10.44140625" style="108" customWidth="1"/>
    <col min="14089" max="14089" width="10.77734375" style="108" customWidth="1"/>
    <col min="14090" max="14332" width="9.21875" style="108"/>
    <col min="14333" max="14333" width="10.21875" style="108" customWidth="1"/>
    <col min="14334" max="14334" width="8.77734375" style="108" customWidth="1"/>
    <col min="14335" max="14335" width="3.77734375" style="108" customWidth="1"/>
    <col min="14336" max="14336" width="8.21875" style="108" customWidth="1"/>
    <col min="14337" max="14337" width="9.77734375" style="108" customWidth="1"/>
    <col min="14338" max="14343" width="9.21875" style="108"/>
    <col min="14344" max="14344" width="10.44140625" style="108" customWidth="1"/>
    <col min="14345" max="14345" width="10.77734375" style="108" customWidth="1"/>
    <col min="14346" max="14588" width="9.21875" style="108"/>
    <col min="14589" max="14589" width="10.21875" style="108" customWidth="1"/>
    <col min="14590" max="14590" width="8.77734375" style="108" customWidth="1"/>
    <col min="14591" max="14591" width="3.77734375" style="108" customWidth="1"/>
    <col min="14592" max="14592" width="8.21875" style="108" customWidth="1"/>
    <col min="14593" max="14593" width="9.77734375" style="108" customWidth="1"/>
    <col min="14594" max="14599" width="9.21875" style="108"/>
    <col min="14600" max="14600" width="10.44140625" style="108" customWidth="1"/>
    <col min="14601" max="14601" width="10.77734375" style="108" customWidth="1"/>
    <col min="14602" max="14844" width="9.21875" style="108"/>
    <col min="14845" max="14845" width="10.21875" style="108" customWidth="1"/>
    <col min="14846" max="14846" width="8.77734375" style="108" customWidth="1"/>
    <col min="14847" max="14847" width="3.77734375" style="108" customWidth="1"/>
    <col min="14848" max="14848" width="8.21875" style="108" customWidth="1"/>
    <col min="14849" max="14849" width="9.77734375" style="108" customWidth="1"/>
    <col min="14850" max="14855" width="9.21875" style="108"/>
    <col min="14856" max="14856" width="10.44140625" style="108" customWidth="1"/>
    <col min="14857" max="14857" width="10.77734375" style="108" customWidth="1"/>
    <col min="14858" max="15100" width="9.21875" style="108"/>
    <col min="15101" max="15101" width="10.21875" style="108" customWidth="1"/>
    <col min="15102" max="15102" width="8.77734375" style="108" customWidth="1"/>
    <col min="15103" max="15103" width="3.77734375" style="108" customWidth="1"/>
    <col min="15104" max="15104" width="8.21875" style="108" customWidth="1"/>
    <col min="15105" max="15105" width="9.77734375" style="108" customWidth="1"/>
    <col min="15106" max="15111" width="9.21875" style="108"/>
    <col min="15112" max="15112" width="10.44140625" style="108" customWidth="1"/>
    <col min="15113" max="15113" width="10.77734375" style="108" customWidth="1"/>
    <col min="15114" max="15356" width="9.21875" style="108"/>
    <col min="15357" max="15357" width="10.21875" style="108" customWidth="1"/>
    <col min="15358" max="15358" width="8.77734375" style="108" customWidth="1"/>
    <col min="15359" max="15359" width="3.77734375" style="108" customWidth="1"/>
    <col min="15360" max="15360" width="8.21875" style="108" customWidth="1"/>
    <col min="15361" max="15361" width="9.77734375" style="108" customWidth="1"/>
    <col min="15362" max="15367" width="9.21875" style="108"/>
    <col min="15368" max="15368" width="10.44140625" style="108" customWidth="1"/>
    <col min="15369" max="15369" width="10.77734375" style="108" customWidth="1"/>
    <col min="15370" max="15612" width="9.21875" style="108"/>
    <col min="15613" max="15613" width="10.21875" style="108" customWidth="1"/>
    <col min="15614" max="15614" width="8.77734375" style="108" customWidth="1"/>
    <col min="15615" max="15615" width="3.77734375" style="108" customWidth="1"/>
    <col min="15616" max="15616" width="8.21875" style="108" customWidth="1"/>
    <col min="15617" max="15617" width="9.77734375" style="108" customWidth="1"/>
    <col min="15618" max="15623" width="9.21875" style="108"/>
    <col min="15624" max="15624" width="10.44140625" style="108" customWidth="1"/>
    <col min="15625" max="15625" width="10.77734375" style="108" customWidth="1"/>
    <col min="15626" max="15868" width="9.21875" style="108"/>
    <col min="15869" max="15869" width="10.21875" style="108" customWidth="1"/>
    <col min="15870" max="15870" width="8.77734375" style="108" customWidth="1"/>
    <col min="15871" max="15871" width="3.77734375" style="108" customWidth="1"/>
    <col min="15872" max="15872" width="8.21875" style="108" customWidth="1"/>
    <col min="15873" max="15873" width="9.77734375" style="108" customWidth="1"/>
    <col min="15874" max="15879" width="9.21875" style="108"/>
    <col min="15880" max="15880" width="10.44140625" style="108" customWidth="1"/>
    <col min="15881" max="15881" width="10.77734375" style="108" customWidth="1"/>
    <col min="15882" max="16124" width="9.21875" style="108"/>
    <col min="16125" max="16125" width="10.21875" style="108" customWidth="1"/>
    <col min="16126" max="16126" width="8.77734375" style="108" customWidth="1"/>
    <col min="16127" max="16127" width="3.77734375" style="108" customWidth="1"/>
    <col min="16128" max="16128" width="8.21875" style="108" customWidth="1"/>
    <col min="16129" max="16129" width="9.77734375" style="108" customWidth="1"/>
    <col min="16130" max="16135" width="9.21875" style="108"/>
    <col min="16136" max="16136" width="10.44140625" style="108" customWidth="1"/>
    <col min="16137" max="16137" width="10.77734375" style="108" customWidth="1"/>
    <col min="16138" max="16384" width="9.21875" style="108"/>
  </cols>
  <sheetData>
    <row r="1" spans="1:24" s="107" customFormat="1" ht="26.4" x14ac:dyDescent="0.25">
      <c r="A1" s="106" t="s">
        <v>1206</v>
      </c>
      <c r="B1" s="202" t="s">
        <v>1207</v>
      </c>
      <c r="C1" s="202"/>
      <c r="D1" s="202"/>
      <c r="E1" s="106" t="s">
        <v>1208</v>
      </c>
      <c r="F1" s="106" t="s">
        <v>1209</v>
      </c>
      <c r="G1" s="106" t="s">
        <v>1210</v>
      </c>
      <c r="H1" s="106" t="s">
        <v>1211</v>
      </c>
      <c r="L1" s="106" t="s">
        <v>1245</v>
      </c>
      <c r="M1" s="106" t="s">
        <v>1206</v>
      </c>
      <c r="N1" s="106" t="s">
        <v>1240</v>
      </c>
      <c r="O1" s="106" t="s">
        <v>1213</v>
      </c>
      <c r="P1" s="106" t="s">
        <v>1214</v>
      </c>
      <c r="Q1" s="106" t="s">
        <v>1215</v>
      </c>
      <c r="R1" s="106" t="s">
        <v>1216</v>
      </c>
      <c r="W1" s="173" t="s">
        <v>1229</v>
      </c>
      <c r="X1" s="174" t="s">
        <v>1218</v>
      </c>
    </row>
    <row r="2" spans="1:24" ht="14.4" x14ac:dyDescent="0.3">
      <c r="A2" s="110" t="s">
        <v>1218</v>
      </c>
      <c r="B2" s="113" t="e">
        <f>[1]Calculator!$A$2</f>
        <v>#REF!</v>
      </c>
      <c r="C2" s="113" t="s">
        <v>1232</v>
      </c>
      <c r="D2" s="113"/>
      <c r="G2" s="111" t="e">
        <f>[1]Calculator!$F$3</f>
        <v>#REF!</v>
      </c>
      <c r="H2" s="111" t="e">
        <f>[1]Calculator!$G$3</f>
        <v>#REF!</v>
      </c>
      <c r="L2" s="109" t="s">
        <v>1218</v>
      </c>
      <c r="M2" s="162" t="e">
        <f>[1]Calculator!$M$2</f>
        <v>#REF!</v>
      </c>
      <c r="N2" s="163" t="e">
        <f>[1]Calculator!$N$2</f>
        <v>#REF!</v>
      </c>
      <c r="O2" s="163" t="e">
        <f>[1]Calculator!$O$2</f>
        <v>#REF!</v>
      </c>
      <c r="P2" s="163" t="e">
        <f>[1]Calculator!$P$2</f>
        <v>#REF!</v>
      </c>
      <c r="Q2" s="163" t="e">
        <f>[1]Calculator!$Q$2</f>
        <v>#REF!</v>
      </c>
      <c r="R2" s="144"/>
      <c r="W2" s="10" t="s">
        <v>807</v>
      </c>
      <c r="X2" s="175">
        <f>[1]Calculator!$W2</f>
        <v>0</v>
      </c>
    </row>
    <row r="3" spans="1:24" ht="14.4" x14ac:dyDescent="0.3">
      <c r="D3" s="145"/>
      <c r="G3" s="112"/>
      <c r="H3" s="112"/>
      <c r="L3" s="161"/>
      <c r="M3" s="145"/>
      <c r="N3" s="145"/>
      <c r="W3" s="10" t="s">
        <v>809</v>
      </c>
      <c r="X3" s="175">
        <f>[1]Calculator!$W3</f>
        <v>0</v>
      </c>
    </row>
    <row r="4" spans="1:24" ht="14.4" x14ac:dyDescent="0.3">
      <c r="A4" s="145"/>
      <c r="D4" s="145"/>
      <c r="G4" s="112"/>
      <c r="H4" s="112"/>
      <c r="L4" s="161"/>
      <c r="M4" s="145"/>
      <c r="N4" s="145"/>
      <c r="W4" s="10" t="s">
        <v>823</v>
      </c>
      <c r="X4" s="175">
        <f>[1]Calculator!$W4</f>
        <v>0</v>
      </c>
    </row>
    <row r="5" spans="1:24" ht="14.4" x14ac:dyDescent="0.3">
      <c r="D5" s="145"/>
      <c r="G5" s="112"/>
      <c r="H5" s="112"/>
      <c r="L5" s="161"/>
      <c r="M5" s="145"/>
      <c r="N5" s="145"/>
      <c r="W5" s="32" t="s">
        <v>829</v>
      </c>
      <c r="X5" s="175">
        <f>[1]Calculator!$W5</f>
        <v>0</v>
      </c>
    </row>
    <row r="6" spans="1:24" ht="14.4" x14ac:dyDescent="0.3">
      <c r="G6" s="112"/>
      <c r="H6" s="112"/>
      <c r="L6" s="161"/>
      <c r="M6" s="145"/>
      <c r="N6" s="145"/>
      <c r="W6" s="32" t="s">
        <v>832</v>
      </c>
      <c r="X6" s="175">
        <f>[1]Calculator!$W6</f>
        <v>0</v>
      </c>
    </row>
    <row r="7" spans="1:24" x14ac:dyDescent="0.25">
      <c r="G7" s="112"/>
      <c r="H7" s="112"/>
      <c r="W7" s="32" t="s">
        <v>836</v>
      </c>
      <c r="X7" s="175">
        <f>[1]Calculator!$W7</f>
        <v>0</v>
      </c>
    </row>
    <row r="8" spans="1:24" ht="26.4" x14ac:dyDescent="0.25">
      <c r="M8" s="106" t="s">
        <v>1221</v>
      </c>
      <c r="N8" s="106" t="s">
        <v>1240</v>
      </c>
      <c r="O8" s="106" t="s">
        <v>1213</v>
      </c>
      <c r="P8" s="106" t="s">
        <v>1214</v>
      </c>
      <c r="Q8" s="106" t="s">
        <v>1215</v>
      </c>
      <c r="R8" s="106" t="s">
        <v>1216</v>
      </c>
      <c r="W8" s="10" t="s">
        <v>838</v>
      </c>
      <c r="X8" s="175">
        <f>[1]Calculator!$W8</f>
        <v>0</v>
      </c>
    </row>
    <row r="9" spans="1:24" ht="14.4" x14ac:dyDescent="0.3">
      <c r="M9" s="162" t="e">
        <f>[1]Calculator!$M$8</f>
        <v>#REF!</v>
      </c>
      <c r="N9" s="163" t="e">
        <f>[1]Calculator!$N$8</f>
        <v>#REF!</v>
      </c>
      <c r="O9" s="163" t="e">
        <f>[1]Calculator!$P$8</f>
        <v>#REF!</v>
      </c>
      <c r="P9" s="163" t="e">
        <f>[1]Calculator!$Q$8</f>
        <v>#REF!</v>
      </c>
      <c r="Q9" s="163" t="e">
        <f>[1]Calculator!$R$8</f>
        <v>#REF!</v>
      </c>
      <c r="R9" s="144"/>
      <c r="W9" s="10" t="s">
        <v>840</v>
      </c>
      <c r="X9" s="175">
        <f>[1]Calculator!$W9</f>
        <v>0</v>
      </c>
    </row>
    <row r="10" spans="1:24" ht="14.4" x14ac:dyDescent="0.3">
      <c r="M10" s="145"/>
      <c r="N10" s="145"/>
      <c r="W10" s="10" t="s">
        <v>846</v>
      </c>
      <c r="X10" s="175">
        <f>[1]Calculator!$W10</f>
        <v>0</v>
      </c>
    </row>
    <row r="11" spans="1:24" ht="14.4" x14ac:dyDescent="0.3">
      <c r="M11" s="145"/>
      <c r="N11" s="145"/>
      <c r="W11" s="10" t="s">
        <v>854</v>
      </c>
      <c r="X11" s="175">
        <f>[1]Calculator!$W11</f>
        <v>0</v>
      </c>
    </row>
    <row r="12" spans="1:24" ht="27" x14ac:dyDescent="0.3">
      <c r="A12" s="106" t="s">
        <v>1206</v>
      </c>
      <c r="B12" s="202" t="s">
        <v>1207</v>
      </c>
      <c r="C12" s="202"/>
      <c r="D12" s="202"/>
      <c r="E12" s="106" t="s">
        <v>1219</v>
      </c>
      <c r="F12" s="106" t="s">
        <v>1220</v>
      </c>
      <c r="L12" s="107"/>
      <c r="M12" s="145"/>
      <c r="N12" s="145"/>
      <c r="W12" s="32" t="s">
        <v>862</v>
      </c>
      <c r="X12" s="175">
        <f>[1]Calculator!$W12</f>
        <v>0</v>
      </c>
    </row>
    <row r="13" spans="1:24" ht="26.4" x14ac:dyDescent="0.25">
      <c r="A13" s="110" t="s">
        <v>1218</v>
      </c>
      <c r="E13" s="111">
        <f>[1]Calculator!$F$9</f>
        <v>0</v>
      </c>
      <c r="F13" s="111">
        <f>[1]Calculator!$G$9</f>
        <v>0</v>
      </c>
      <c r="L13" s="161"/>
      <c r="M13" s="106" t="s">
        <v>1226</v>
      </c>
      <c r="N13" s="106" t="s">
        <v>1240</v>
      </c>
      <c r="O13" s="106" t="s">
        <v>1227</v>
      </c>
      <c r="P13" s="106" t="s">
        <v>1228</v>
      </c>
      <c r="W13" s="32" t="s">
        <v>866</v>
      </c>
      <c r="X13" s="175">
        <f>[1]Calculator!$W13</f>
        <v>0</v>
      </c>
    </row>
    <row r="14" spans="1:24" ht="26.4" x14ac:dyDescent="0.3">
      <c r="D14" s="145"/>
      <c r="G14" s="112"/>
      <c r="H14" s="112"/>
      <c r="L14" s="161"/>
      <c r="M14" s="162" t="e">
        <f>[1]Calculator!$M$13</f>
        <v>#REF!</v>
      </c>
      <c r="N14" s="163" t="e">
        <f>[1]Calculator!$N$13</f>
        <v>#REF!</v>
      </c>
      <c r="O14" s="163" t="e">
        <f>[1]Calculator!$O$13</f>
        <v>#REF!</v>
      </c>
      <c r="P14" s="163" t="e">
        <f>[1]Calculator!$P$13</f>
        <v>#REF!</v>
      </c>
      <c r="W14" s="32" t="s">
        <v>870</v>
      </c>
      <c r="X14" s="175">
        <f>[1]Calculator!$W14</f>
        <v>0</v>
      </c>
    </row>
    <row r="15" spans="1:24" ht="26.4" x14ac:dyDescent="0.3">
      <c r="A15" s="145"/>
      <c r="D15" s="145"/>
      <c r="G15" s="112"/>
      <c r="H15" s="112"/>
      <c r="L15" s="161"/>
      <c r="M15" s="145"/>
      <c r="N15" s="145"/>
      <c r="Q15" s="107"/>
      <c r="R15" s="107"/>
      <c r="W15" s="32" t="s">
        <v>872</v>
      </c>
      <c r="X15" s="175">
        <f>[1]Calculator!$W15</f>
        <v>0</v>
      </c>
    </row>
    <row r="16" spans="1:24" ht="26.4" x14ac:dyDescent="0.3">
      <c r="D16" s="145"/>
      <c r="G16" s="112"/>
      <c r="H16" s="112"/>
      <c r="L16" s="161"/>
      <c r="W16" s="30" t="s">
        <v>883</v>
      </c>
      <c r="X16" s="175">
        <f>[1]Calculator!$W16</f>
        <v>0</v>
      </c>
    </row>
    <row r="17" spans="1:24" ht="26.4" x14ac:dyDescent="0.3">
      <c r="A17" s="145"/>
      <c r="D17" s="145"/>
      <c r="G17" s="112"/>
      <c r="H17" s="112"/>
      <c r="L17" s="161"/>
      <c r="W17" s="32" t="s">
        <v>936</v>
      </c>
      <c r="X17" s="175">
        <f>[1]Calculator!$W17</f>
        <v>0</v>
      </c>
    </row>
    <row r="18" spans="1:24" ht="39.6" x14ac:dyDescent="0.25">
      <c r="W18" s="32" t="s">
        <v>1201</v>
      </c>
      <c r="X18" s="175">
        <f>[1]Calculator!$W18</f>
        <v>0</v>
      </c>
    </row>
    <row r="19" spans="1:24" ht="52.8" x14ac:dyDescent="0.25">
      <c r="A19" s="106" t="s">
        <v>1222</v>
      </c>
      <c r="B19" s="146"/>
      <c r="C19" s="146"/>
      <c r="D19" s="146"/>
      <c r="E19" s="106" t="s">
        <v>1223</v>
      </c>
      <c r="F19" s="106" t="s">
        <v>1224</v>
      </c>
      <c r="G19" s="106" t="s">
        <v>1225</v>
      </c>
      <c r="H19" s="107"/>
      <c r="I19" s="107"/>
      <c r="J19" s="107"/>
      <c r="K19" s="107"/>
      <c r="L19" s="107"/>
      <c r="M19" s="106" t="s">
        <v>1230</v>
      </c>
      <c r="N19" s="106" t="s">
        <v>1212</v>
      </c>
      <c r="O19" s="106" t="s">
        <v>1213</v>
      </c>
      <c r="P19" s="106" t="s">
        <v>1214</v>
      </c>
      <c r="Q19" s="106" t="s">
        <v>1215</v>
      </c>
      <c r="R19" s="106" t="s">
        <v>1216</v>
      </c>
      <c r="S19" s="107"/>
      <c r="W19" s="32" t="s">
        <v>1202</v>
      </c>
      <c r="X19" s="175">
        <f>[1]Calculator!$W19</f>
        <v>0</v>
      </c>
    </row>
    <row r="20" spans="1:24" ht="39.6" x14ac:dyDescent="0.3">
      <c r="A20" s="110" t="s">
        <v>1218</v>
      </c>
      <c r="B20" s="113" t="e">
        <f>[1]Calculator!$A$13</f>
        <v>#REF!</v>
      </c>
      <c r="C20" s="113" t="s">
        <v>1233</v>
      </c>
      <c r="D20" s="113"/>
      <c r="E20" s="111" t="e">
        <f>[1]Calculator!$G$13</f>
        <v>#REF!</v>
      </c>
      <c r="F20" s="111" t="e">
        <f>[1]Calculator!$H$13</f>
        <v>#REF!</v>
      </c>
      <c r="G20" s="111" t="e">
        <f>[1]Calculator!$I$13</f>
        <v>#REF!</v>
      </c>
      <c r="K20" s="112"/>
      <c r="L20" s="161"/>
      <c r="M20" s="162" t="e">
        <f>[1]Calculator!$M$21</f>
        <v>#REF!</v>
      </c>
      <c r="N20" s="162" t="e">
        <f>[1]Calculator!$N$21</f>
        <v>#REF!</v>
      </c>
      <c r="O20" s="162" t="e">
        <f>[1]Calculator!$O$21</f>
        <v>#REF!</v>
      </c>
      <c r="P20" s="162" t="e">
        <f>[1]Calculator!$P$21</f>
        <v>#REF!</v>
      </c>
      <c r="Q20" s="162" t="e">
        <f>[1]Calculator!$Q$21</f>
        <v>#REF!</v>
      </c>
      <c r="R20" s="162">
        <f>[1]Calculator!$R$21</f>
        <v>0</v>
      </c>
      <c r="W20" s="32" t="s">
        <v>949</v>
      </c>
      <c r="X20" s="175">
        <f>[1]Calculator!$W20</f>
        <v>0</v>
      </c>
    </row>
    <row r="21" spans="1:24" ht="39.6" x14ac:dyDescent="0.25">
      <c r="K21" s="111"/>
      <c r="L21" s="161"/>
      <c r="W21" s="32" t="s">
        <v>953</v>
      </c>
      <c r="X21" s="175">
        <f>[1]Calculator!$W21</f>
        <v>0</v>
      </c>
    </row>
    <row r="22" spans="1:24" ht="39.6" x14ac:dyDescent="0.25">
      <c r="L22" s="161"/>
      <c r="W22" s="30" t="s">
        <v>1203</v>
      </c>
      <c r="X22" s="175">
        <f>[1]Calculator!$W22</f>
        <v>0</v>
      </c>
    </row>
    <row r="23" spans="1:24" s="107" customFormat="1" ht="52.8" x14ac:dyDescent="0.25">
      <c r="A23" s="108"/>
      <c r="B23" s="108"/>
      <c r="C23" s="108"/>
      <c r="D23" s="108"/>
      <c r="E23" s="108"/>
      <c r="F23" s="108"/>
      <c r="G23" s="108"/>
      <c r="H23" s="108"/>
      <c r="I23" s="108"/>
      <c r="J23" s="108"/>
      <c r="K23" s="108"/>
      <c r="L23" s="108"/>
      <c r="M23" s="108"/>
      <c r="N23" s="108"/>
      <c r="Q23" s="108"/>
      <c r="R23" s="108"/>
      <c r="S23" s="108"/>
      <c r="W23" s="30" t="s">
        <v>1205</v>
      </c>
      <c r="X23" s="175">
        <f>[1]Calculator!$W23</f>
        <v>0</v>
      </c>
    </row>
    <row r="24" spans="1:24" ht="52.8" x14ac:dyDescent="0.25">
      <c r="W24" s="32" t="s">
        <v>968</v>
      </c>
      <c r="X24" s="175">
        <f>[1]Calculator!$W24</f>
        <v>0</v>
      </c>
    </row>
    <row r="25" spans="1:24" ht="52.8" x14ac:dyDescent="0.25">
      <c r="W25" s="32" t="s">
        <v>972</v>
      </c>
      <c r="X25" s="175">
        <f>[1]Calculator!$W25</f>
        <v>0</v>
      </c>
    </row>
    <row r="26" spans="1:24" ht="14.4" x14ac:dyDescent="0.3">
      <c r="A26" s="149" t="s">
        <v>1231</v>
      </c>
      <c r="B26" s="147">
        <v>112</v>
      </c>
      <c r="C26" s="150"/>
      <c r="D26" s="150"/>
      <c r="E26" s="150"/>
      <c r="F26" s="150"/>
      <c r="G26" s="150"/>
      <c r="H26" s="150"/>
      <c r="I26" s="150"/>
      <c r="J26" s="150"/>
      <c r="L26" s="107"/>
      <c r="W26" s="30" t="s">
        <v>1008</v>
      </c>
      <c r="X26" s="175">
        <f>[1]Calculator!$W26</f>
        <v>0</v>
      </c>
    </row>
    <row r="27" spans="1:24" ht="26.4" x14ac:dyDescent="0.3">
      <c r="A27" s="150"/>
      <c r="B27" s="150"/>
      <c r="C27" s="150"/>
      <c r="D27" s="150"/>
      <c r="E27" s="150"/>
      <c r="F27" s="150"/>
      <c r="G27" s="150"/>
      <c r="H27" s="150"/>
      <c r="I27" s="150"/>
      <c r="J27" s="150"/>
      <c r="L27" s="161"/>
      <c r="M27" s="145"/>
      <c r="N27" s="145"/>
      <c r="W27" s="30" t="s">
        <v>1016</v>
      </c>
      <c r="X27" s="175">
        <f>[1]Calculator!$W27</f>
        <v>0</v>
      </c>
    </row>
    <row r="28" spans="1:24" ht="14.4" x14ac:dyDescent="0.3">
      <c r="A28" s="150"/>
      <c r="B28" s="150"/>
      <c r="C28" s="150"/>
      <c r="D28" s="150"/>
      <c r="E28" s="150"/>
      <c r="F28" s="150"/>
      <c r="G28" s="150"/>
      <c r="H28" s="150"/>
      <c r="I28" s="150"/>
      <c r="J28" s="150"/>
      <c r="L28" s="161"/>
      <c r="M28" s="145"/>
      <c r="N28" s="145"/>
    </row>
    <row r="29" spans="1:24" ht="14.4" x14ac:dyDescent="0.3">
      <c r="A29" s="150"/>
      <c r="B29" s="150"/>
      <c r="C29" s="150"/>
      <c r="D29" s="150"/>
      <c r="E29" s="150"/>
      <c r="F29" s="150"/>
      <c r="G29" s="150"/>
      <c r="H29" s="150"/>
      <c r="I29" s="150"/>
      <c r="J29" s="150"/>
      <c r="L29" s="161"/>
      <c r="M29" s="145"/>
      <c r="N29" s="145"/>
    </row>
    <row r="30" spans="1:24" ht="40.200000000000003" x14ac:dyDescent="0.3">
      <c r="A30" s="151" t="s">
        <v>1234</v>
      </c>
      <c r="B30" s="152" t="s">
        <v>1207</v>
      </c>
      <c r="C30" s="152"/>
      <c r="D30" s="152"/>
      <c r="E30" s="151" t="s">
        <v>1236</v>
      </c>
      <c r="F30" s="151" t="s">
        <v>1237</v>
      </c>
      <c r="G30" s="151" t="s">
        <v>1238</v>
      </c>
      <c r="H30" s="151" t="s">
        <v>1239</v>
      </c>
      <c r="I30" s="151" t="s">
        <v>1240</v>
      </c>
      <c r="J30" s="150"/>
      <c r="L30" s="161"/>
      <c r="M30" s="145"/>
      <c r="N30" s="145"/>
    </row>
    <row r="31" spans="1:24" ht="15" thickBot="1" x14ac:dyDescent="0.35">
      <c r="A31" s="147">
        <v>15</v>
      </c>
      <c r="B31" s="148">
        <v>0</v>
      </c>
      <c r="C31" s="148" t="s">
        <v>1217</v>
      </c>
      <c r="D31" s="147">
        <v>1.2</v>
      </c>
      <c r="E31" s="147">
        <v>1</v>
      </c>
      <c r="F31" s="147">
        <v>0.6</v>
      </c>
      <c r="G31" s="153">
        <f>A31*E31</f>
        <v>15</v>
      </c>
      <c r="H31" s="153">
        <f>A31*F31</f>
        <v>9</v>
      </c>
      <c r="I31" s="154">
        <f>A31*D31</f>
        <v>18</v>
      </c>
      <c r="J31" s="150"/>
      <c r="L31" s="161"/>
      <c r="M31" s="145"/>
      <c r="N31" s="145"/>
    </row>
    <row r="32" spans="1:24" ht="15.6" x14ac:dyDescent="0.25">
      <c r="A32" s="155" t="s">
        <v>1218</v>
      </c>
      <c r="B32" s="156">
        <f>A31</f>
        <v>15</v>
      </c>
      <c r="C32" s="156" t="s">
        <v>1235</v>
      </c>
      <c r="D32" s="156"/>
      <c r="E32" s="150"/>
      <c r="F32" s="150"/>
      <c r="G32" s="157"/>
      <c r="H32" s="158" t="s">
        <v>1244</v>
      </c>
      <c r="I32" s="159">
        <f>A31*(D31*E31*F31)</f>
        <v>10.799999999999999</v>
      </c>
      <c r="J32" s="160" t="s">
        <v>1241</v>
      </c>
      <c r="L32" s="161"/>
    </row>
    <row r="33" spans="1:18" x14ac:dyDescent="0.25">
      <c r="A33" s="150"/>
      <c r="B33" s="150"/>
      <c r="C33" s="150"/>
      <c r="D33" s="150"/>
      <c r="E33" s="150"/>
      <c r="F33" s="150"/>
      <c r="G33" s="150"/>
      <c r="H33" s="150"/>
      <c r="I33" s="150"/>
      <c r="J33" s="150"/>
      <c r="O33" s="107"/>
      <c r="P33" s="107"/>
      <c r="Q33" s="107"/>
      <c r="R33" s="107"/>
    </row>
    <row r="34" spans="1:18" x14ac:dyDescent="0.25">
      <c r="A34" s="150"/>
      <c r="B34" s="150"/>
      <c r="C34" s="150"/>
      <c r="D34" s="150"/>
      <c r="E34" s="150"/>
      <c r="F34" s="150"/>
      <c r="G34" s="150"/>
      <c r="H34" s="150"/>
      <c r="I34" s="150"/>
      <c r="J34" s="150"/>
    </row>
  </sheetData>
  <mergeCells count="2">
    <mergeCell ref="B1:D1"/>
    <mergeCell ref="B12:D12"/>
  </mergeCell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15</vt:i4>
      </vt:variant>
      <vt:variant>
        <vt:lpstr>Named Ranges</vt:lpstr>
      </vt:variant>
      <vt:variant>
        <vt:i4>27</vt:i4>
      </vt:variant>
    </vt:vector>
  </HeadingPairs>
  <TitlesOfParts>
    <vt:vector size="42" baseType="lpstr">
      <vt:lpstr>Section A</vt:lpstr>
      <vt:lpstr>Section B</vt:lpstr>
      <vt:lpstr>Section C</vt:lpstr>
      <vt:lpstr>Section D</vt:lpstr>
      <vt:lpstr>Section E</vt:lpstr>
      <vt:lpstr>Section F</vt:lpstr>
      <vt:lpstr>Section G</vt:lpstr>
      <vt:lpstr>Section H</vt:lpstr>
      <vt:lpstr>Section I</vt:lpstr>
      <vt:lpstr>Section J</vt:lpstr>
      <vt:lpstr>Section K</vt:lpstr>
      <vt:lpstr>Section L</vt:lpstr>
      <vt:lpstr>Summary</vt:lpstr>
      <vt:lpstr>Appendices</vt:lpstr>
      <vt:lpstr>Calculator</vt:lpstr>
      <vt:lpstr>'Section H'!cellx</vt:lpstr>
      <vt:lpstr>Appendices!Print_Area</vt:lpstr>
      <vt:lpstr>'Section A'!Print_Area</vt:lpstr>
      <vt:lpstr>'Section B'!Print_Area</vt:lpstr>
      <vt:lpstr>'Section C'!Print_Area</vt:lpstr>
      <vt:lpstr>'Section D'!Print_Area</vt:lpstr>
      <vt:lpstr>'Section E'!Print_Area</vt:lpstr>
      <vt:lpstr>'Section F'!Print_Area</vt:lpstr>
      <vt:lpstr>'Section G'!Print_Area</vt:lpstr>
      <vt:lpstr>'Section H'!Print_Area</vt:lpstr>
      <vt:lpstr>'Section I'!Print_Area</vt:lpstr>
      <vt:lpstr>'Section J'!Print_Area</vt:lpstr>
      <vt:lpstr>'Section K'!Print_Area</vt:lpstr>
      <vt:lpstr>'Section L'!Print_Area</vt:lpstr>
      <vt:lpstr>Summary!Print_Area</vt:lpstr>
      <vt:lpstr>'Section A'!TOTAL_A</vt:lpstr>
      <vt:lpstr>'Section B'!TOTAL_B</vt:lpstr>
      <vt:lpstr>'Section C'!TOTAL_C</vt:lpstr>
      <vt:lpstr>'Section D'!TOTAL_D</vt:lpstr>
      <vt:lpstr>'Section E'!TOTAL_E</vt:lpstr>
      <vt:lpstr>'Section F'!TOTAL_F</vt:lpstr>
      <vt:lpstr>'Section G'!TOTAL_G</vt:lpstr>
      <vt:lpstr>'Section H'!TOTAL_H</vt:lpstr>
      <vt:lpstr>'Section I'!TOTAL_I</vt:lpstr>
      <vt:lpstr>'Section J'!TOTAL_J</vt:lpstr>
      <vt:lpstr>'Section K'!TOTAL_K</vt:lpstr>
      <vt:lpstr>'Section L'!TOTAL_L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Toomey, Sean</dc:creator>
  <cp:lastModifiedBy>Bezgin, Kubra</cp:lastModifiedBy>
  <cp:lastPrinted>2018-09-25T10:16:42Z</cp:lastPrinted>
  <dcterms:created xsi:type="dcterms:W3CDTF">2017-01-10T11:10:44Z</dcterms:created>
  <dcterms:modified xsi:type="dcterms:W3CDTF">2025-04-30T08:38:11Z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RiskLevel">
    <vt:lpwstr/>
  </property>
  <property fmtid="{D5CDD505-2E9C-101B-9397-08002B2CF9AE}" pid="3" name="DocRiskLevelWizardText">
    <vt:lpwstr>Atkins Baseline</vt:lpwstr>
  </property>
  <property fmtid="{D5CDD505-2E9C-101B-9397-08002B2CF9AE}" pid="4" name="DocRiskLevelWizardMarker">
    <vt:lpwstr/>
  </property>
</Properties>
</file>