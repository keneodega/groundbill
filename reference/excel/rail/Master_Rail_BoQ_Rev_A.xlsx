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U:\5199586\7 Calcs\71 Spreadsheets\5199586CALC0001 - Geotech Design Folder\Geotech\Current GI\Contract Documents\BOQ\BOQ for Contract Docs\"/>
    </mc:Choice>
  </mc:AlternateContent>
  <xr:revisionPtr revIDLastSave="0" documentId="13_ncr:1_{B15A39A0-2CB6-4AE9-B10D-5B9752E93A70}" xr6:coauthVersionLast="41" xr6:coauthVersionMax="44" xr10:uidLastSave="{00000000-0000-0000-0000-000000000000}"/>
  <bookViews>
    <workbookView xWindow="-120" yWindow="-120" windowWidth="24240" windowHeight="13140" tabRatio="790" xr2:uid="{B373F0AB-44C3-4F3D-88E5-EC3575D090BE}"/>
  </bookViews>
  <sheets>
    <sheet name="Section A" sheetId="1" r:id="rId1"/>
    <sheet name="Section B" sheetId="2" r:id="rId2"/>
    <sheet name="Section B.1" sheetId="18" r:id="rId3"/>
    <sheet name="Section C" sheetId="3" r:id="rId4"/>
    <sheet name="Section C.1" sheetId="19" r:id="rId5"/>
    <sheet name="Section D" sheetId="4" r:id="rId6"/>
    <sheet name="Section E" sheetId="5" r:id="rId7"/>
    <sheet name="Section F" sheetId="6" r:id="rId8"/>
    <sheet name="Section G" sheetId="7" r:id="rId9"/>
    <sheet name="Section H" sheetId="8" r:id="rId10"/>
    <sheet name="Section I" sheetId="9" r:id="rId11"/>
    <sheet name="Section J" sheetId="10" r:id="rId12"/>
    <sheet name="Section K" sheetId="11" r:id="rId13"/>
    <sheet name="Section L" sheetId="12" r:id="rId14"/>
    <sheet name="Section M - Structure Survey" sheetId="16" r:id="rId15"/>
    <sheet name="Section N - Utility Survey" sheetId="20" r:id="rId16"/>
    <sheet name="Summary" sheetId="13" r:id="rId17"/>
    <sheet name="Appendices" sheetId="15" r:id="rId18"/>
  </sheets>
  <definedNames>
    <definedName name="_xlnm.Print_Area" localSheetId="0">'Section A'!$A$1:$F$81</definedName>
    <definedName name="_xlnm.Print_Area" localSheetId="1">'Section B'!$A$1:$F$45</definedName>
    <definedName name="_xlnm.Print_Area" localSheetId="2">'Section B.1'!$A$1:$F$44</definedName>
    <definedName name="_xlnm.Print_Area" localSheetId="3">'Section C'!$A$1:$F$118</definedName>
    <definedName name="_xlnm.Print_Area" localSheetId="4">'Section C.1'!$A$1:$F$118</definedName>
    <definedName name="_xlnm.Print_Area" localSheetId="5">'Section D'!$A$1:$F$121</definedName>
    <definedName name="_xlnm.Print_Area" localSheetId="6">'Section E'!$A$1:$F$28</definedName>
    <definedName name="_xlnm.Print_Area" localSheetId="7">'Section F'!$A$1:$F$29</definedName>
    <definedName name="_xlnm.Print_Area" localSheetId="8">'Section G'!$A$1:$F$20</definedName>
    <definedName name="_xlnm.Print_Area" localSheetId="9">'Section H'!$A$1:$F$63</definedName>
    <definedName name="_xlnm.Print_Area" localSheetId="10">'Section I'!$A$1:$F$44</definedName>
    <definedName name="_xlnm.Print_Area" localSheetId="11">'Section J'!$A$1:$F$32</definedName>
    <definedName name="_xlnm.Print_Area" localSheetId="12">'Section K'!$A$1:$F$127</definedName>
    <definedName name="_xlnm.Print_Area" localSheetId="13">'Section L'!$A$1:$F$12</definedName>
    <definedName name="_xlnm.Print_Area" localSheetId="14">'Section M - Structure Survey'!$A$1:$F$14</definedName>
    <definedName name="_xlnm.Print_Titles" localSheetId="0">'Section A'!$2:$3</definedName>
    <definedName name="_xlnm.Print_Titles" localSheetId="1">'Section B'!$2:$3</definedName>
    <definedName name="_xlnm.Print_Titles" localSheetId="2">'Section B.1'!$2:$3</definedName>
    <definedName name="_xlnm.Print_Titles" localSheetId="3">'Section C'!$2:$3</definedName>
    <definedName name="_xlnm.Print_Titles" localSheetId="4">'Section C.1'!$2:$3</definedName>
    <definedName name="_xlnm.Print_Titles" localSheetId="5">'Section D'!$2:$3</definedName>
    <definedName name="_xlnm.Print_Titles" localSheetId="6">'Section E'!$2:$3</definedName>
    <definedName name="_xlnm.Print_Titles" localSheetId="7">'Section F'!$2:$3</definedName>
    <definedName name="_xlnm.Print_Titles" localSheetId="8">'Section G'!$2:$3</definedName>
    <definedName name="_xlnm.Print_Titles" localSheetId="9">'Section H'!$2:$3</definedName>
    <definedName name="_xlnm.Print_Titles" localSheetId="10">'Section I'!$2:$3</definedName>
    <definedName name="_xlnm.Print_Titles" localSheetId="11">'Section J'!$2:$3</definedName>
    <definedName name="_xlnm.Print_Titles" localSheetId="12">'Section K'!$2:$3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4" i="1" l="1"/>
  <c r="E53" i="19" l="1"/>
  <c r="F53" i="19"/>
  <c r="E30" i="19"/>
  <c r="E28" i="19"/>
  <c r="D8" i="5" l="1"/>
  <c r="D34" i="18" l="1"/>
  <c r="E22" i="9" l="1"/>
  <c r="F22" i="9" s="1"/>
  <c r="F7" i="4" l="1"/>
  <c r="F6" i="4"/>
  <c r="E7" i="4"/>
  <c r="F32" i="3"/>
  <c r="F27" i="3"/>
  <c r="F15" i="2"/>
  <c r="E8" i="2" l="1"/>
  <c r="F8" i="2"/>
  <c r="F64" i="3" l="1"/>
  <c r="F7" i="12"/>
  <c r="D36" i="2" l="1"/>
  <c r="E23" i="1" l="1"/>
  <c r="E18" i="2" l="1"/>
  <c r="E19" i="1" l="1"/>
  <c r="E16" i="1"/>
  <c r="E11" i="1"/>
  <c r="E22" i="1" l="1"/>
  <c r="E74" i="1" l="1"/>
  <c r="E8" i="1"/>
  <c r="F115" i="19" l="1"/>
  <c r="E114" i="19"/>
  <c r="F113" i="19"/>
  <c r="F112" i="19"/>
  <c r="F111" i="19"/>
  <c r="E108" i="19"/>
  <c r="F107" i="19"/>
  <c r="E107" i="19"/>
  <c r="E106" i="19"/>
  <c r="F106" i="19"/>
  <c r="F105" i="19"/>
  <c r="E104" i="19"/>
  <c r="F101" i="19"/>
  <c r="E101" i="19"/>
  <c r="F100" i="19"/>
  <c r="F99" i="19"/>
  <c r="E98" i="19"/>
  <c r="F97" i="19"/>
  <c r="E97" i="19"/>
  <c r="E96" i="19"/>
  <c r="F96" i="19"/>
  <c r="F95" i="19"/>
  <c r="E94" i="19"/>
  <c r="F93" i="19"/>
  <c r="E93" i="19"/>
  <c r="E92" i="19"/>
  <c r="F92" i="19"/>
  <c r="F91" i="19"/>
  <c r="E90" i="19"/>
  <c r="F89" i="19"/>
  <c r="E89" i="19"/>
  <c r="F87" i="19"/>
  <c r="E86" i="19"/>
  <c r="F85" i="19"/>
  <c r="F84" i="19"/>
  <c r="F83" i="19"/>
  <c r="E82" i="19"/>
  <c r="F79" i="19"/>
  <c r="F78" i="19"/>
  <c r="F77" i="19"/>
  <c r="F76" i="19"/>
  <c r="E76" i="19"/>
  <c r="F75" i="19"/>
  <c r="F74" i="19"/>
  <c r="F73" i="19"/>
  <c r="F72" i="19"/>
  <c r="E72" i="19"/>
  <c r="F71" i="19"/>
  <c r="F68" i="19"/>
  <c r="F67" i="19"/>
  <c r="F66" i="19"/>
  <c r="E66" i="19"/>
  <c r="F65" i="19"/>
  <c r="F64" i="19"/>
  <c r="E63" i="19"/>
  <c r="F63" i="19" s="1"/>
  <c r="E62" i="19"/>
  <c r="E61" i="19"/>
  <c r="F59" i="19"/>
  <c r="E59" i="19"/>
  <c r="E58" i="19"/>
  <c r="F57" i="19"/>
  <c r="F56" i="19"/>
  <c r="F55" i="19"/>
  <c r="E55" i="19"/>
  <c r="E54" i="19"/>
  <c r="F50" i="19"/>
  <c r="E49" i="19"/>
  <c r="F48" i="19"/>
  <c r="E48" i="19"/>
  <c r="F47" i="19"/>
  <c r="F46" i="19"/>
  <c r="E45" i="19"/>
  <c r="E44" i="19"/>
  <c r="F43" i="19"/>
  <c r="F42" i="19"/>
  <c r="E41" i="19"/>
  <c r="F40" i="19"/>
  <c r="F39" i="19"/>
  <c r="F38" i="19"/>
  <c r="E35" i="19"/>
  <c r="E34" i="19"/>
  <c r="E33" i="19"/>
  <c r="F32" i="19"/>
  <c r="E31" i="19"/>
  <c r="F31" i="19" s="1"/>
  <c r="F30" i="19"/>
  <c r="F29" i="19"/>
  <c r="E27" i="19"/>
  <c r="F27" i="19" s="1"/>
  <c r="F25" i="19"/>
  <c r="F22" i="19"/>
  <c r="E21" i="19"/>
  <c r="F20" i="19"/>
  <c r="E20" i="19"/>
  <c r="F19" i="19"/>
  <c r="F18" i="19"/>
  <c r="E17" i="19"/>
  <c r="F16" i="19"/>
  <c r="E16" i="19"/>
  <c r="F15" i="19"/>
  <c r="F14" i="19"/>
  <c r="E11" i="19"/>
  <c r="F10" i="19"/>
  <c r="E10" i="19"/>
  <c r="F9" i="19"/>
  <c r="F8" i="19"/>
  <c r="E7" i="19"/>
  <c r="E6" i="19"/>
  <c r="E12" i="1"/>
  <c r="E9" i="1"/>
  <c r="E40" i="19" l="1"/>
  <c r="F58" i="19"/>
  <c r="F6" i="19"/>
  <c r="F82" i="19"/>
  <c r="E112" i="19"/>
  <c r="F45" i="19"/>
  <c r="F54" i="19"/>
  <c r="E100" i="19"/>
  <c r="E113" i="19"/>
  <c r="F44" i="19"/>
  <c r="F49" i="19"/>
  <c r="F86" i="19"/>
  <c r="E25" i="19"/>
  <c r="E43" i="19"/>
  <c r="E47" i="19"/>
  <c r="E57" i="19"/>
  <c r="E65" i="19"/>
  <c r="E71" i="19"/>
  <c r="E75" i="19"/>
  <c r="E79" i="19"/>
  <c r="E85" i="19"/>
  <c r="F90" i="19"/>
  <c r="F94" i="19"/>
  <c r="F98" i="19"/>
  <c r="F104" i="19"/>
  <c r="F108" i="19"/>
  <c r="F114" i="19"/>
  <c r="E9" i="19"/>
  <c r="E39" i="19"/>
  <c r="F7" i="19"/>
  <c r="F11" i="19"/>
  <c r="F17" i="19"/>
  <c r="F21" i="19"/>
  <c r="E29" i="19"/>
  <c r="F35" i="19"/>
  <c r="F41" i="19"/>
  <c r="E15" i="19"/>
  <c r="E19" i="19"/>
  <c r="E64" i="19"/>
  <c r="E68" i="19"/>
  <c r="E74" i="19"/>
  <c r="E78" i="19"/>
  <c r="E84" i="19"/>
  <c r="E8" i="19"/>
  <c r="E14" i="19"/>
  <c r="E18" i="19"/>
  <c r="E22" i="19"/>
  <c r="F28" i="19"/>
  <c r="E32" i="19"/>
  <c r="E38" i="19"/>
  <c r="E42" i="19"/>
  <c r="E46" i="19"/>
  <c r="E50" i="19"/>
  <c r="E56" i="19"/>
  <c r="E60" i="19"/>
  <c r="E67" i="19"/>
  <c r="E73" i="19"/>
  <c r="E77" i="19"/>
  <c r="E83" i="19"/>
  <c r="E87" i="19"/>
  <c r="E91" i="19"/>
  <c r="E95" i="19"/>
  <c r="E99" i="19"/>
  <c r="E105" i="19"/>
  <c r="E111" i="19"/>
  <c r="E115" i="19"/>
  <c r="F41" i="18"/>
  <c r="F40" i="18"/>
  <c r="E39" i="18"/>
  <c r="F38" i="18"/>
  <c r="F37" i="18"/>
  <c r="E34" i="18"/>
  <c r="F33" i="18"/>
  <c r="E31" i="18"/>
  <c r="E30" i="18"/>
  <c r="E29" i="18"/>
  <c r="F28" i="18"/>
  <c r="E25" i="18"/>
  <c r="E24" i="18"/>
  <c r="E23" i="18"/>
  <c r="E21" i="18"/>
  <c r="F21" i="18"/>
  <c r="E20" i="18"/>
  <c r="E19" i="18"/>
  <c r="F19" i="18" s="1"/>
  <c r="E17" i="18"/>
  <c r="E15" i="18"/>
  <c r="F15" i="18" s="1"/>
  <c r="E14" i="18"/>
  <c r="F14" i="18" s="1"/>
  <c r="F12" i="18"/>
  <c r="E11" i="18"/>
  <c r="E10" i="18"/>
  <c r="F10" i="18" s="1"/>
  <c r="E7" i="18"/>
  <c r="F7" i="18"/>
  <c r="E6" i="18"/>
  <c r="F5" i="18"/>
  <c r="E39" i="1"/>
  <c r="E41" i="1"/>
  <c r="E38" i="18" l="1"/>
  <c r="F11" i="18"/>
  <c r="F24" i="18"/>
  <c r="E5" i="18"/>
  <c r="E12" i="18"/>
  <c r="F23" i="18"/>
  <c r="E33" i="18"/>
  <c r="E35" i="18"/>
  <c r="E40" i="18"/>
  <c r="F6" i="18"/>
  <c r="F20" i="18"/>
  <c r="F39" i="18"/>
  <c r="F13" i="18"/>
  <c r="E13" i="18"/>
  <c r="E18" i="18"/>
  <c r="E22" i="18"/>
  <c r="E28" i="18"/>
  <c r="E32" i="18"/>
  <c r="E37" i="18"/>
  <c r="E41" i="18"/>
  <c r="E10" i="6"/>
  <c r="F10" i="6" l="1"/>
  <c r="E43" i="2" l="1"/>
  <c r="E42" i="2"/>
  <c r="E41" i="2"/>
  <c r="E40" i="2"/>
  <c r="E39" i="2"/>
  <c r="E37" i="2"/>
  <c r="E26" i="2"/>
  <c r="E25" i="2"/>
  <c r="E13" i="2"/>
  <c r="E5" i="2"/>
  <c r="E33" i="1" l="1"/>
  <c r="E14" i="1"/>
  <c r="E68" i="1"/>
  <c r="E60" i="1"/>
  <c r="E67" i="1"/>
  <c r="E59" i="1"/>
  <c r="E51" i="1"/>
  <c r="E43" i="1"/>
  <c r="E29" i="1"/>
  <c r="E6" i="1"/>
  <c r="E28" i="1"/>
  <c r="E63" i="1"/>
  <c r="E27" i="1"/>
  <c r="E17" i="1"/>
  <c r="E54" i="1"/>
  <c r="E15" i="1"/>
  <c r="E61" i="1"/>
  <c r="E25" i="1"/>
  <c r="E21" i="1"/>
  <c r="E32" i="1"/>
  <c r="E31" i="1"/>
  <c r="E75" i="1"/>
  <c r="E71" i="1"/>
  <c r="E66" i="1"/>
  <c r="E55" i="1"/>
  <c r="E49" i="1"/>
  <c r="E20" i="1"/>
  <c r="E73" i="1"/>
  <c r="E48" i="1"/>
  <c r="E13" i="1"/>
  <c r="E72" i="1"/>
  <c r="E47" i="1"/>
  <c r="E7" i="1"/>
  <c r="E58" i="1"/>
  <c r="E24" i="1"/>
  <c r="E36" i="1"/>
  <c r="E18" i="1"/>
  <c r="E57" i="1"/>
  <c r="E46" i="1"/>
  <c r="E70" i="1"/>
  <c r="E56" i="1"/>
  <c r="E42" i="1"/>
  <c r="E10" i="1"/>
  <c r="E62" i="1"/>
  <c r="E65" i="1"/>
  <c r="E64" i="1"/>
  <c r="E50" i="1"/>
  <c r="E69" i="1"/>
  <c r="E53" i="1"/>
  <c r="E35" i="1"/>
  <c r="E34" i="1"/>
  <c r="E26" i="1"/>
  <c r="E7" i="12" l="1"/>
  <c r="E11" i="12"/>
  <c r="F8" i="11"/>
  <c r="F9" i="11"/>
  <c r="F10" i="11"/>
  <c r="F11" i="11"/>
  <c r="F12" i="11"/>
  <c r="F13" i="11"/>
  <c r="F25" i="11"/>
  <c r="F26" i="11"/>
  <c r="F28" i="11"/>
  <c r="F30" i="11"/>
  <c r="F33" i="11"/>
  <c r="F37" i="11"/>
  <c r="F39" i="11"/>
  <c r="F42" i="11"/>
  <c r="F50" i="11"/>
  <c r="F51" i="11"/>
  <c r="F52" i="11"/>
  <c r="F53" i="11"/>
  <c r="F54" i="11"/>
  <c r="F55" i="11"/>
  <c r="F56" i="11"/>
  <c r="F57" i="11"/>
  <c r="F58" i="11"/>
  <c r="F59" i="11"/>
  <c r="F60" i="11"/>
  <c r="F61" i="11"/>
  <c r="F62" i="11"/>
  <c r="F63" i="11"/>
  <c r="F64" i="11"/>
  <c r="F65" i="11"/>
  <c r="F66" i="11"/>
  <c r="F67" i="11"/>
  <c r="F68" i="11"/>
  <c r="F69" i="11"/>
  <c r="F70" i="11"/>
  <c r="F71" i="11"/>
  <c r="F72" i="11"/>
  <c r="F73" i="11"/>
  <c r="F87" i="11"/>
  <c r="F88" i="11"/>
  <c r="F89" i="11"/>
  <c r="F99" i="11"/>
  <c r="F102" i="11"/>
  <c r="F103" i="11"/>
  <c r="F104" i="11"/>
  <c r="F105" i="11"/>
  <c r="F106" i="11"/>
  <c r="F107" i="11"/>
  <c r="F108" i="11"/>
  <c r="F109" i="11"/>
  <c r="F110" i="11"/>
  <c r="F111" i="11"/>
  <c r="F112" i="11"/>
  <c r="F113" i="11"/>
  <c r="F114" i="11"/>
  <c r="F116" i="11"/>
  <c r="F117" i="11"/>
  <c r="F118" i="11"/>
  <c r="F121" i="11"/>
  <c r="F122" i="11"/>
  <c r="F124" i="11"/>
  <c r="F125" i="11"/>
  <c r="F126" i="11"/>
  <c r="E8" i="11"/>
  <c r="E9" i="11"/>
  <c r="E10" i="11"/>
  <c r="E11" i="11"/>
  <c r="E12" i="11"/>
  <c r="E13" i="11"/>
  <c r="E16" i="11"/>
  <c r="E20" i="11"/>
  <c r="E21" i="11"/>
  <c r="E22" i="11"/>
  <c r="F22" i="11" s="1"/>
  <c r="E23" i="11"/>
  <c r="E24" i="11"/>
  <c r="E25" i="11"/>
  <c r="E26" i="11"/>
  <c r="E27" i="11"/>
  <c r="F27" i="11" s="1"/>
  <c r="E28" i="11"/>
  <c r="E29" i="11"/>
  <c r="E30" i="11"/>
  <c r="E31" i="11"/>
  <c r="E32" i="11"/>
  <c r="F32" i="11" s="1"/>
  <c r="E33" i="11"/>
  <c r="E36" i="11"/>
  <c r="E37" i="11"/>
  <c r="E38" i="11"/>
  <c r="F38" i="11" s="1"/>
  <c r="E39" i="11"/>
  <c r="E40" i="11"/>
  <c r="E41" i="11"/>
  <c r="E42" i="11"/>
  <c r="E43" i="11"/>
  <c r="E44" i="11"/>
  <c r="F44" i="11" s="1"/>
  <c r="E48" i="11"/>
  <c r="E50" i="11"/>
  <c r="E51" i="11"/>
  <c r="E52" i="11"/>
  <c r="E53" i="11"/>
  <c r="E54" i="11"/>
  <c r="E55" i="11"/>
  <c r="E56" i="11"/>
  <c r="E57" i="11"/>
  <c r="E58" i="11"/>
  <c r="E59" i="11"/>
  <c r="E60" i="11"/>
  <c r="E61" i="11"/>
  <c r="E62" i="11"/>
  <c r="E63" i="11"/>
  <c r="E64" i="11"/>
  <c r="E65" i="11"/>
  <c r="E66" i="11"/>
  <c r="E67" i="11"/>
  <c r="E68" i="11"/>
  <c r="E69" i="11"/>
  <c r="E70" i="11"/>
  <c r="E71" i="11"/>
  <c r="E72" i="11"/>
  <c r="E73" i="11"/>
  <c r="E76" i="11"/>
  <c r="F76" i="11" s="1"/>
  <c r="E78" i="11"/>
  <c r="F78" i="11" s="1"/>
  <c r="E79" i="11"/>
  <c r="F79" i="11" s="1"/>
  <c r="E80" i="11"/>
  <c r="F80" i="11" s="1"/>
  <c r="E81" i="11"/>
  <c r="F81" i="11" s="1"/>
  <c r="E82" i="11"/>
  <c r="F82" i="11" s="1"/>
  <c r="E83" i="11"/>
  <c r="F83" i="11" s="1"/>
  <c r="E84" i="11"/>
  <c r="F84" i="11" s="1"/>
  <c r="E85" i="11"/>
  <c r="F85" i="11" s="1"/>
  <c r="E86" i="11"/>
  <c r="F86" i="11" s="1"/>
  <c r="E87" i="11"/>
  <c r="E88" i="11"/>
  <c r="E89" i="11"/>
  <c r="E90" i="11"/>
  <c r="E91" i="11"/>
  <c r="E92" i="11"/>
  <c r="E94" i="11"/>
  <c r="E95" i="11"/>
  <c r="E96" i="11"/>
  <c r="E97" i="11"/>
  <c r="E99" i="11"/>
  <c r="E102" i="11"/>
  <c r="E103" i="11"/>
  <c r="E104" i="11"/>
  <c r="E105" i="11"/>
  <c r="E106" i="11"/>
  <c r="E107" i="11"/>
  <c r="E108" i="11"/>
  <c r="E109" i="11"/>
  <c r="E110" i="11"/>
  <c r="E111" i="11"/>
  <c r="E112" i="11"/>
  <c r="E113" i="11"/>
  <c r="E114" i="11"/>
  <c r="E115" i="11"/>
  <c r="E116" i="11"/>
  <c r="E117" i="11"/>
  <c r="E118" i="11"/>
  <c r="E119" i="11"/>
  <c r="E120" i="11"/>
  <c r="E121" i="11"/>
  <c r="E122" i="11"/>
  <c r="E124" i="11"/>
  <c r="E125" i="11"/>
  <c r="E126" i="11"/>
  <c r="F7" i="10"/>
  <c r="F8" i="10"/>
  <c r="F17" i="10"/>
  <c r="F18" i="10"/>
  <c r="F20" i="10"/>
  <c r="F21" i="10"/>
  <c r="F22" i="10"/>
  <c r="F23" i="10"/>
  <c r="F24" i="10"/>
  <c r="F25" i="10"/>
  <c r="F26" i="10"/>
  <c r="F28" i="10"/>
  <c r="F29" i="10"/>
  <c r="F30" i="10"/>
  <c r="F31" i="10"/>
  <c r="E6" i="10"/>
  <c r="E7" i="10"/>
  <c r="E8" i="10"/>
  <c r="E9" i="10"/>
  <c r="E14" i="10"/>
  <c r="E15" i="10"/>
  <c r="E17" i="10"/>
  <c r="E18" i="10"/>
  <c r="E19" i="10"/>
  <c r="E20" i="10"/>
  <c r="E21" i="10"/>
  <c r="E22" i="10"/>
  <c r="E23" i="10"/>
  <c r="E24" i="10"/>
  <c r="E25" i="10"/>
  <c r="E26" i="10"/>
  <c r="E28" i="10"/>
  <c r="E29" i="10"/>
  <c r="E30" i="10"/>
  <c r="E31" i="10"/>
  <c r="E5" i="10"/>
  <c r="F15" i="9"/>
  <c r="F16" i="9"/>
  <c r="F17" i="9"/>
  <c r="F18" i="9"/>
  <c r="F20" i="9"/>
  <c r="F29" i="9"/>
  <c r="F31" i="9"/>
  <c r="F32" i="9"/>
  <c r="F34" i="9"/>
  <c r="F35" i="9"/>
  <c r="F36" i="9"/>
  <c r="F37" i="9"/>
  <c r="F38" i="9"/>
  <c r="F40" i="9"/>
  <c r="F41" i="9"/>
  <c r="F42" i="9"/>
  <c r="F43" i="9"/>
  <c r="E15" i="9"/>
  <c r="E16" i="9"/>
  <c r="E17" i="9"/>
  <c r="E18" i="9"/>
  <c r="E20" i="9"/>
  <c r="E27" i="9"/>
  <c r="E28" i="9"/>
  <c r="E29" i="9"/>
  <c r="E30" i="9"/>
  <c r="E31" i="9"/>
  <c r="E32" i="9"/>
  <c r="E34" i="9"/>
  <c r="E35" i="9"/>
  <c r="E36" i="9"/>
  <c r="E37" i="9"/>
  <c r="E38" i="9"/>
  <c r="E40" i="9"/>
  <c r="E41" i="9"/>
  <c r="E42" i="9"/>
  <c r="E43" i="9"/>
  <c r="F13" i="8"/>
  <c r="F14" i="8"/>
  <c r="F15" i="8"/>
  <c r="F16" i="8"/>
  <c r="F17" i="8"/>
  <c r="F18" i="8"/>
  <c r="F19" i="8"/>
  <c r="F21" i="8"/>
  <c r="F22" i="8"/>
  <c r="F27" i="8"/>
  <c r="F28" i="8"/>
  <c r="F29" i="8"/>
  <c r="F30" i="8"/>
  <c r="F31" i="8"/>
  <c r="F32" i="8"/>
  <c r="F33" i="8"/>
  <c r="F34" i="8"/>
  <c r="F38" i="8"/>
  <c r="F39" i="8"/>
  <c r="F40" i="8"/>
  <c r="F42" i="8"/>
  <c r="F43" i="8"/>
  <c r="F44" i="8"/>
  <c r="F46" i="8"/>
  <c r="F47" i="8"/>
  <c r="F48" i="8"/>
  <c r="F51" i="8"/>
  <c r="F52" i="8"/>
  <c r="F53" i="8"/>
  <c r="F57" i="8"/>
  <c r="F59" i="8"/>
  <c r="F60" i="8"/>
  <c r="F61" i="8"/>
  <c r="E8" i="8"/>
  <c r="F8" i="8" s="1"/>
  <c r="E13" i="8"/>
  <c r="E14" i="8"/>
  <c r="E15" i="8"/>
  <c r="E16" i="8"/>
  <c r="E17" i="8"/>
  <c r="E18" i="8"/>
  <c r="E19" i="8"/>
  <c r="E21" i="8"/>
  <c r="E22" i="8"/>
  <c r="E25" i="8"/>
  <c r="F25" i="8" s="1"/>
  <c r="E27" i="8"/>
  <c r="E28" i="8"/>
  <c r="E29" i="8"/>
  <c r="E30" i="8"/>
  <c r="E31" i="8"/>
  <c r="E32" i="8"/>
  <c r="E33" i="8"/>
  <c r="E34" i="8"/>
  <c r="E38" i="8"/>
  <c r="E39" i="8"/>
  <c r="E40" i="8"/>
  <c r="E42" i="8"/>
  <c r="E43" i="8"/>
  <c r="E44" i="8"/>
  <c r="E46" i="8"/>
  <c r="E47" i="8"/>
  <c r="E48" i="8"/>
  <c r="E51" i="8"/>
  <c r="E52" i="8"/>
  <c r="E53" i="8"/>
  <c r="E59" i="8"/>
  <c r="E60" i="8"/>
  <c r="E61" i="8"/>
  <c r="F7" i="7"/>
  <c r="F10" i="7"/>
  <c r="F11" i="7"/>
  <c r="F12" i="7"/>
  <c r="F13" i="7"/>
  <c r="F14" i="7"/>
  <c r="F16" i="7"/>
  <c r="F17" i="7"/>
  <c r="F19" i="7"/>
  <c r="F6" i="7"/>
  <c r="E7" i="7"/>
  <c r="E8" i="7"/>
  <c r="E9" i="7"/>
  <c r="E10" i="7"/>
  <c r="E11" i="7"/>
  <c r="E12" i="7"/>
  <c r="E13" i="7"/>
  <c r="E14" i="7"/>
  <c r="E16" i="7"/>
  <c r="E17" i="7"/>
  <c r="E19" i="7"/>
  <c r="E6" i="7"/>
  <c r="F12" i="6"/>
  <c r="F20" i="6"/>
  <c r="F21" i="6"/>
  <c r="F22" i="6"/>
  <c r="F23" i="6"/>
  <c r="F25" i="6"/>
  <c r="F26" i="6"/>
  <c r="F27" i="6"/>
  <c r="F28" i="6"/>
  <c r="E12" i="6"/>
  <c r="E20" i="6"/>
  <c r="E21" i="6"/>
  <c r="E22" i="6"/>
  <c r="E23" i="6"/>
  <c r="E25" i="6"/>
  <c r="E26" i="6"/>
  <c r="E27" i="6"/>
  <c r="E28" i="6"/>
  <c r="F17" i="5"/>
  <c r="F6" i="5"/>
  <c r="E13" i="5"/>
  <c r="E14" i="5"/>
  <c r="E15" i="5"/>
  <c r="E16" i="5"/>
  <c r="E17" i="5"/>
  <c r="E21" i="5"/>
  <c r="E25" i="5"/>
  <c r="E6" i="5"/>
  <c r="F13" i="4"/>
  <c r="F16" i="4"/>
  <c r="F19" i="4"/>
  <c r="F33" i="4"/>
  <c r="F34" i="4"/>
  <c r="F35" i="4"/>
  <c r="F36" i="4"/>
  <c r="F37" i="4"/>
  <c r="F38" i="4"/>
  <c r="F39" i="4"/>
  <c r="F40" i="4"/>
  <c r="F41" i="4"/>
  <c r="F42" i="4"/>
  <c r="F43" i="4"/>
  <c r="F44" i="4"/>
  <c r="F45" i="4"/>
  <c r="F46" i="4"/>
  <c r="F47" i="4"/>
  <c r="F50" i="4"/>
  <c r="F51" i="4"/>
  <c r="F52" i="4"/>
  <c r="F53" i="4"/>
  <c r="F54" i="4"/>
  <c r="F55" i="4"/>
  <c r="F56" i="4"/>
  <c r="F57" i="4"/>
  <c r="F60" i="4"/>
  <c r="F61" i="4"/>
  <c r="F62" i="4"/>
  <c r="F63" i="4"/>
  <c r="F64" i="4"/>
  <c r="F68" i="4"/>
  <c r="F69" i="4"/>
  <c r="F71" i="4"/>
  <c r="F73" i="4"/>
  <c r="F74" i="4"/>
  <c r="E13" i="4"/>
  <c r="E16" i="4"/>
  <c r="E19" i="4"/>
  <c r="E33" i="4"/>
  <c r="E34" i="4"/>
  <c r="E35" i="4"/>
  <c r="E36" i="4"/>
  <c r="E37" i="4"/>
  <c r="E38" i="4"/>
  <c r="E39" i="4"/>
  <c r="E40" i="4"/>
  <c r="E41" i="4"/>
  <c r="E42" i="4"/>
  <c r="E43" i="4"/>
  <c r="E44" i="4"/>
  <c r="E45" i="4"/>
  <c r="E46" i="4"/>
  <c r="E47" i="4"/>
  <c r="E50" i="4"/>
  <c r="E51" i="4"/>
  <c r="E52" i="4"/>
  <c r="E53" i="4"/>
  <c r="E54" i="4"/>
  <c r="E55" i="4"/>
  <c r="E56" i="4"/>
  <c r="E57" i="4"/>
  <c r="E60" i="4"/>
  <c r="E61" i="4"/>
  <c r="E62" i="4"/>
  <c r="E63" i="4"/>
  <c r="E64" i="4"/>
  <c r="E68" i="4"/>
  <c r="E69" i="4"/>
  <c r="E71" i="4"/>
  <c r="E73" i="4"/>
  <c r="E74" i="4"/>
  <c r="F7" i="3"/>
  <c r="F8" i="3"/>
  <c r="F9" i="3"/>
  <c r="F10" i="3"/>
  <c r="F11" i="3"/>
  <c r="F14" i="3"/>
  <c r="F15" i="3"/>
  <c r="F16" i="3"/>
  <c r="F17" i="3"/>
  <c r="F18" i="3"/>
  <c r="F19" i="3"/>
  <c r="F20" i="3"/>
  <c r="F21" i="3"/>
  <c r="F22" i="3"/>
  <c r="F25" i="3"/>
  <c r="F36" i="3"/>
  <c r="F43" i="3"/>
  <c r="F44" i="3"/>
  <c r="F49" i="3"/>
  <c r="F50" i="3"/>
  <c r="F58" i="3"/>
  <c r="F59" i="3"/>
  <c r="F65" i="3"/>
  <c r="F66" i="3"/>
  <c r="F67" i="3"/>
  <c r="F69" i="3"/>
  <c r="F72" i="3"/>
  <c r="F73" i="3"/>
  <c r="F74" i="3"/>
  <c r="F75" i="3"/>
  <c r="F76" i="3"/>
  <c r="F77" i="3"/>
  <c r="F78" i="3"/>
  <c r="F79" i="3"/>
  <c r="F80" i="3"/>
  <c r="F83" i="3"/>
  <c r="F84" i="3"/>
  <c r="F85" i="3"/>
  <c r="F86" i="3"/>
  <c r="F87" i="3"/>
  <c r="F88" i="3"/>
  <c r="F91" i="3"/>
  <c r="F92" i="3"/>
  <c r="F93" i="3"/>
  <c r="F94" i="3"/>
  <c r="F95" i="3"/>
  <c r="F96" i="3"/>
  <c r="F97" i="3"/>
  <c r="F98" i="3"/>
  <c r="F99" i="3"/>
  <c r="F100" i="3"/>
  <c r="F101" i="3"/>
  <c r="F102" i="3"/>
  <c r="F105" i="3"/>
  <c r="F106" i="3"/>
  <c r="F107" i="3"/>
  <c r="F108" i="3"/>
  <c r="F109" i="3"/>
  <c r="F112" i="3"/>
  <c r="F113" i="3"/>
  <c r="F114" i="3"/>
  <c r="F115" i="3"/>
  <c r="F6" i="3"/>
  <c r="E7" i="3"/>
  <c r="E8" i="3"/>
  <c r="E9" i="3"/>
  <c r="E10" i="3"/>
  <c r="E11" i="3"/>
  <c r="E14" i="3"/>
  <c r="E15" i="3"/>
  <c r="E16" i="3"/>
  <c r="E17" i="3"/>
  <c r="E18" i="3"/>
  <c r="E19" i="3"/>
  <c r="E20" i="3"/>
  <c r="E21" i="3"/>
  <c r="E22" i="3"/>
  <c r="E25" i="3"/>
  <c r="E33" i="3"/>
  <c r="F33" i="3" s="1"/>
  <c r="E36" i="3"/>
  <c r="E43" i="3"/>
  <c r="E44" i="3"/>
  <c r="E49" i="3"/>
  <c r="E50" i="3"/>
  <c r="E51" i="3"/>
  <c r="F51" i="3" s="1"/>
  <c r="E58" i="3"/>
  <c r="E59" i="3"/>
  <c r="E60" i="3"/>
  <c r="F60" i="3" s="1"/>
  <c r="E65" i="3"/>
  <c r="E66" i="3"/>
  <c r="E67" i="3"/>
  <c r="E68" i="3"/>
  <c r="F68" i="3" s="1"/>
  <c r="E69" i="3"/>
  <c r="E72" i="3"/>
  <c r="E73" i="3"/>
  <c r="E74" i="3"/>
  <c r="E75" i="3"/>
  <c r="E76" i="3"/>
  <c r="E77" i="3"/>
  <c r="E78" i="3"/>
  <c r="E79" i="3"/>
  <c r="E80" i="3"/>
  <c r="E83" i="3"/>
  <c r="E84" i="3"/>
  <c r="E85" i="3"/>
  <c r="E86" i="3"/>
  <c r="E87" i="3"/>
  <c r="E88" i="3"/>
  <c r="E90" i="3"/>
  <c r="F90" i="3" s="1"/>
  <c r="E91" i="3"/>
  <c r="E92" i="3"/>
  <c r="E93" i="3"/>
  <c r="E94" i="3"/>
  <c r="E95" i="3"/>
  <c r="E96" i="3"/>
  <c r="E97" i="3"/>
  <c r="E98" i="3"/>
  <c r="E99" i="3"/>
  <c r="E100" i="3"/>
  <c r="E101" i="3"/>
  <c r="E102" i="3"/>
  <c r="E105" i="3"/>
  <c r="E106" i="3"/>
  <c r="E107" i="3"/>
  <c r="E108" i="3"/>
  <c r="E109" i="3"/>
  <c r="E112" i="3"/>
  <c r="E113" i="3"/>
  <c r="E114" i="3"/>
  <c r="E115" i="3"/>
  <c r="E116" i="3"/>
  <c r="F116" i="3" s="1"/>
  <c r="E6" i="3"/>
  <c r="F13" i="2"/>
  <c r="F25" i="2"/>
  <c r="F39" i="2"/>
  <c r="F40" i="2"/>
  <c r="F41" i="2"/>
  <c r="F42" i="2"/>
  <c r="F26" i="2"/>
  <c r="F43" i="2"/>
  <c r="F5" i="2"/>
  <c r="E15" i="6" l="1"/>
  <c r="F15" i="6" s="1"/>
  <c r="E20" i="8"/>
  <c r="E50" i="8"/>
  <c r="F50" i="8" s="1"/>
  <c r="E20" i="5"/>
  <c r="E7" i="6" l="1"/>
  <c r="F7" i="6" s="1"/>
  <c r="E54" i="8"/>
  <c r="F54" i="8" s="1"/>
  <c r="E37" i="8"/>
  <c r="F37" i="8"/>
  <c r="E24" i="5" l="1"/>
  <c r="E6" i="12" l="1"/>
  <c r="E10" i="12"/>
  <c r="E25" i="9" l="1"/>
  <c r="F25" i="9" s="1"/>
  <c r="E24" i="9"/>
  <c r="F24" i="9" s="1"/>
  <c r="E41" i="8" l="1"/>
  <c r="F41" i="8" s="1"/>
  <c r="E21" i="9" l="1"/>
  <c r="E17" i="6" l="1"/>
  <c r="F17" i="6" s="1"/>
  <c r="E18" i="6" l="1"/>
  <c r="F18" i="6" s="1"/>
  <c r="E16" i="6"/>
  <c r="F16" i="6" s="1"/>
  <c r="E19" i="6"/>
  <c r="F19" i="6" s="1"/>
  <c r="E6" i="6"/>
  <c r="E8" i="6"/>
  <c r="E24" i="6" l="1"/>
  <c r="F24" i="6" s="1"/>
  <c r="E14" i="6"/>
  <c r="F14" i="6" s="1"/>
  <c r="E37" i="1" l="1"/>
  <c r="E38" i="1"/>
  <c r="E23" i="8" l="1"/>
  <c r="E6" i="9" l="1"/>
  <c r="E11" i="5"/>
  <c r="E19" i="9"/>
  <c r="E14" i="9"/>
  <c r="E13" i="9"/>
  <c r="E11" i="9"/>
  <c r="E10" i="9"/>
  <c r="F10" i="9" s="1"/>
  <c r="E9" i="9"/>
  <c r="F9" i="9" s="1"/>
  <c r="E7" i="9"/>
  <c r="F7" i="9" s="1"/>
  <c r="E7" i="8"/>
  <c r="E6" i="8"/>
  <c r="E5" i="8"/>
  <c r="E10" i="5"/>
  <c r="E7" i="5"/>
  <c r="E6" i="4"/>
  <c r="E23" i="2" l="1"/>
  <c r="F23" i="2"/>
  <c r="E17" i="2"/>
  <c r="E27" i="3" l="1"/>
  <c r="E39" i="3"/>
  <c r="F39" i="3" s="1"/>
  <c r="E63" i="3"/>
  <c r="E40" i="3"/>
  <c r="F40" i="3" s="1"/>
  <c r="E62" i="3"/>
  <c r="E45" i="3"/>
  <c r="F45" i="3" s="1"/>
  <c r="E54" i="3"/>
  <c r="F54" i="3" s="1"/>
  <c r="E46" i="3"/>
  <c r="F46" i="3" s="1"/>
  <c r="E56" i="3"/>
  <c r="F56" i="3" s="1"/>
  <c r="F61" i="3"/>
  <c r="E47" i="3"/>
  <c r="F47" i="3" s="1"/>
  <c r="E55" i="3"/>
  <c r="F55" i="3" s="1"/>
  <c r="E48" i="3" l="1"/>
  <c r="F48" i="3"/>
  <c r="E57" i="3"/>
  <c r="F57" i="3"/>
  <c r="E64" i="3"/>
  <c r="F42" i="3"/>
  <c r="E42" i="3"/>
  <c r="E35" i="2" l="1"/>
  <c r="F35" i="2"/>
  <c r="E30" i="2"/>
  <c r="F30" i="2"/>
  <c r="E34" i="2"/>
  <c r="E22" i="2" l="1"/>
  <c r="F22" i="2"/>
  <c r="E20" i="2" l="1"/>
  <c r="E21" i="2"/>
  <c r="E19" i="2"/>
  <c r="E26" i="4" l="1"/>
  <c r="F26" i="4" s="1"/>
  <c r="E28" i="4"/>
  <c r="F28" i="4" s="1"/>
  <c r="E11" i="4"/>
  <c r="F11" i="4" s="1"/>
  <c r="E27" i="4"/>
  <c r="F27" i="4" s="1"/>
  <c r="E29" i="4"/>
  <c r="F29" i="4" s="1"/>
  <c r="E67" i="4"/>
  <c r="F67" i="4" s="1"/>
  <c r="E30" i="4"/>
  <c r="F30" i="4" s="1"/>
  <c r="E12" i="4"/>
  <c r="F12" i="4" s="1"/>
  <c r="E23" i="4"/>
  <c r="F23" i="4" s="1"/>
  <c r="E10" i="4"/>
  <c r="F10" i="4" s="1"/>
  <c r="E15" i="4"/>
  <c r="F15" i="4" s="1"/>
  <c r="E72" i="4"/>
  <c r="F72" i="4" s="1"/>
  <c r="E22" i="4"/>
  <c r="F22" i="4" s="1"/>
  <c r="E24" i="4"/>
  <c r="F24" i="4" s="1"/>
  <c r="E17" i="4"/>
  <c r="F17" i="4" s="1"/>
  <c r="E14" i="4"/>
  <c r="F14" i="4" s="1"/>
  <c r="E70" i="4"/>
  <c r="F70" i="4" s="1"/>
  <c r="E25" i="4"/>
  <c r="F25" i="4" s="1"/>
  <c r="E34" i="3"/>
  <c r="E41" i="3"/>
  <c r="F41" i="3" s="1"/>
  <c r="E32" i="3"/>
  <c r="E28" i="3"/>
  <c r="F28" i="3" s="1"/>
  <c r="E11" i="2"/>
  <c r="E18" i="4" l="1"/>
  <c r="F18" i="4"/>
  <c r="E29" i="3"/>
  <c r="F29" i="3" s="1"/>
  <c r="E31" i="3"/>
  <c r="F31" i="3"/>
  <c r="E7" i="2"/>
  <c r="F7" i="2" s="1"/>
  <c r="E15" i="2"/>
  <c r="E14" i="2"/>
  <c r="F14" i="2" s="1"/>
  <c r="E6" i="2"/>
  <c r="F6" i="2"/>
  <c r="E27" i="2" l="1"/>
  <c r="E8" i="9" l="1"/>
  <c r="F8" i="9" s="1"/>
  <c r="E35" i="3" l="1"/>
  <c r="E16" i="2" l="1"/>
  <c r="E24" i="2" l="1"/>
  <c r="E8" i="5" l="1"/>
  <c r="E6" i="11"/>
  <c r="E14" i="11" l="1"/>
  <c r="E17" i="11"/>
  <c r="E7" i="11"/>
  <c r="E12" i="9" l="1"/>
  <c r="E32" i="2" l="1"/>
  <c r="E31" i="2"/>
  <c r="E36" i="2"/>
</calcChain>
</file>

<file path=xl/sharedStrings.xml><?xml version="1.0" encoding="utf-8"?>
<sst xmlns="http://schemas.openxmlformats.org/spreadsheetml/2006/main" count="3025" uniqueCount="1496">
  <si>
    <t>Number</t>
  </si>
  <si>
    <t>Item description</t>
  </si>
  <si>
    <t>Unit</t>
  </si>
  <si>
    <t>Quantity</t>
  </si>
  <si>
    <t>Rate</t>
  </si>
  <si>
    <t>Amount</t>
  </si>
  <si>
    <t>€</t>
  </si>
  <si>
    <t>A</t>
  </si>
  <si>
    <t>General items, provisional services and additional items</t>
  </si>
  <si>
    <t>A1</t>
  </si>
  <si>
    <t>Offices and stores for the Contractor</t>
  </si>
  <si>
    <t>sum</t>
  </si>
  <si>
    <t>A2</t>
  </si>
  <si>
    <t>Establish on site all plant, equipment and services for a Green Category site</t>
  </si>
  <si>
    <t>A2.1</t>
  </si>
  <si>
    <t>A2.2</t>
  </si>
  <si>
    <t>A2.3</t>
  </si>
  <si>
    <t>A2.4</t>
  </si>
  <si>
    <t>A2.5</t>
  </si>
  <si>
    <t>A2.6</t>
  </si>
  <si>
    <t xml:space="preserve">Establish on site cone penetration testing (CPT) plant and equipment for a Green Category site  </t>
  </si>
  <si>
    <t>A2.7</t>
  </si>
  <si>
    <t>A2.8</t>
  </si>
  <si>
    <t>A2.9</t>
  </si>
  <si>
    <t>A3.1</t>
  </si>
  <si>
    <t>provisional sum</t>
  </si>
  <si>
    <t>A3.2</t>
  </si>
  <si>
    <t>As Item A3.1 but for a Red Category site</t>
  </si>
  <si>
    <t>A4.1</t>
  </si>
  <si>
    <t>A4.2</t>
  </si>
  <si>
    <t>Maintain on site all site safety equipment for a Red Category site</t>
  </si>
  <si>
    <t>A5.1</t>
  </si>
  <si>
    <t>A5.2</t>
  </si>
  <si>
    <t>Decontamination of equipment during and at end of intrusive investigation for a Red Category site</t>
  </si>
  <si>
    <t>A6</t>
  </si>
  <si>
    <t>A6.1</t>
  </si>
  <si>
    <t>Contractor's uplift on Item A6</t>
  </si>
  <si>
    <t>%</t>
  </si>
  <si>
    <t>A7</t>
  </si>
  <si>
    <t xml:space="preserve">Provide professional attendance to meet the contract requirements </t>
  </si>
  <si>
    <t>A7.1</t>
  </si>
  <si>
    <t>Provide Technician</t>
  </si>
  <si>
    <t>per day</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</si>
  <si>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</si>
  <si>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</si>
  <si>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</si>
  <si>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</si>
  <si>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</si>
  <si>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</si>
  <si>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</si>
  <si>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</si>
  <si>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</si>
  <si>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</si>
  <si>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A8.1</t>
  </si>
  <si>
    <t>nr</t>
  </si>
  <si>
    <t>A9</t>
  </si>
  <si>
    <t>A10</t>
  </si>
  <si>
    <t>per week</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</si>
  <si>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</si>
  <si>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</si>
  <si>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</si>
  <si>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</si>
  <si>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</si>
  <si>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</si>
  <si>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</si>
  <si>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</si>
  <si>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</si>
  <si>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</si>
  <si>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</si>
  <si>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</si>
  <si>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</si>
  <si>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</si>
  <si>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</si>
  <si>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</si>
  <si>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</si>
  <si>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</si>
  <si>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</si>
  <si>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Provision of road opening licences and road damage bonds</t>
  </si>
  <si>
    <t>A17</t>
  </si>
  <si>
    <t>Contractors uplift on items A15 and A16</t>
  </si>
  <si>
    <t>A18</t>
  </si>
  <si>
    <t xml:space="preserve">One master copy of Desk Study Report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</si>
  <si>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</si>
  <si>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</si>
  <si>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</si>
  <si>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</si>
  <si>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</si>
  <si>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</si>
  <si>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</si>
  <si>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</si>
  <si>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</si>
  <si>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</si>
  <si>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</si>
  <si>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</si>
  <si>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</si>
  <si>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</si>
  <si>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</si>
  <si>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</si>
  <si>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</si>
  <si>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</si>
  <si>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</si>
  <si>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</si>
  <si>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</si>
  <si>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</si>
  <si>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</si>
  <si>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Digital field/engineering logs in AGS  transfer format</t>
  </si>
  <si>
    <t>A23</t>
  </si>
  <si>
    <t>Digital laboratory test data in AGS  transfer files</t>
  </si>
  <si>
    <t>A24</t>
  </si>
  <si>
    <t>Digital copy of trial pit, slit trench or core photographs as per Specification</t>
  </si>
  <si>
    <t>A25</t>
  </si>
  <si>
    <t>wk</t>
  </si>
  <si>
    <t>A26</t>
  </si>
  <si>
    <t>A27</t>
  </si>
  <si>
    <t>Provision of water supply for the fieldworks</t>
  </si>
  <si>
    <t>A28</t>
  </si>
  <si>
    <t>A29</t>
  </si>
  <si>
    <t>Provision of Performance Bond</t>
  </si>
  <si>
    <t>A30</t>
  </si>
  <si>
    <t>Perform the role of PSCS</t>
  </si>
  <si>
    <t xml:space="preserve">A31 </t>
  </si>
  <si>
    <t>Total Section A carried to summary:</t>
  </si>
  <si>
    <t>B</t>
  </si>
  <si>
    <t>Cable Percussion Boring (cable tool or percussive boring using minimum of 200mm diameter casing)</t>
  </si>
  <si>
    <t>Move boring plant and equipment to the site of each exploratory hole and set up (cable percussive only)</t>
  </si>
  <si>
    <t xml:space="preserve">Refer to items  B1.1 and B1.2 </t>
  </si>
  <si>
    <t>Move boring plant and equipment to the site of each exploratory hole, set up, dismantle on completion and reinstate (cable percussive only)</t>
  </si>
  <si>
    <t>Move boring plant and equipment to the site of each exploratory hole over safety barrier or other fence or wall, set up, dismantle on completion and reinstate (cable percussive only)</t>
  </si>
  <si>
    <t>Move boring plant and equipment to the site of each exploratory hole, set up, dismantle on completion and reinstate (where borehole is to be followed on with rotary drilling)</t>
  </si>
  <si>
    <t>Move boring plant and equipment to the site of each exploratory hole over safety barrier or other fence or wall, set up, dismantle on completion and reinstate (where borehole is to be followed on with rotary drilling)</t>
  </si>
  <si>
    <t>Extra over Item B1 for setting up on a slope of gradient greater than 20%</t>
  </si>
  <si>
    <t>Refer to items B2.1 and B2.2</t>
  </si>
  <si>
    <t>Extra over Item B1.1 for setting up on a slope of gradient greater than 20%</t>
  </si>
  <si>
    <t>Extra over Item B1.2 for setting up on a slope of gradient greater than 20%</t>
  </si>
  <si>
    <t>Hand digging and CAT scan at borehole location to confirm absence of utility ducts (maximum depth of 1.2m or lesser if ground is assessed as potentially unstable)</t>
  </si>
  <si>
    <t>Break out obstructions where present when hand digging at exploratory hole location for Item B3.</t>
  </si>
  <si>
    <t>Advance borehole between existing ground level and 10 m depth</t>
  </si>
  <si>
    <t>m</t>
  </si>
  <si>
    <t>As Item B4 but between 10 m and 20 m depth</t>
  </si>
  <si>
    <t>As Item B4 but between 20 m and 30 m depth</t>
  </si>
  <si>
    <t>As Item B4 but between 30 m and 40 m depth</t>
  </si>
  <si>
    <t>As Item B4 but between 40 m and 50 m depth</t>
  </si>
  <si>
    <t>Advance borehole through hard stratum or obstruction</t>
  </si>
  <si>
    <t>h</t>
  </si>
  <si>
    <t>Provide aquifer protection measures at a single aquiclude/aquifer boundary or cross-contamination control measures at a single soil boundary in a borehole</t>
  </si>
  <si>
    <t>Backfill borehole with cement/bentonite grout or bentonite pellets (where standpipe piezometer is not installed)</t>
  </si>
  <si>
    <t>m³</t>
  </si>
  <si>
    <t>Move dynamic sampling equipment to the site of each exploratory hole and set up</t>
  </si>
  <si>
    <t>Extra over Item B13 for setting up on a slope of gradient greater than 20%</t>
  </si>
  <si>
    <t>Hand digging and CAT scan at dynamic sampling location to confirm absence of utility ducts (maximum depth of 1.2m or lesser if ground is assessed as potentially unstable)</t>
  </si>
  <si>
    <t>Break out surface obstruction where present</t>
  </si>
  <si>
    <t>Advance dynamic sample hole between existing ground level and 5 m depth</t>
  </si>
  <si>
    <t>As Item B15 but between 5 and 10 m depth</t>
  </si>
  <si>
    <t>hr</t>
  </si>
  <si>
    <t>Backfill dynamic sample borehole with cement/bentonite grout or bentonite pellets (where standpipe or piezometer is not installed)</t>
  </si>
  <si>
    <t>Reinstatement of Cable Percussive Borehole and Dynamic Sample Borehole</t>
  </si>
  <si>
    <t>Reinstatement of gravel hardstanding</t>
  </si>
  <si>
    <t>m²</t>
  </si>
  <si>
    <t>Reinstatement of asphalt / bituminous pavement</t>
  </si>
  <si>
    <t>Reinstatement of grass areas</t>
  </si>
  <si>
    <t>Provision of stock proof fencing to borehole or dynamic sample work area</t>
  </si>
  <si>
    <t>Disposal of excess or surplus inert arisings from cable percussion boring or dynamic sampling (where standpipe or piezometer is not installed)</t>
  </si>
  <si>
    <t>Total Section B carried to summary:</t>
  </si>
  <si>
    <t xml:space="preserve">C </t>
  </si>
  <si>
    <t>Rotary drilling</t>
  </si>
  <si>
    <t>Hand augering</t>
  </si>
  <si>
    <t>Bring hand auger equipment to the position of each exploratory hole</t>
  </si>
  <si>
    <t>Bore with hand auger from existing ground level to 2m depth</t>
  </si>
  <si>
    <t>As Item C2 but between 2 and 4m depth</t>
  </si>
  <si>
    <t>Provision of hand augering equipment and crew for augering as directed by the Investigation Supervisor maximum depth 4m</t>
  </si>
  <si>
    <t>day</t>
  </si>
  <si>
    <t>Backfill hand auger hole with cement/bentonite grout or bentonite pellets</t>
  </si>
  <si>
    <t>Continuous flight and hollow-stem flight augering</t>
  </si>
  <si>
    <t>Move mechanical augering plant and equipment to the site of each exploratory hole and set up.</t>
  </si>
  <si>
    <t>Hand digging and CAT scan at rotary drillhole location to confirm absence of utility ducts ( maximum depth of 1.2m or lesser if ground is assessed as potentially unstable).</t>
  </si>
  <si>
    <t>Extra over Item C7 for setting up on a slope of gradient greater than 20%</t>
  </si>
  <si>
    <t>Break out obstructions where present when hand digging at auger hole location for Item C7.1.</t>
  </si>
  <si>
    <t>Auger in materials other than hard strata at the specified diameter between existing ground level and 10m depth.</t>
  </si>
  <si>
    <t>As Item C11 but between 10 and 20m depth.</t>
  </si>
  <si>
    <t>As Item C11 but between 20 and 30m depth.</t>
  </si>
  <si>
    <t>Rotary drilling with and without core recovery</t>
  </si>
  <si>
    <t>Move rotary drilling plant and equipment to the site of each exploratory drillhole and set up.</t>
  </si>
  <si>
    <t>Move rotary drilling plant and equipment to the site of each exploratory drillhole over safety barrier or other fence or wall, set up, dismantle on completion and reinstate (rotary follow-on).</t>
  </si>
  <si>
    <t>Move rotary drilling plant and equipment to the site of each exploratory drillhole, set up, dismantle on completion and reinstate (rotary only).</t>
  </si>
  <si>
    <t>Move rotary drilling plant and equipment to the site of each exploratory drillhole, over safety barrier or other fence or wall, set up, dismantle on completion and reinstate (rotary only).</t>
  </si>
  <si>
    <t>Hand digging and CAT scan at rotary drillhole location to confirm absence of utility ducts ( maximum depth of 1.2m or lesser if ground is assessed as potentially unstable) for rotary only borehole</t>
  </si>
  <si>
    <t>Extra over Item C15 for setting up on a slope of gradient greater than 20%.</t>
  </si>
  <si>
    <t>Extra over Item C15 for setting up drilling plant for inclined drillhole</t>
  </si>
  <si>
    <t>Break out obstructions where present when hand digging at exploratory hole location for C15.3.</t>
  </si>
  <si>
    <t>Provide aquifer protection measures at a single aquiclude/aquifer boundary in a drillhole</t>
  </si>
  <si>
    <t>Drilling without cores</t>
  </si>
  <si>
    <t>As Item C21 but between 10 and 20m depth.</t>
  </si>
  <si>
    <t>As Item C21 but between 20 and 30m depth</t>
  </si>
  <si>
    <t>As Item C21 but between 30 and 40m depth</t>
  </si>
  <si>
    <t>As Item C21 but between 40 and 50m depth</t>
  </si>
  <si>
    <t>Extra over Items C21 to C25 for inclined rotary drillhole</t>
  </si>
  <si>
    <t>Rotary drill in hard strata at the specified diameter, from which cores are not required, between existing ground level and 10m depth.</t>
  </si>
  <si>
    <t>As Item C27 but between 10 and 20m depth</t>
  </si>
  <si>
    <t>As Item C27 but between 20 and 30m depth</t>
  </si>
  <si>
    <t>As Item C27 but between 30 and 40m depth</t>
  </si>
  <si>
    <t>As Item C27 but between 40 and 50m depth</t>
  </si>
  <si>
    <t>Extra over Items C27 to C31 for inclined drillhole</t>
  </si>
  <si>
    <t>Backfill rotary drillhole with cement/bentonite grout or bentonite pellets (where standpipe or piezometer is not installed).</t>
  </si>
  <si>
    <t>Drilling to obtain cores</t>
  </si>
  <si>
    <t>Rotary drill in materials other than hard strata to obtain cores of the specified diameter between existing ground level and 10m depth.</t>
  </si>
  <si>
    <t>As Item C34 but between 10 and 20m depth.</t>
  </si>
  <si>
    <t>As Item C34 but between 20 and 30m depth</t>
  </si>
  <si>
    <t>As Item C34 but between 30 and 40m depth</t>
  </si>
  <si>
    <t>As Item C34 but between 40 and 50m depth</t>
  </si>
  <si>
    <t>Extra over Items C34 to C38 for use of semi-rigid core liner</t>
  </si>
  <si>
    <t>Extra over Items C34 to C38 for coring inclined rotary drillhole</t>
  </si>
  <si>
    <t>Rotary drill in hard strata to obtain cores of the specified diameter between existing ground level and 10m depth</t>
  </si>
  <si>
    <t>As Item C41 but between 10 and 20m depth</t>
  </si>
  <si>
    <t>As Item C41 but between 20 and 30m depth</t>
  </si>
  <si>
    <t>As Item C41 but between 30 and 40m depth</t>
  </si>
  <si>
    <t>As Item C41 but between 40 and 50m depth</t>
  </si>
  <si>
    <t>Extra over Items C41 to C45 for use of semi-rigid liner</t>
  </si>
  <si>
    <t>Extra over Items C41 to C45 for coring inclined rotary drillhole</t>
  </si>
  <si>
    <t>Backfill rotary drillhole with cement/bentonite grout or bentonite pellets (where standpipe or piezometer is not installed)</t>
  </si>
  <si>
    <t>Core box to be retained by the client</t>
  </si>
  <si>
    <t>Rotary percussive drilling (Odex / Symmetrix)</t>
  </si>
  <si>
    <t>Move rotary percussive drilling plant and equipment to the site of each drill hole and set up</t>
  </si>
  <si>
    <t>Extra over Item C50 for setting up on a slope of gradient greater than 20%</t>
  </si>
  <si>
    <t>Rotary percussive drill at the specified diameter in any material between existing ground level and 10m depth</t>
  </si>
  <si>
    <t>As Item C52 but between 10 and 20m depth</t>
  </si>
  <si>
    <t>As Item C52 but between 20 and 30m depth</t>
  </si>
  <si>
    <t>As Item C52 but between 30 and 40m depth</t>
  </si>
  <si>
    <t>As Item C52 but between 40 and 50m depth</t>
  </si>
  <si>
    <t>Backfill rotary percussive drillhole with cement/bentonite grout or bentonite pellets (where standpipe or piezometer is not installed)</t>
  </si>
  <si>
    <t xml:space="preserve">Geobor S Rotary Drilling </t>
  </si>
  <si>
    <t xml:space="preserve">Move drilling plant and equipment to the site of each exploratory drillhole and set up equipment (including recirculation tanks), dismantle on completion and reinstate </t>
  </si>
  <si>
    <t xml:space="preserve">Move drilling plant and equipment to the site of each exploratory drillhole and set up equipment (including recirculation tanks) over safety barrier or other fence or wall, set up, dismantle on completion and reinstate </t>
  </si>
  <si>
    <t xml:space="preserve">Hand digging and CAT scan at rotary drillhole location to confirm absence of utility ducts ( maximum depth of 1.2m or lesser if ground is assessed as potentially unstable) </t>
  </si>
  <si>
    <t>Provision of biodegradable polymer gel (drilling fluid) for Geobor S coring</t>
  </si>
  <si>
    <t xml:space="preserve">Break out surface obstructions where present at exploratory drillhole </t>
  </si>
  <si>
    <t>Geobor S Rotary Coring (to produce 102mm diameter cores)</t>
  </si>
  <si>
    <t>Rotary openhole drilling without core recover to install casing prior to Geobor coring (nominally 1.5m)</t>
  </si>
  <si>
    <t>Rotary drilling with Geobor S equipment to recover cores of overburden material using polymer gel/mud drilling fluid in depth range 0 to 10m</t>
  </si>
  <si>
    <t xml:space="preserve">As Item C65 but between 10 and 20m depth </t>
  </si>
  <si>
    <t>As Item C65 but between 20 and 30m depth</t>
  </si>
  <si>
    <t>As Item C65 but between 30 and 40m depth</t>
  </si>
  <si>
    <t>As Item C65 but between 40 and 50m depth</t>
  </si>
  <si>
    <t>Rotary drilling using Geobor S equipment to recover cores in bedrock formation(s) using polymer gel/mud drilling fluid in depth range 0 to 10m</t>
  </si>
  <si>
    <t>As Item C65 but between 10 and 20m depth</t>
  </si>
  <si>
    <t>Extra over items C64 to C74 for inclined Geobor S drillhole (maximum of 20 degrees from the vertical)</t>
  </si>
  <si>
    <t xml:space="preserve">Geobor S Rotary Drilling - Additional Items </t>
  </si>
  <si>
    <t>Backfill Geobor S drillhole with cement/bentonite grout or bentonite pellets (where standpipe or piezometer is not installed)</t>
  </si>
  <si>
    <t>Provision of semi rigid core liner for items C64 - C75</t>
  </si>
  <si>
    <t>Provision of core boxes (2m of Geobor S per core box)</t>
  </si>
  <si>
    <t>Disposal of Geobor S drilling supernatant flush returns (contained in the recirculation tanks) where permitted on site. Note disposal areas / locations to be recorded and photographed by contractor</t>
  </si>
  <si>
    <t>Disposal of Geobor S drilling supernatant flush returns (contained in the recirculation tanks) to landfill by tanker where on site disposal is not permitted. Note tanker delivery dockets to be retained by the Contractor.</t>
  </si>
  <si>
    <t>Reinstatement of Rotary Boreholes</t>
  </si>
  <si>
    <t>Provision of stock proof fencing to rotary drilling works area</t>
  </si>
  <si>
    <t>Total section C carried to summary:</t>
  </si>
  <si>
    <t>D</t>
  </si>
  <si>
    <t>Pitting and trenching</t>
  </si>
  <si>
    <t>Inspection pits
Included for each exploratory hole: refer hand digging and CAT scan items at exploratory hole locations</t>
  </si>
  <si>
    <t>D1</t>
  </si>
  <si>
    <t>Excavate inspection pit by hand to 1.2m depth.</t>
  </si>
  <si>
    <t>D2</t>
  </si>
  <si>
    <t>Extra over Item D1 for breaking out surface obstructions.</t>
  </si>
  <si>
    <t>Trial pits and trenches (non paved areas)</t>
  </si>
  <si>
    <t>D3</t>
  </si>
  <si>
    <t>Move equipment to the site of each trial pit or trench dismantle on completion and reinstate.</t>
  </si>
  <si>
    <t>D3.1</t>
  </si>
  <si>
    <t>Extra over item D3 for setting to the site of exploratory hole over safety barrier or other fence or wall, set up, dismantle on completion and reinstate.</t>
  </si>
  <si>
    <t>D4</t>
  </si>
  <si>
    <t>Extra over Item D3 for setting up on a slope of gradient greater than 20%</t>
  </si>
  <si>
    <t>D5</t>
  </si>
  <si>
    <t>Extra over Item D3 for trial pit or trench between 4.5 and 6m depth</t>
  </si>
  <si>
    <t>D6</t>
  </si>
  <si>
    <t>Excavate trial pit between existing ground level and 3m depth</t>
  </si>
  <si>
    <t>D7</t>
  </si>
  <si>
    <t xml:space="preserve">As Item D6 but between 3.0 and 4.5m depth </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</si>
  <si>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</si>
  <si>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</si>
  <si>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</si>
  <si>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</si>
  <si>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</si>
  <si>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</si>
  <si>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</si>
  <si>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</si>
  <si>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</si>
  <si>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</si>
  <si>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</si>
  <si>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</si>
  <si>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</si>
  <si>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</si>
  <si>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</si>
  <si>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ln m</t>
  </si>
  <si>
    <t>D15</t>
  </si>
  <si>
    <t>Breaking out hard material or surface obstructions</t>
  </si>
  <si>
    <t>D16</t>
  </si>
  <si>
    <t>Excavate trial pit in paved areas between ground level and 1.20m depth (works by either hand excavation or hand assisted machine excavation)</t>
  </si>
  <si>
    <t>D17</t>
  </si>
  <si>
    <t>As D16 but depth in range 1.2m to 3.0m</t>
  </si>
  <si>
    <t>D18</t>
  </si>
  <si>
    <t>Excavate slit trench in paved areas between ground level and 1.2m depth (works by either hand excavation or hand assisted machine excavation)</t>
  </si>
  <si>
    <t>D19</t>
  </si>
  <si>
    <t>Excavate slit trench in paved areas between 1.2m to 3.0m depth (works by either hand excavation or hand assisted machine excavation)</t>
  </si>
  <si>
    <t>D20</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</si>
  <si>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</si>
  <si>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</si>
  <si>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</si>
  <si>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</si>
  <si>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</si>
  <si>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</si>
  <si>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</si>
  <si>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</si>
  <si>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</si>
  <si>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</si>
  <si>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</si>
  <si>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</si>
  <si>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</si>
  <si>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</si>
  <si>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</si>
  <si>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</si>
  <si>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</si>
  <si>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</si>
  <si>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</si>
  <si>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</si>
  <si>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</si>
  <si>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</si>
  <si>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</si>
  <si>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</si>
  <si>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</si>
  <si>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</si>
  <si>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</si>
  <si>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</si>
  <si>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D35</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</si>
  <si>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</si>
  <si>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</si>
  <si>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</si>
  <si>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</si>
  <si>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</si>
  <si>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</si>
  <si>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</si>
  <si>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</si>
  <si>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</si>
  <si>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</si>
  <si>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</si>
  <si>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</si>
  <si>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</si>
  <si>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</si>
  <si>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</si>
  <si>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</si>
  <si>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</si>
  <si>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</si>
  <si>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</si>
  <si>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</si>
  <si>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</si>
  <si>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</si>
  <si>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</si>
  <si>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</si>
  <si>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</si>
  <si>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</si>
  <si>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</si>
  <si>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</si>
  <si>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</si>
  <si>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D49</t>
  </si>
  <si>
    <t xml:space="preserve">Backfill trial pit or trench excavation with arisings/excavated materials </t>
  </si>
  <si>
    <t>D50</t>
  </si>
  <si>
    <t>Reinstate grassed surface to include replacing of sod</t>
  </si>
  <si>
    <t>D50.2</t>
  </si>
  <si>
    <t>Laying Turf Along Access Routes to Exploratory Holes</t>
  </si>
  <si>
    <t>D51</t>
  </si>
  <si>
    <t>Backfill trenches, trial pits and inspection pits at exploratory hole locations in paved areas with imported granular fill (CL 804 sub-base)</t>
  </si>
  <si>
    <t>D52</t>
  </si>
  <si>
    <t>Backfill trenches, trial pits and inspection pits at exploratory hole locations in paved areas with CBGMB as Fig.A4.0 Method A of TII's CC-SPW-04007</t>
  </si>
  <si>
    <t>D53</t>
  </si>
  <si>
    <t>Reinstatement of asphalt/bituminous pavement in accordance with TII's CC-SPW-04007.</t>
  </si>
  <si>
    <t>D54</t>
  </si>
  <si>
    <t>Repair of road markings</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</si>
  <si>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</si>
  <si>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</si>
  <si>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</si>
  <si>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</si>
  <si>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</si>
  <si>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</si>
  <si>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</si>
  <si>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</si>
  <si>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</si>
  <si>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</si>
  <si>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</si>
  <si>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</si>
  <si>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</si>
  <si>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</si>
  <si>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</si>
  <si>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</si>
  <si>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</si>
  <si>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</si>
  <si>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</si>
  <si>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</si>
  <si>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</si>
  <si>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</si>
  <si>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</si>
  <si>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</si>
  <si>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</si>
  <si>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</si>
  <si>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</si>
  <si>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</si>
  <si>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</si>
  <si>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</si>
  <si>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</si>
  <si>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</si>
  <si>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</si>
  <si>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</si>
  <si>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</si>
  <si>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</si>
  <si>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</si>
  <si>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</si>
  <si>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</si>
  <si>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E16</t>
  </si>
  <si>
    <t xml:space="preserve">Environmental / contamination sample for Suite I </t>
  </si>
  <si>
    <t>E17</t>
  </si>
  <si>
    <t>Other specialist environmental / contamination sampling as specified by Investigation Supervisor (Suite J)</t>
  </si>
  <si>
    <t>(Note sample rate includes provision of specialist containers)</t>
  </si>
  <si>
    <t>Total Section E carried to summary:</t>
  </si>
  <si>
    <t>F</t>
  </si>
  <si>
    <t>Probing and cone penetration testing</t>
  </si>
  <si>
    <t>Dynamic probing (DPH)</t>
  </si>
  <si>
    <t>F1</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</si>
  <si>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</si>
  <si>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</si>
  <si>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</si>
  <si>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</si>
  <si>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</si>
  <si>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</si>
  <si>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</si>
  <si>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</si>
  <si>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</si>
  <si>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F7</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</si>
  <si>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</si>
  <si>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</si>
  <si>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</si>
  <si>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</si>
  <si>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</si>
  <si>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</si>
  <si>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</si>
  <si>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</si>
  <si>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</si>
  <si>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</si>
  <si>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</si>
  <si>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</si>
  <si>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</si>
  <si>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</si>
  <si>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</si>
  <si>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</si>
  <si>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</si>
  <si>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</si>
  <si>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</si>
  <si>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</si>
  <si>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</si>
  <si>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</si>
  <si>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F19</t>
  </si>
  <si>
    <t>Extra over Items F10 to F13 for use of seismic cone</t>
  </si>
  <si>
    <t>F20</t>
  </si>
  <si>
    <t>Carry out seismic cone test</t>
  </si>
  <si>
    <t>F21</t>
  </si>
  <si>
    <t>Extra over Item F20  for interpretation of seismic cone data</t>
  </si>
  <si>
    <t>F22</t>
  </si>
  <si>
    <t>Total Section F carried to summary:</t>
  </si>
  <si>
    <t>G</t>
  </si>
  <si>
    <t>Geophysical testing</t>
  </si>
  <si>
    <t>Land-based mapping techniques</t>
  </si>
  <si>
    <t>G1</t>
  </si>
  <si>
    <t>Conduct and process Ground Penetrating Radar (GPR) profiles to PAS 128 QL B1P as per the specification</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</si>
  <si>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</si>
  <si>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</si>
  <si>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</si>
  <si>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</si>
  <si>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</si>
  <si>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</si>
  <si>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</si>
  <si>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</si>
  <si>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</si>
  <si>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</si>
  <si>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</si>
  <si>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</si>
  <si>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</si>
  <si>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</si>
  <si>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</si>
  <si>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</si>
  <si>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</si>
  <si>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</si>
  <si>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</si>
  <si>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</si>
  <si>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</si>
  <si>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</si>
  <si>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</si>
  <si>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</si>
  <si>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</si>
  <si>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</si>
  <si>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</si>
  <si>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</si>
  <si>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</si>
  <si>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</si>
  <si>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</si>
  <si>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</si>
  <si>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</si>
  <si>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</si>
  <si>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Standard penetration test in rotary drillhole, depth range 10 to 20m</t>
  </si>
  <si>
    <t>H2.3</t>
  </si>
  <si>
    <t>Standard penetration test in rotary drillhole, depth range 20 to 30m</t>
  </si>
  <si>
    <t>H2.4</t>
  </si>
  <si>
    <t>Standard penetration test in rotary drillhole, depth range 30 to 40m</t>
  </si>
  <si>
    <t>H3</t>
  </si>
  <si>
    <t xml:space="preserve">In-situ density testing </t>
  </si>
  <si>
    <t>H3.1</t>
  </si>
  <si>
    <t>Small pouring cylinder method</t>
  </si>
  <si>
    <t>H3.2</t>
  </si>
  <si>
    <t>Large pouring cylinder method</t>
  </si>
  <si>
    <t>H3.3</t>
  </si>
  <si>
    <t>Water replacement method</t>
  </si>
  <si>
    <t>H3.4</t>
  </si>
  <si>
    <t>Core cutter method</t>
  </si>
  <si>
    <t>H3.5</t>
  </si>
  <si>
    <t>Nuclear gauge method</t>
  </si>
  <si>
    <t>H4</t>
  </si>
  <si>
    <t>California Bearing Ratio by plate bearing test by plunger method</t>
  </si>
  <si>
    <t>H4.1</t>
  </si>
  <si>
    <t>H5</t>
  </si>
  <si>
    <t>Vane shear strength test in borehole / trial pit / trench</t>
  </si>
  <si>
    <t>H7</t>
  </si>
  <si>
    <t>Hand penetrometer test (set of 3 readings)</t>
  </si>
  <si>
    <t>H8</t>
  </si>
  <si>
    <t xml:space="preserve">Hand vane test (set of 3 readings) </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</si>
  <si>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</si>
  <si>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</si>
  <si>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</si>
  <si>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</si>
  <si>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</si>
  <si>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</si>
  <si>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</si>
  <si>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</si>
  <si>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</si>
  <si>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</si>
  <si>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</si>
  <si>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</si>
  <si>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</si>
  <si>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</si>
  <si>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</si>
  <si>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</si>
  <si>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</si>
  <si>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</si>
  <si>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</si>
  <si>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</si>
  <si>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</si>
  <si>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</si>
  <si>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</si>
  <si>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</si>
  <si>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</si>
  <si>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</si>
  <si>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</si>
  <si>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</si>
  <si>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</si>
  <si>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</si>
  <si>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</si>
  <si>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</si>
  <si>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</si>
  <si>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</si>
  <si>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</si>
  <si>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</si>
  <si>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</si>
  <si>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</si>
  <si>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</si>
  <si>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</si>
  <si>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</si>
  <si>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</si>
  <si>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</si>
  <si>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</si>
  <si>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</si>
  <si>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</si>
  <si>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</si>
  <si>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</si>
  <si>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</si>
  <si>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</si>
  <si>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</si>
  <si>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</si>
  <si>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</si>
  <si>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</si>
  <si>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</si>
  <si>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</si>
  <si>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</si>
  <si>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</si>
  <si>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</si>
  <si>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</si>
  <si>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H37</t>
  </si>
  <si>
    <t>Self boring pressuremeter</t>
  </si>
  <si>
    <t>H38</t>
  </si>
  <si>
    <t>high pressure dilatometer</t>
  </si>
  <si>
    <t>H39</t>
  </si>
  <si>
    <t>Menard Presuremeter</t>
  </si>
  <si>
    <t>Total H carried to summary:</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</si>
  <si>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</si>
  <si>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</si>
  <si>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</si>
  <si>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</si>
  <si>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</si>
  <si>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</si>
  <si>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</si>
  <si>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</si>
  <si>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</si>
  <si>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</si>
  <si>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</si>
  <si>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</si>
  <si>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</si>
  <si>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</si>
  <si>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</si>
  <si>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</si>
  <si>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</si>
  <si>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</si>
  <si>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</si>
  <si>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</si>
  <si>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</si>
  <si>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</si>
  <si>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</si>
  <si>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</si>
  <si>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</si>
  <si>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</si>
  <si>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</si>
  <si>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</si>
  <si>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</si>
  <si>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</si>
  <si>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</si>
  <si>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</si>
  <si>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</si>
  <si>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</si>
  <si>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</si>
  <si>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</si>
  <si>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</si>
  <si>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</si>
  <si>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</si>
  <si>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</si>
  <si>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</si>
  <si>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</si>
  <si>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</si>
  <si>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</si>
  <si>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</si>
  <si>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</si>
  <si>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I22</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</si>
  <si>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</si>
  <si>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</si>
  <si>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</si>
  <si>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</si>
  <si>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</si>
  <si>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</si>
  <si>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</si>
  <si>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</si>
  <si>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</si>
  <si>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</si>
  <si>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</si>
  <si>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</si>
  <si>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</si>
  <si>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</si>
  <si>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</si>
  <si>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</si>
  <si>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</si>
  <si>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</si>
  <si>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</si>
  <si>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</si>
  <si>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</si>
  <si>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</si>
  <si>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</si>
  <si>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</si>
  <si>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</si>
  <si>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</si>
  <si>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</si>
  <si>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</si>
  <si>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</si>
  <si>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</si>
  <si>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</si>
  <si>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</si>
  <si>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</si>
  <si>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</si>
  <si>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</si>
  <si>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</si>
  <si>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</si>
  <si>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</si>
  <si>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</si>
  <si>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J6</t>
  </si>
  <si>
    <t>Extra over Item J5 for purging or micro-purging in excess of 3 well volumes</t>
  </si>
  <si>
    <t>J7</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</si>
  <si>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</si>
  <si>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</si>
  <si>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</si>
  <si>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</si>
  <si>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</si>
  <si>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</si>
  <si>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J11</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</si>
  <si>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</si>
  <si>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</si>
  <si>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</si>
  <si>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</si>
  <si>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</si>
  <si>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</si>
  <si>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</si>
  <si>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</si>
  <si>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</si>
  <si>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</si>
  <si>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</si>
  <si>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</si>
  <si>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</si>
  <si>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</si>
  <si>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</si>
  <si>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</si>
  <si>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</si>
  <si>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</si>
  <si>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</si>
  <si>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</si>
  <si>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</si>
  <si>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</si>
  <si>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</si>
  <si>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</si>
  <si>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</si>
  <si>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</si>
  <si>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</si>
  <si>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</si>
  <si>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</si>
  <si>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</si>
  <si>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</si>
  <si>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</si>
  <si>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</si>
  <si>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</si>
  <si>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</si>
  <si>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</si>
  <si>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</si>
  <si>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</si>
  <si>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</si>
  <si>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</si>
  <si>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</si>
  <si>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</si>
  <si>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</si>
  <si>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</si>
  <si>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</si>
  <si>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</si>
  <si>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</si>
  <si>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</si>
  <si>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</si>
  <si>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</si>
  <si>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</si>
  <si>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</si>
  <si>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</si>
  <si>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</si>
  <si>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</si>
  <si>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</si>
  <si>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</si>
  <si>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</si>
  <si>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</si>
  <si>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 xml:space="preserve">Chemical and electrochemical </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</si>
  <si>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</si>
  <si>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</si>
  <si>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</si>
  <si>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</si>
  <si>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</si>
  <si>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</si>
  <si>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</si>
  <si>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</si>
  <si>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</si>
  <si>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</si>
  <si>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</si>
  <si>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</si>
  <si>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</si>
  <si>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</si>
  <si>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</si>
  <si>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</si>
  <si>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</si>
  <si>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</si>
  <si>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</si>
  <si>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</si>
  <si>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</si>
  <si>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</si>
  <si>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</si>
  <si>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</si>
  <si>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</si>
  <si>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</si>
  <si>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</si>
  <si>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</si>
  <si>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</si>
  <si>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</si>
  <si>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</si>
  <si>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</si>
  <si>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</si>
  <si>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</si>
  <si>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</si>
  <si>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</si>
  <si>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</si>
  <si>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</si>
  <si>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</si>
  <si>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</si>
  <si>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</si>
  <si>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</si>
  <si>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</si>
  <si>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</si>
  <si>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</si>
  <si>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</si>
  <si>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</si>
  <si>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</si>
  <si>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</si>
  <si>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</si>
  <si>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</si>
  <si>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 xml:space="preserve">Compressibility, permeability and durability </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</si>
  <si>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</si>
  <si>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</si>
  <si>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</si>
  <si>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</si>
  <si>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</si>
  <si>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</si>
  <si>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</si>
  <si>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</si>
  <si>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</si>
  <si>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</si>
  <si>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</si>
  <si>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</si>
  <si>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</si>
  <si>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</si>
  <si>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</si>
  <si>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</si>
  <si>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</si>
  <si>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</si>
  <si>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</si>
  <si>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</si>
  <si>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</si>
  <si>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</si>
  <si>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</si>
  <si>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 xml:space="preserve">Consolidation and permeability in hydraulic cells </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</si>
  <si>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</si>
  <si>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</si>
  <si>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</si>
  <si>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</si>
  <si>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</si>
  <si>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</si>
  <si>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</si>
  <si>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</si>
  <si>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</si>
  <si>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</si>
  <si>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</si>
  <si>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</si>
  <si>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</si>
  <si>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</si>
  <si>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</si>
  <si>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</si>
  <si>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</si>
  <si>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</si>
  <si>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</si>
  <si>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</si>
  <si>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</si>
  <si>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</si>
  <si>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</si>
  <si>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</si>
  <si>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</si>
  <si>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</si>
  <si>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</si>
  <si>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</si>
  <si>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</si>
  <si>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</si>
  <si>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</si>
  <si>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</si>
  <si>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</si>
  <si>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</si>
  <si>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</si>
  <si>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</si>
  <si>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</si>
  <si>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Shear strength of a set of three 60mm × 60mm square specimens by direct shear, test duration not exceeding 1 day per specimen</t>
  </si>
  <si>
    <t>K6.5</t>
  </si>
  <si>
    <t>Extra over Item K6.4 for test durations in excess of 1 day per specimen</t>
  </si>
  <si>
    <t>sp.day</t>
  </si>
  <si>
    <t>K6.6</t>
  </si>
  <si>
    <t>Shear strength of a single 300mm × 300mm square specimen by direct shear, test duration not exceeding 1 day</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</si>
  <si>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</si>
  <si>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</si>
  <si>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</si>
  <si>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</si>
  <si>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</si>
  <si>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</si>
  <si>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</si>
  <si>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</si>
  <si>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</si>
  <si>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</si>
  <si>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</si>
  <si>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</si>
  <si>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</si>
  <si>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</si>
  <si>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</si>
  <si>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</si>
  <si>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</si>
  <si>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Undrained shear strength of a set of three 38mm diameter specimens in triaxial compression without the measurement of pore pressure</t>
  </si>
  <si>
    <t>K6.16</t>
  </si>
  <si>
    <t>Undrained strength of a single 100mm diameter specimen in triaxial compression without the measurement of pore pressure</t>
  </si>
  <si>
    <t>K6.17</t>
  </si>
  <si>
    <t>Undrained shear strength of a single 100mm diameter specimen in triaxial compression with multi-stage loading and without measurement of pore pressure</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</si>
  <si>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</si>
  <si>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</si>
  <si>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</si>
  <si>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</si>
  <si>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</si>
  <si>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</si>
  <si>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</si>
  <si>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</si>
  <si>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</si>
  <si>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</si>
  <si>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</si>
  <si>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</si>
  <si>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</si>
  <si>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</si>
  <si>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</si>
  <si>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</si>
  <si>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</si>
  <si>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</si>
  <si>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</si>
  <si>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</si>
  <si>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</si>
  <si>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</si>
  <si>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</si>
  <si>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</si>
  <si>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</si>
  <si>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</si>
  <si>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</si>
  <si>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</si>
  <si>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</si>
  <si>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</si>
  <si>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</si>
  <si>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</si>
  <si>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</si>
  <si>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</si>
  <si>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</si>
  <si>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</si>
  <si>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</si>
  <si>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</si>
  <si>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</si>
  <si>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</si>
  <si>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</si>
  <si>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</si>
  <si>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</si>
  <si>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</si>
  <si>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</si>
  <si>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</si>
  <si>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</si>
  <si>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</si>
  <si>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</si>
  <si>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</si>
  <si>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</si>
  <si>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</si>
  <si>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</si>
  <si>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</si>
  <si>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</si>
  <si>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</si>
  <si>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</si>
  <si>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</si>
  <si>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</si>
  <si>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</si>
  <si>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</si>
  <si>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</si>
  <si>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</si>
  <si>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</si>
  <si>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</si>
  <si>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</si>
  <si>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</si>
  <si>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</si>
  <si>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</si>
  <si>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</si>
  <si>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</si>
  <si>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</si>
  <si>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</si>
  <si>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</si>
  <si>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</si>
  <si>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</si>
  <si>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</si>
  <si>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</si>
  <si>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</si>
  <si>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</si>
  <si>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</si>
  <si>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</si>
  <si>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</si>
  <si>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</si>
  <si>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</si>
  <si>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C.</t>
  </si>
  <si>
    <t>D.</t>
  </si>
  <si>
    <t>E.</t>
  </si>
  <si>
    <t>F.</t>
  </si>
  <si>
    <t>G.</t>
  </si>
  <si>
    <t>H.</t>
  </si>
  <si>
    <t>I.</t>
  </si>
  <si>
    <t>J.</t>
  </si>
  <si>
    <t>Installation monitoring and sampling</t>
  </si>
  <si>
    <t>K.</t>
  </si>
  <si>
    <t>L.</t>
  </si>
  <si>
    <t>Total Tender</t>
  </si>
  <si>
    <t xml:space="preserve"> </t>
  </si>
  <si>
    <t>Dynamic sampling (Window and Windowless Sampling)</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</si>
  <si>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</si>
  <si>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</si>
  <si>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</si>
  <si>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</si>
  <si>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</si>
  <si>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</si>
  <si>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</si>
  <si>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</si>
  <si>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</si>
  <si>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</si>
  <si>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</si>
  <si>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</si>
  <si>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</si>
  <si>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</si>
  <si>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</si>
  <si>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</si>
  <si>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</si>
  <si>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</si>
  <si>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</si>
  <si>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</si>
  <si>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</si>
  <si>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</si>
  <si>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</si>
  <si>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</si>
  <si>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</si>
  <si>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</si>
  <si>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</si>
  <si>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</si>
  <si>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</si>
  <si>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</si>
  <si>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</si>
  <si>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</si>
  <si>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Reinstatement or concrete footpath and concrete pavements</t>
  </si>
  <si>
    <t>Trackbed Inspection Pits</t>
  </si>
  <si>
    <t>D56</t>
  </si>
  <si>
    <t>D57</t>
  </si>
  <si>
    <t>Extra over item D56 for setting to the site of exploratory hole over safety barrier or other fence or wall, set up, dismantle on completion and reinstate.</t>
  </si>
  <si>
    <t>D58</t>
  </si>
  <si>
    <t>Extra over Item D56 for setting up on a slope of gradient greater than 20%</t>
  </si>
  <si>
    <t>D60</t>
  </si>
  <si>
    <t>D61</t>
  </si>
  <si>
    <t xml:space="preserve">As Item D60 but between 3.0 and 4.5m depth </t>
  </si>
  <si>
    <t>D62</t>
  </si>
  <si>
    <t>A32 - Additional Items</t>
  </si>
  <si>
    <t>Extra over item for provision of necessary COVID19 social distancing and precaution measures during Ground Investigation as outlined in Item A9</t>
  </si>
  <si>
    <t>-</t>
  </si>
  <si>
    <t>M</t>
  </si>
  <si>
    <t>Sum</t>
  </si>
  <si>
    <t>Provide Engineer / Geologist to recover ground gas sample from gas monitoring standpipe</t>
  </si>
  <si>
    <t>Provision of dynamic probing equipment and crew for probing as directed by the Investigation Supervisor; maximum depth 10m</t>
  </si>
  <si>
    <t>Weekly</t>
  </si>
  <si>
    <t>Visits</t>
  </si>
  <si>
    <t>Extra over Item J9 for ground gas measurements in all standpipe during return visit</t>
  </si>
  <si>
    <t>Extra over Item J9 for groundwater measurements in all standpipes or standpipe piezometers during return visit</t>
  </si>
  <si>
    <t>Develop all standpipes or piezometer by purging (3 well volumes)</t>
  </si>
  <si>
    <t xml:space="preserve">Extra over rate for item E7 in depth range 20m to 30m </t>
  </si>
  <si>
    <t>Provide Engineer/Geologist to take water sample from all standpipes or standpipe piezometer (rate not including purging or micro purging)</t>
  </si>
  <si>
    <t>Not Required</t>
  </si>
  <si>
    <t>California Bearing Ratio by Handheld TRL DCP method</t>
  </si>
  <si>
    <t>Carry out Foundation Inspection Pit as per Appendix B of Specification at locations shown in the Drawings in Volume A(ii)</t>
  </si>
  <si>
    <t>Extra over item A2.1 - A2.9 for a yellow category site</t>
  </si>
  <si>
    <t>Maintain on site all site safety equipment for a Yellow Category site</t>
  </si>
  <si>
    <t>Decontamination of equipment during and at end of intrusive investigation for a Yellow Category site</t>
  </si>
  <si>
    <t>A8.2</t>
  </si>
  <si>
    <t>Move equipment on-track to the site of each inspection pit dismantle on completion and reinstate.</t>
  </si>
  <si>
    <t>Bring dynamic probe (DPH) equipment on-track to the site of each test location</t>
  </si>
  <si>
    <t>Total Section B.1 carried to summary:</t>
  </si>
  <si>
    <t>Non-Track Works</t>
  </si>
  <si>
    <t>On-Track Works</t>
  </si>
  <si>
    <t>On Track Works</t>
  </si>
  <si>
    <t>B.1</t>
  </si>
  <si>
    <t>A2.1.1</t>
  </si>
  <si>
    <t>A2.2.1</t>
  </si>
  <si>
    <t>Establish on site Geobor S rotary drilling plant and equipment for a Green Category site</t>
  </si>
  <si>
    <r>
      <t>Establish the location and elevation (X, Y, Z) of the ground at each 'as-built' exploratory hole or point (</t>
    </r>
    <r>
      <rPr>
        <b/>
        <sz val="10"/>
        <color rgb="FFFF0000"/>
        <rFont val="Arial"/>
        <family val="2"/>
      </rPr>
      <t>NIGHT TIME ON TRACK</t>
    </r>
    <r>
      <rPr>
        <sz val="10"/>
        <rFont val="Arial"/>
        <family val="2"/>
      </rPr>
      <t>)</t>
    </r>
  </si>
  <si>
    <t>Provision of Lighting for Night Time &amp; Tunnel Works</t>
  </si>
  <si>
    <t xml:space="preserve">A33 </t>
  </si>
  <si>
    <r>
      <t>Establish the location and elevation (X, Y, Z) of the ground at each 'as-built' exploratory hole or point (</t>
    </r>
    <r>
      <rPr>
        <b/>
        <sz val="10"/>
        <color rgb="FFFF0000"/>
        <rFont val="Arial"/>
        <family val="2"/>
      </rPr>
      <t>NON TRACK</t>
    </r>
    <r>
      <rPr>
        <sz val="10"/>
        <rFont val="Arial"/>
        <family val="2"/>
      </rPr>
      <t>)</t>
    </r>
  </si>
  <si>
    <r>
      <t xml:space="preserve">Dynamic sampling (Window and Windowless Sampling) </t>
    </r>
    <r>
      <rPr>
        <b/>
        <u/>
        <sz val="10"/>
        <color rgb="FFFF0000"/>
        <rFont val="Arial"/>
        <family val="2"/>
      </rPr>
      <t>Night Works On Track</t>
    </r>
  </si>
  <si>
    <t>C.1</t>
  </si>
  <si>
    <t>Rate Only</t>
  </si>
  <si>
    <t>Per m</t>
  </si>
  <si>
    <t>M1</t>
  </si>
  <si>
    <t>M2</t>
  </si>
  <si>
    <t>A2.1A</t>
  </si>
  <si>
    <r>
      <t>Establish on site cable percussion ('shell &amp; auger') boring plant and equipment for a Green Category site (</t>
    </r>
    <r>
      <rPr>
        <b/>
        <sz val="10"/>
        <color rgb="FFFF0000"/>
        <rFont val="Arial"/>
        <family val="2"/>
      </rPr>
      <t>Stage 1 - NON TRACK</t>
    </r>
    <r>
      <rPr>
        <sz val="10"/>
        <rFont val="Arial"/>
        <family val="2"/>
      </rPr>
      <t xml:space="preserve">)  </t>
    </r>
  </si>
  <si>
    <r>
      <t>Establish on site cable percussion ('shell &amp; auger') boring plant and equipment for a Green Category site (</t>
    </r>
    <r>
      <rPr>
        <b/>
        <sz val="10"/>
        <color rgb="FFFF0000"/>
        <rFont val="Arial"/>
        <family val="2"/>
      </rPr>
      <t>Stage 2 - NON TRACK</t>
    </r>
    <r>
      <rPr>
        <sz val="10"/>
        <rFont val="Arial"/>
        <family val="2"/>
      </rPr>
      <t xml:space="preserve">)  </t>
    </r>
  </si>
  <si>
    <t>A30.1</t>
  </si>
  <si>
    <t>Extra over Item A2.1 - A2.9 for working within Irish Rail property</t>
  </si>
  <si>
    <t>Provision of PTS track safety training for field staff working on Irish Rail property</t>
  </si>
  <si>
    <t>Provision of Track Possession or Permit to Access permits from Irish Rail for working. (Cost of Lookouts and TSC are excluded from this contract and are not borne by the Contractor)</t>
  </si>
  <si>
    <t>Provision of Insurances (including Iarnrod Eireann and CIE as named insured)</t>
  </si>
  <si>
    <t>Provide liaison with PSCS where another party is performing the role of PSCS</t>
  </si>
  <si>
    <t>Contractor liaison with / submissions to with Irish Rail as required (method statements, coordination and scheduling of possessions, licensing for works to structure, etc.)</t>
  </si>
  <si>
    <t>Extra Over Item B1.1 Set up borehole in trackside area to include compliance with Irish Rail requirements (works supervised by Engineer/Geologist with valid PTS card / works by crew with valid PTS cards)</t>
  </si>
  <si>
    <t>Hand digging and CAT scan at borehole location to confirm absence of utility ducts (maximum depth of 1.20m or lesser if ground is assessed as potentially unstable) in road areas</t>
  </si>
  <si>
    <t>Hand digging and CAT scan at borehole location to confirm absence of utility ducts (maximum depth of 1.20m or lesser if ground is assessed as potentially unstable) in trackside areas</t>
  </si>
  <si>
    <t xml:space="preserve">Daily provision of pitting crew and equipment  </t>
  </si>
  <si>
    <t xml:space="preserve">Provision of excavation plant equipment and crew for machine dug trial pits or trenches as directed by the Investigation Supervisor; maximum depth 3.0m </t>
  </si>
  <si>
    <t xml:space="preserve">day </t>
  </si>
  <si>
    <t>Provision of excavation plant, equipment and crew for machine dug observation pit or trench as directed by the Investigation Supervisor (maximum depth 3.0m)</t>
  </si>
  <si>
    <t>A34</t>
  </si>
  <si>
    <t>A35</t>
  </si>
  <si>
    <t>A36</t>
  </si>
  <si>
    <t>Included in A7</t>
  </si>
  <si>
    <t>Included in B1 to B1.2.2</t>
  </si>
  <si>
    <t>Included in B1.1 &amp; B1.2</t>
  </si>
  <si>
    <t>Included in D53</t>
  </si>
  <si>
    <t>Refer to C15.1.1 to C15.2.2 &amp; C15.3</t>
  </si>
  <si>
    <t>Included in C15 to C15.2</t>
  </si>
  <si>
    <t>Included in A2, A2.4, D3 to D19</t>
  </si>
  <si>
    <t>To be included in item D13 to D15</t>
  </si>
  <si>
    <t>Included in Item D3 &amp; D3.1</t>
  </si>
  <si>
    <t>To be included in item D51 and D52</t>
  </si>
  <si>
    <t>Extra Over Item B1.2.1.1 Set up borehole in road area to include erection of traffic management systems (works supervised by Engineer/Geologist with valid CSCS Card for Signing, Lighting and Guarding at Roadworks)</t>
  </si>
  <si>
    <t>Addressed</t>
  </si>
  <si>
    <t>A2.9.1</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</si>
  <si>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t>
  </si>
  <si>
    <t xml:space="preserve">Move boring plant and equipment to the site of each exploratory hole, set up, dismantle on completion and reinstate (where borehole is to be followed on with rotary drilling) </t>
  </si>
  <si>
    <t xml:space="preserve">Move rotary drilling plant and equipment to the site of each exploratory drillhole, set up, dismantle on completion and reinstate (rotary follow-on) </t>
  </si>
  <si>
    <t xml:space="preserve">Disposal of excess or surplus inert arisings from rotary drilling operations (where standpipe or piezometer is not installed) </t>
  </si>
  <si>
    <t>D63</t>
  </si>
  <si>
    <t>D64</t>
  </si>
  <si>
    <t>D65</t>
  </si>
  <si>
    <t>D66</t>
  </si>
  <si>
    <t>D67</t>
  </si>
  <si>
    <t>D68</t>
  </si>
  <si>
    <t>D69</t>
  </si>
  <si>
    <t>D70</t>
  </si>
  <si>
    <t>D71</t>
  </si>
  <si>
    <t>D72</t>
  </si>
  <si>
    <t>D73</t>
  </si>
  <si>
    <t>D74</t>
  </si>
  <si>
    <t xml:space="preserve">nr </t>
  </si>
  <si>
    <t>Extra over Item D45 for temporary storage and disposal of contaminated groundwater from trial pit or trench</t>
  </si>
  <si>
    <t>Leave open observation pit or slit trench as instructed by Investigation Supervisor</t>
  </si>
  <si>
    <t>Leave open trial pit as instructed by Investigation Supervisor</t>
  </si>
  <si>
    <t>D76</t>
  </si>
  <si>
    <t>D77</t>
  </si>
  <si>
    <t>D78</t>
  </si>
  <si>
    <t>D79</t>
  </si>
  <si>
    <t>D80</t>
  </si>
  <si>
    <t>Standard penetration test in rotary drillhole, depth range 0 to 10m</t>
  </si>
  <si>
    <t>Total Section M carried to summary:</t>
  </si>
  <si>
    <t>M3</t>
  </si>
  <si>
    <t>M4</t>
  </si>
  <si>
    <t>M5</t>
  </si>
  <si>
    <t>Provision of excavation plant equipment and crew for machine dug Foundation Inspection Pits as directed by the Investigation Supervisor; maximum depth 3.0m in trackside locations (nightworks)</t>
  </si>
  <si>
    <t>As Item M3 but between 3.0 and 4.5m depth</t>
  </si>
  <si>
    <t>Extra over Items M3 - 4 for breaking out hard strata or obstructions</t>
  </si>
  <si>
    <t>M6</t>
  </si>
  <si>
    <t>M7</t>
  </si>
  <si>
    <t>M8</t>
  </si>
  <si>
    <t>Extra over Item M7 for temporary storage and disposal of contaminated groundwater from pit</t>
  </si>
  <si>
    <r>
      <t>Establish on site cable percussion ('shell &amp; auger') boring plant and equipment for a Green Category site (</t>
    </r>
    <r>
      <rPr>
        <b/>
        <sz val="10"/>
        <color rgb="FFFF0000"/>
        <rFont val="Arial"/>
        <family val="2"/>
      </rPr>
      <t>Stage 1 - NIGHT TIME ON TRACK</t>
    </r>
    <r>
      <rPr>
        <sz val="10"/>
        <rFont val="Arial"/>
        <family val="2"/>
      </rPr>
      <t xml:space="preserve">) </t>
    </r>
  </si>
  <si>
    <r>
      <t>Establish on site rotary drilling plant and equipment for a Green Category site (</t>
    </r>
    <r>
      <rPr>
        <b/>
        <sz val="10"/>
        <color rgb="FFFF0000"/>
        <rFont val="Arial"/>
        <family val="2"/>
      </rPr>
      <t>Stage 1 - NON TRACK</t>
    </r>
    <r>
      <rPr>
        <sz val="10"/>
        <rFont val="Arial"/>
        <family val="2"/>
      </rPr>
      <t xml:space="preserve">)  </t>
    </r>
  </si>
  <si>
    <t>A2.2A</t>
  </si>
  <si>
    <r>
      <t>Establish on site rotary drilling plant and equipment for a Green Category site (</t>
    </r>
    <r>
      <rPr>
        <b/>
        <sz val="10"/>
        <color rgb="FFFF0000"/>
        <rFont val="Arial"/>
        <family val="2"/>
      </rPr>
      <t>Stage 2 - NON TRACK</t>
    </r>
    <r>
      <rPr>
        <sz val="10"/>
        <rFont val="Arial"/>
        <family val="2"/>
      </rPr>
      <t xml:space="preserve">)  </t>
    </r>
  </si>
  <si>
    <r>
      <t>Establish on site rotary drilling plant and equipment for a Green Category site (</t>
    </r>
    <r>
      <rPr>
        <b/>
        <sz val="10"/>
        <color rgb="FFFF0000"/>
        <rFont val="Arial"/>
        <family val="2"/>
      </rPr>
      <t>Stage 1 - NIGHT TIME ON TRACK</t>
    </r>
    <r>
      <rPr>
        <sz val="10"/>
        <rFont val="Arial"/>
        <family val="2"/>
      </rPr>
      <t xml:space="preserve">)  </t>
    </r>
  </si>
  <si>
    <r>
      <t>Establish on site trial pitting and trenching plant and equipment for a Green Category site  (</t>
    </r>
    <r>
      <rPr>
        <b/>
        <sz val="10"/>
        <color rgb="FFFF0000"/>
        <rFont val="Arial"/>
        <family val="2"/>
      </rPr>
      <t>Stage 1  - NIGHT TIME ON TRACK</t>
    </r>
    <r>
      <rPr>
        <sz val="10"/>
        <rFont val="Arial"/>
        <family val="2"/>
      </rPr>
      <t>)</t>
    </r>
  </si>
  <si>
    <t>A2.5A</t>
  </si>
  <si>
    <r>
      <t>Establish on site dynamic sampling and probing plant and equipment for a Green Category site (</t>
    </r>
    <r>
      <rPr>
        <b/>
        <sz val="10"/>
        <color rgb="FFFF0000"/>
        <rFont val="Arial"/>
        <family val="2"/>
      </rPr>
      <t>Stage 3 - NIGHT TIME ON TRACK</t>
    </r>
    <r>
      <rPr>
        <sz val="10"/>
        <rFont val="Arial"/>
        <family val="2"/>
      </rPr>
      <t xml:space="preserve">) </t>
    </r>
  </si>
  <si>
    <t>A2.7A</t>
  </si>
  <si>
    <r>
      <t>Establish on site dynamic sampling and probing plant and equipment for a Green Category site (</t>
    </r>
    <r>
      <rPr>
        <b/>
        <sz val="10"/>
        <color rgb="FFFF0000"/>
        <rFont val="Arial"/>
        <family val="2"/>
      </rPr>
      <t>Stage 1 - NON TRACK</t>
    </r>
    <r>
      <rPr>
        <sz val="10"/>
        <rFont val="Arial"/>
        <family val="2"/>
      </rPr>
      <t xml:space="preserve">) </t>
    </r>
  </si>
  <si>
    <r>
      <t>Establish on site in situ test and sampling equipment for a Green Category site (</t>
    </r>
    <r>
      <rPr>
        <b/>
        <sz val="10"/>
        <color rgb="FFFF0000"/>
        <rFont val="Arial"/>
        <family val="2"/>
      </rPr>
      <t>Stages 1 to 4 - NIGHT TIME ON TRACK</t>
    </r>
    <r>
      <rPr>
        <sz val="10"/>
        <rFont val="Arial"/>
        <family val="2"/>
      </rPr>
      <t>)</t>
    </r>
  </si>
  <si>
    <r>
      <t>Establish on site in situ test and sampling equipment for a Green Category site (</t>
    </r>
    <r>
      <rPr>
        <b/>
        <sz val="10"/>
        <color rgb="FFFF0000"/>
        <rFont val="Arial"/>
        <family val="2"/>
      </rPr>
      <t>Stages 1 to 4 - NON TRACK</t>
    </r>
    <r>
      <rPr>
        <sz val="10"/>
        <rFont val="Arial"/>
        <family val="2"/>
      </rPr>
      <t>)</t>
    </r>
  </si>
  <si>
    <r>
      <t>Establish on site geophysical survey equipment for a Green Category site (</t>
    </r>
    <r>
      <rPr>
        <b/>
        <sz val="10"/>
        <color rgb="FFFF0000"/>
        <rFont val="Arial"/>
        <family val="2"/>
      </rPr>
      <t>Stage 1</t>
    </r>
    <r>
      <rPr>
        <sz val="10"/>
        <rFont val="Arial"/>
        <family val="2"/>
      </rPr>
      <t>)</t>
    </r>
  </si>
  <si>
    <r>
      <t>Establish on site instrumentation equipment as required for a Green Category site (</t>
    </r>
    <r>
      <rPr>
        <b/>
        <sz val="10"/>
        <color rgb="FFFF0000"/>
        <rFont val="Arial"/>
        <family val="2"/>
      </rPr>
      <t>Stage 1</t>
    </r>
    <r>
      <rPr>
        <sz val="10"/>
        <rFont val="Arial"/>
        <family val="2"/>
      </rPr>
      <t>)</t>
    </r>
  </si>
  <si>
    <t>Extra over to excavate foundation inspection pit below 1.2m depth.</t>
  </si>
  <si>
    <r>
      <t>Probing and cone penetration testing (</t>
    </r>
    <r>
      <rPr>
        <b/>
        <sz val="10"/>
        <color rgb="FFFF0000"/>
        <rFont val="Arial"/>
        <family val="2"/>
      </rPr>
      <t>Night Works On-Track</t>
    </r>
    <r>
      <rPr>
        <sz val="10"/>
        <color rgb="FF000000"/>
        <rFont val="Arial"/>
        <family val="2"/>
      </rPr>
      <t>)</t>
    </r>
  </si>
  <si>
    <r>
      <t>Pitting and trenching (</t>
    </r>
    <r>
      <rPr>
        <b/>
        <sz val="10"/>
        <color rgb="FFFF0000"/>
        <rFont val="Arial"/>
        <family val="2"/>
      </rPr>
      <t>Night Works On Track</t>
    </r>
    <r>
      <rPr>
        <sz val="10"/>
        <color rgb="FF000000"/>
        <rFont val="Arial"/>
        <family val="2"/>
      </rPr>
      <t>)</t>
    </r>
  </si>
  <si>
    <r>
      <t>Rotary drilling (</t>
    </r>
    <r>
      <rPr>
        <b/>
        <sz val="10"/>
        <color rgb="FFFF0000"/>
        <rFont val="Arial"/>
        <family val="2"/>
      </rPr>
      <t>Night Works On Track</t>
    </r>
    <r>
      <rPr>
        <sz val="10"/>
        <color rgb="FF000000"/>
        <rFont val="Arial"/>
        <family val="2"/>
      </rPr>
      <t>)</t>
    </r>
  </si>
  <si>
    <r>
      <t>Percussion boring (</t>
    </r>
    <r>
      <rPr>
        <b/>
        <sz val="10"/>
        <color rgb="FFFF0000"/>
        <rFont val="Arial"/>
        <family val="2"/>
      </rPr>
      <t>Night Works On Track</t>
    </r>
    <r>
      <rPr>
        <sz val="10"/>
        <color rgb="FF000000"/>
        <rFont val="Arial"/>
        <family val="2"/>
      </rPr>
      <t>)</t>
    </r>
  </si>
  <si>
    <r>
      <t>Percussion boring (</t>
    </r>
    <r>
      <rPr>
        <b/>
        <sz val="10"/>
        <color rgb="FFFF0000"/>
        <rFont val="Arial"/>
        <family val="2"/>
      </rPr>
      <t>Non Track</t>
    </r>
    <r>
      <rPr>
        <sz val="10"/>
        <color rgb="FF000000"/>
        <rFont val="Arial"/>
        <family val="2"/>
      </rPr>
      <t>)</t>
    </r>
  </si>
  <si>
    <r>
      <t>Rotary drilling (</t>
    </r>
    <r>
      <rPr>
        <b/>
        <sz val="10"/>
        <color rgb="FFFF0000"/>
        <rFont val="Arial"/>
        <family val="2"/>
      </rPr>
      <t>Non Track</t>
    </r>
    <r>
      <rPr>
        <sz val="10"/>
        <color rgb="FF000000"/>
        <rFont val="Arial"/>
        <family val="2"/>
      </rPr>
      <t>)</t>
    </r>
  </si>
  <si>
    <r>
      <t>Structures Survey (</t>
    </r>
    <r>
      <rPr>
        <b/>
        <sz val="10"/>
        <color rgb="FFFF0000"/>
        <rFont val="Arial"/>
        <family val="2"/>
      </rPr>
      <t>Night Works On Track</t>
    </r>
    <r>
      <rPr>
        <sz val="10"/>
        <color rgb="FF000000"/>
        <rFont val="Arial"/>
        <family val="2"/>
      </rPr>
      <t>)</t>
    </r>
  </si>
  <si>
    <t>A9.1</t>
  </si>
  <si>
    <t>Standing time for borehole plant, equipment and crew (excl briefings and setup/dismantling of equipment)</t>
  </si>
  <si>
    <t>Standing time for dynamic sampling equipment and crew (excl briefings and setup/dismantling of equipment)</t>
  </si>
  <si>
    <t>Standing time for rotary drilling plant, equipment and crew (excl briefings and setup/dismantling of equipment)</t>
  </si>
  <si>
    <t>Standing time for rotary percussive drilling plant, equipment and crew (excl briefings and setup/dismantling of equipment)</t>
  </si>
  <si>
    <t>Standing time for Geobor S drilling plant, equipment and crew (excl briefings and setup/dismantling of equipment)</t>
  </si>
  <si>
    <t>Dynamic sampling &gt;10m as instructed by the Investigation Supervisor</t>
  </si>
  <si>
    <t>Standing time for hand auger equipment and crew (excl briefings and setup/dismantling of equipment)</t>
  </si>
  <si>
    <t>Standing time for excavation plant, equipment and crew for machine dug trial pit or trench (excl briefings and setup/dismantling of equipment)</t>
  </si>
  <si>
    <t>Standing time for excavation plant, equipment and crew for hand dug observation pit or trench (excl briefings and setup/dismantling of equipment)</t>
  </si>
  <si>
    <t>Standing time for excavation plant, equipment and crew for trackbed inspection pit (excl briefings and setup/dismantling of equipment)</t>
  </si>
  <si>
    <t>D75</t>
  </si>
  <si>
    <t>As Item D64 but between 3.0 and 4.5m depth</t>
  </si>
  <si>
    <t>As Item D64 but in trackside locations (nightworks)</t>
  </si>
  <si>
    <t>As Item D67 between 3.0 and 4.5m depth</t>
  </si>
  <si>
    <t>As Item D67 but in trackside locations (daytime)</t>
  </si>
  <si>
    <t>As Item D67 but in trackside locations (nightworks)</t>
  </si>
  <si>
    <t>As Item D67 but for vacuum excavation</t>
  </si>
  <si>
    <t>As Item D67 but for vacuum excavation (trackside)</t>
  </si>
  <si>
    <t>Extra over Items D64-65 &amp; D67-D74 for breaking out hard strata or obstructions</t>
  </si>
  <si>
    <t>Hand Excavated Trial Pits</t>
  </si>
  <si>
    <t>D81</t>
  </si>
  <si>
    <t>D82</t>
  </si>
  <si>
    <t>D83</t>
  </si>
  <si>
    <t>D84</t>
  </si>
  <si>
    <t>As item D76 but for midweek night time shift, 8 hours working shift with provision of all equipment (trolleys, lighting and all other equipment for night time working)</t>
  </si>
  <si>
    <t xml:space="preserve">As item D76 but for weekend day time shift, 8 hours working shift </t>
  </si>
  <si>
    <t>As item D76 but for weekend night time shift, 8 hours working shift with provision of all equipment (trolleys, lighting and all other equipment for night time working)</t>
  </si>
  <si>
    <t>As item D80 but for midweek night time shift, 8 hours working shift with provision of all equipment (trolleys, lighting and all other equipment for night time working)</t>
  </si>
  <si>
    <t xml:space="preserve">As item D80 but for weekend day time shift, 8 hours working shift </t>
  </si>
  <si>
    <t>As item D80 but for weekend night time shift, 8 hours working shift with provision of all equipment (trolleys, lighting and all other equipment for night time working)</t>
  </si>
  <si>
    <t>Extra Over Items B1.1-B1.2 for moving locations where distance travelled is &gt; 5km</t>
  </si>
  <si>
    <t>Standing time for dynamic probe test equipment and crew (excl briefings and setup/dismantling of equipment)</t>
  </si>
  <si>
    <t>Standing time for seismic cone test equipment and crew (excl briefings and setup/dismantling of equipment)</t>
  </si>
  <si>
    <t>Provision of two man crew for hand excavated trial pits at bridge abutments, retaining walls and tunnel sidewalls up to 1.2m in depth with CAT scan prior to excavation and as progress plus hand vane tests, including all plant, equipment and services, midweek day time working, 8 hours working shift</t>
  </si>
  <si>
    <t>Provision of two man crew for hand excavated trial pit on track up to 1.2m in depth with CAT scan prior to excavation and as progress plus hand vane tests and TRL Probes including all plant, equipment and services, midweek day time working, 8 hours working shift</t>
  </si>
  <si>
    <t>Facilities for the Investigation Supervisor (As noted in Schedule 3)</t>
  </si>
  <si>
    <t xml:space="preserve">Storage of all samples following completion of Stage 4 fieldworks </t>
  </si>
  <si>
    <t xml:space="preserve">Storage of core boxes following completion of Stage 4 fieldworks </t>
  </si>
  <si>
    <t>Backfill and reinstate exploratory hole locations  with arisings/excavated materials and ballast in accordance with Iarnród Éireann Standards and as outlined in the Specification.</t>
  </si>
  <si>
    <t>Excavate inspection pit between existing ground level and 1.2m depth using 300mm Clam Shell Bucket</t>
  </si>
  <si>
    <t>As Item D67 but for hand excavation up to 1.2m depth</t>
  </si>
  <si>
    <t>As Item D67 but for hand excavation up to 1.2m depth (trackside)</t>
  </si>
  <si>
    <t>Rotary drill in materials other than hard strata at the specified diameter, from which cores are not required, between existing ground level and 10m depth.</t>
  </si>
  <si>
    <t xml:space="preserve">Backfill auger hole with cement/bentonite grout or bentonite pellets </t>
  </si>
  <si>
    <t xml:space="preserve">Rotary drill in materials other than hard strata at the specified diameter, from which cores are not required, between existing ground level and 10m depth </t>
  </si>
  <si>
    <t>Environmental / contamination sample for Suite H</t>
  </si>
  <si>
    <t>Carry out headspace testing on sample by FID or PID methods</t>
  </si>
  <si>
    <t>Refer to Items A2.1-2.9</t>
  </si>
  <si>
    <t>N/A</t>
  </si>
  <si>
    <t xml:space="preserve">m </t>
  </si>
  <si>
    <t>Trial pit / slit trench backfill &amp; reinstatement works</t>
  </si>
  <si>
    <r>
      <t>Preparation of Health and Safety documentation and Safety Risk Assessment for Work on or near the track (</t>
    </r>
    <r>
      <rPr>
        <b/>
        <sz val="10"/>
        <color rgb="FFFF0000"/>
        <rFont val="Arial"/>
        <family val="2"/>
      </rPr>
      <t>IE as PSCS</t>
    </r>
    <r>
      <rPr>
        <sz val="10"/>
        <rFont val="Arial"/>
        <family val="2"/>
      </rPr>
      <t>).</t>
    </r>
  </si>
  <si>
    <r>
      <t>Preparation of Health and Safety documentation and Safety Risk Assessment for Works outside the railway boundary (</t>
    </r>
    <r>
      <rPr>
        <b/>
        <sz val="10"/>
        <color rgb="FFFF0000"/>
        <rFont val="Arial"/>
        <family val="2"/>
      </rPr>
      <t>Contractor as PSCS</t>
    </r>
    <r>
      <rPr>
        <sz val="10"/>
        <rFont val="Arial"/>
        <family val="2"/>
      </rPr>
      <t>)</t>
    </r>
  </si>
  <si>
    <t>Disposal of excess or surplus inert arisings from rotary drilling operations (where standpipe or piezometer is not installed) PROVISIONAL</t>
  </si>
  <si>
    <r>
      <t>Geophysical testing (</t>
    </r>
    <r>
      <rPr>
        <b/>
        <sz val="10"/>
        <color rgb="FFFF0000"/>
        <rFont val="Arial"/>
        <family val="2"/>
      </rPr>
      <t>On Track</t>
    </r>
    <r>
      <rPr>
        <sz val="10"/>
        <color rgb="FF000000"/>
        <rFont val="Arial"/>
        <family val="2"/>
      </rPr>
      <t>)</t>
    </r>
  </si>
  <si>
    <t>Standing time for rotary auger equipment and crew(excl briefings and setup/dismantling of equipment)</t>
  </si>
  <si>
    <t>Standing time for rotary auger equipment and crew (excl briefings and setup/dismantling of equipment)</t>
  </si>
  <si>
    <t>Standing time for excavation plant, equipment and crew for machine dug observation pit or trench (excl briefings and setup/dismantling of equipment)</t>
  </si>
  <si>
    <t>Standing time for static cone penetration test equipment and crew (excl briefings and setup/dismantling of equipment)</t>
  </si>
  <si>
    <t>Note: rates for permeability test in boreholes or rotary holes to include standing time rate for plant and equipment. Standing time excludes briefings and setup/dismantling of equipment.</t>
  </si>
  <si>
    <t>B1 (OT)</t>
  </si>
  <si>
    <t>B1 (NT)</t>
  </si>
  <si>
    <t>B1.1.1 (NT)</t>
  </si>
  <si>
    <t>B1.1.2 (NT)</t>
  </si>
  <si>
    <t>B1.2.1 (NT)</t>
  </si>
  <si>
    <t>B1.2.1.1 (NT)</t>
  </si>
  <si>
    <t>B1.2.1.2 (NT)</t>
  </si>
  <si>
    <t>B1.2.2 (NT)</t>
  </si>
  <si>
    <t>B1.2.2.1 (NT)</t>
  </si>
  <si>
    <t>B2 (NT)</t>
  </si>
  <si>
    <t>B2.1 (NT)</t>
  </si>
  <si>
    <t>B2.2 (NT)</t>
  </si>
  <si>
    <t>B3 (NT)</t>
  </si>
  <si>
    <t>B3.1 (NT)</t>
  </si>
  <si>
    <t>B3.2 (NT)</t>
  </si>
  <si>
    <t>B4 (NT)</t>
  </si>
  <si>
    <t>B5 (NT)</t>
  </si>
  <si>
    <t>B6 (NT)</t>
  </si>
  <si>
    <t>B7 (NT)</t>
  </si>
  <si>
    <t>B8 (NT)</t>
  </si>
  <si>
    <t>B9 (NT)</t>
  </si>
  <si>
    <t>B10 (NT)</t>
  </si>
  <si>
    <t>B11 (NT)</t>
  </si>
  <si>
    <t>B12 (NT)</t>
  </si>
  <si>
    <t>B13 (NT)</t>
  </si>
  <si>
    <t>B14 (NT)</t>
  </si>
  <si>
    <t>B15 (NT)</t>
  </si>
  <si>
    <t>B16 (NT)</t>
  </si>
  <si>
    <t>B17 (NT)</t>
  </si>
  <si>
    <t>B18 (NT)</t>
  </si>
  <si>
    <t>B19 (NT)</t>
  </si>
  <si>
    <t>B20 (NT)</t>
  </si>
  <si>
    <t>B21 (NT)</t>
  </si>
  <si>
    <t>B22 (NT)</t>
  </si>
  <si>
    <t>B23 (NT)</t>
  </si>
  <si>
    <t>B24 (NT)</t>
  </si>
  <si>
    <t>B25 (NT)</t>
  </si>
  <si>
    <t>B26 (NT)</t>
  </si>
  <si>
    <t>B27 (NT)</t>
  </si>
  <si>
    <t>B1.1.1 (OT)</t>
  </si>
  <si>
    <t>B1.1.2 (OT)</t>
  </si>
  <si>
    <t>B1.2.1.1 (OT)</t>
  </si>
  <si>
    <t>B1.2.1.2 (OT)</t>
  </si>
  <si>
    <t>B1.2.2 (OT)</t>
  </si>
  <si>
    <t>B2 (OT)</t>
  </si>
  <si>
    <t>B2.1 (OT)</t>
  </si>
  <si>
    <t>B2.2 (OT)</t>
  </si>
  <si>
    <t>B3 (OT)</t>
  </si>
  <si>
    <t>B3.1 (OT)</t>
  </si>
  <si>
    <t>B3.2 (OT)</t>
  </si>
  <si>
    <t>B4 (OT)</t>
  </si>
  <si>
    <t>B5 (OT)</t>
  </si>
  <si>
    <t>B6 (OT)</t>
  </si>
  <si>
    <t>B7 (OT)</t>
  </si>
  <si>
    <t>B8 (OT)</t>
  </si>
  <si>
    <t>B9 (OT)</t>
  </si>
  <si>
    <t>B10 (OT)</t>
  </si>
  <si>
    <t>B11 (OT)</t>
  </si>
  <si>
    <t>B12 (OT)</t>
  </si>
  <si>
    <t>B13 (OT)</t>
  </si>
  <si>
    <t>B14 (OT)</t>
  </si>
  <si>
    <t>B15 (OT)</t>
  </si>
  <si>
    <t>B16 (OT)</t>
  </si>
  <si>
    <t>B17 (OT)</t>
  </si>
  <si>
    <t>B18 (OT)</t>
  </si>
  <si>
    <t>B19 (OT)</t>
  </si>
  <si>
    <t>B20 (OT)</t>
  </si>
  <si>
    <t>B21 (OT)</t>
  </si>
  <si>
    <t>B22 (OT)</t>
  </si>
  <si>
    <t>B23 (OT)</t>
  </si>
  <si>
    <t>B24 (OT)</t>
  </si>
  <si>
    <t>B25 (OT)</t>
  </si>
  <si>
    <t>B26 (OT)</t>
  </si>
  <si>
    <t>B27 (OT)</t>
  </si>
  <si>
    <t>B28 (OT)</t>
  </si>
  <si>
    <t>C1 (OT)</t>
  </si>
  <si>
    <t>C2 (OT)</t>
  </si>
  <si>
    <t>C3 (OT)</t>
  </si>
  <si>
    <t>C4 (OT)</t>
  </si>
  <si>
    <t>C5 (OT)</t>
  </si>
  <si>
    <t>C6 (OT)</t>
  </si>
  <si>
    <t>C7 (OT)</t>
  </si>
  <si>
    <t>C7.1 (OT)</t>
  </si>
  <si>
    <t>C8 (OT)</t>
  </si>
  <si>
    <t>C9 (OT)</t>
  </si>
  <si>
    <t>C10 (OT)</t>
  </si>
  <si>
    <t>C11 (OT)</t>
  </si>
  <si>
    <t>C12 (OT)</t>
  </si>
  <si>
    <t>C13 (OT)</t>
  </si>
  <si>
    <t>C14 (OT)</t>
  </si>
  <si>
    <t>C15 (OT)</t>
  </si>
  <si>
    <t>C15.1.1 (OT)</t>
  </si>
  <si>
    <t>C15.1.2 (OT)</t>
  </si>
  <si>
    <t>C15.2.1 (OT)</t>
  </si>
  <si>
    <t>C15.2.2 (OT)</t>
  </si>
  <si>
    <t>C15.3 (OT)</t>
  </si>
  <si>
    <t>C16 (OT)</t>
  </si>
  <si>
    <t>C17 (OT)</t>
  </si>
  <si>
    <t>C18 (OT)</t>
  </si>
  <si>
    <t>C19 (OT)</t>
  </si>
  <si>
    <t>C20 (OT)</t>
  </si>
  <si>
    <t>C21 (OT)</t>
  </si>
  <si>
    <t>C22 (OT)</t>
  </si>
  <si>
    <t>C23 (OT)</t>
  </si>
  <si>
    <t>C24 (OT)</t>
  </si>
  <si>
    <t>C25 (OT)</t>
  </si>
  <si>
    <t>C26 (OT)</t>
  </si>
  <si>
    <t>C27 (OT)</t>
  </si>
  <si>
    <t>C28 (OT)</t>
  </si>
  <si>
    <t>C29 (OT)</t>
  </si>
  <si>
    <t>C30 (OT)</t>
  </si>
  <si>
    <t>C31 (OT)</t>
  </si>
  <si>
    <t>C32 (OT)</t>
  </si>
  <si>
    <t>C33 (OT)</t>
  </si>
  <si>
    <t>C34 (OT)</t>
  </si>
  <si>
    <t>C35 (OT)</t>
  </si>
  <si>
    <t>C36 (OT)</t>
  </si>
  <si>
    <t>C37 (OT)</t>
  </si>
  <si>
    <t>C38 (OT)</t>
  </si>
  <si>
    <t>C39 (OT)</t>
  </si>
  <si>
    <t>C40 (OT)</t>
  </si>
  <si>
    <t>C41 (OT)</t>
  </si>
  <si>
    <t>C42 (OT)</t>
  </si>
  <si>
    <t>C43 (OT)</t>
  </si>
  <si>
    <t>C44 (OT)</t>
  </si>
  <si>
    <t>C45 (OT)</t>
  </si>
  <si>
    <t>C46 (OT)</t>
  </si>
  <si>
    <t>C47 (OT)</t>
  </si>
  <si>
    <t>C48 (OT)</t>
  </si>
  <si>
    <t>C49 (OT)</t>
  </si>
  <si>
    <t>C50 (OT)</t>
  </si>
  <si>
    <t>C51 (OT)</t>
  </si>
  <si>
    <t>C52 (OT)</t>
  </si>
  <si>
    <t>C53 (OT)</t>
  </si>
  <si>
    <t>C54 (OT)</t>
  </si>
  <si>
    <t>C55 (OT)</t>
  </si>
  <si>
    <t>C56 (OT)</t>
  </si>
  <si>
    <t>C57 (OT)</t>
  </si>
  <si>
    <t>C58 (OT)</t>
  </si>
  <si>
    <t>C59 (OT)</t>
  </si>
  <si>
    <t>C59.1 (OT)</t>
  </si>
  <si>
    <t>C60 (OT)</t>
  </si>
  <si>
    <t>C61 (OT)</t>
  </si>
  <si>
    <t>C62 (OT)</t>
  </si>
  <si>
    <t>C63 (OT)</t>
  </si>
  <si>
    <t>C64 (OT)</t>
  </si>
  <si>
    <t>C65 (OT)</t>
  </si>
  <si>
    <t>C66 (OT)</t>
  </si>
  <si>
    <t>C67 (OT)</t>
  </si>
  <si>
    <t>C68 (OT)</t>
  </si>
  <si>
    <t>C69 (OT)</t>
  </si>
  <si>
    <t>C70 (OT)</t>
  </si>
  <si>
    <t>C71 (OT)</t>
  </si>
  <si>
    <t>C72 (OT)</t>
  </si>
  <si>
    <t>C73 (OT)</t>
  </si>
  <si>
    <t>C74 (OT)</t>
  </si>
  <si>
    <t>C75 (OT)</t>
  </si>
  <si>
    <t>C76 (OT)</t>
  </si>
  <si>
    <t>C77 (OT)</t>
  </si>
  <si>
    <t>C78 (OT)</t>
  </si>
  <si>
    <t>C79 (OT)</t>
  </si>
  <si>
    <t>C80 (OT)</t>
  </si>
  <si>
    <t>C81 (OT)</t>
  </si>
  <si>
    <t>C82 (OT)</t>
  </si>
  <si>
    <t>C83 (OT)</t>
  </si>
  <si>
    <t>C84 (OT)</t>
  </si>
  <si>
    <t>C85 (OT)</t>
  </si>
  <si>
    <t>C86 (OT)</t>
  </si>
  <si>
    <t>C87 (OT)</t>
  </si>
  <si>
    <t>C1 (NT)</t>
  </si>
  <si>
    <t>C2 (NT)</t>
  </si>
  <si>
    <t>C3 (NT)</t>
  </si>
  <si>
    <t>C4 (NT)</t>
  </si>
  <si>
    <t>C5 (NT)</t>
  </si>
  <si>
    <t>C6 (NT)</t>
  </si>
  <si>
    <t>C7 (NT)</t>
  </si>
  <si>
    <t>C7.1 (NT)</t>
  </si>
  <si>
    <t>C8 (NT)</t>
  </si>
  <si>
    <t>C9 (NT)</t>
  </si>
  <si>
    <t>C10 (NT)</t>
  </si>
  <si>
    <t>C11 (NT)</t>
  </si>
  <si>
    <t>C12 (NT)</t>
  </si>
  <si>
    <t>C13 (NT)</t>
  </si>
  <si>
    <t>C14 (NT)</t>
  </si>
  <si>
    <t>C15 (NT)</t>
  </si>
  <si>
    <t>C15.1.1 (NT)</t>
  </si>
  <si>
    <t>C15.1.2 (NT)</t>
  </si>
  <si>
    <t>C15.2.1 (NT)</t>
  </si>
  <si>
    <t>C15.2.2 (NT)</t>
  </si>
  <si>
    <t>B15.2.3 (NT)</t>
  </si>
  <si>
    <t>C15.3 (NT)</t>
  </si>
  <si>
    <t>C16 (NT)</t>
  </si>
  <si>
    <t>C17 (NT)</t>
  </si>
  <si>
    <t>C18 (NT)</t>
  </si>
  <si>
    <t>C19 (NT)</t>
  </si>
  <si>
    <t>C20 (NT)</t>
  </si>
  <si>
    <t>C21 (NT)</t>
  </si>
  <si>
    <t>C22 (NT)</t>
  </si>
  <si>
    <t>C23 (NT)</t>
  </si>
  <si>
    <t>C24 (NT)</t>
  </si>
  <si>
    <t>C25 (NT)</t>
  </si>
  <si>
    <t>C26 (NT)</t>
  </si>
  <si>
    <t>C27 (NT)</t>
  </si>
  <si>
    <t>C28 (NT)</t>
  </si>
  <si>
    <t>C29 (NT)</t>
  </si>
  <si>
    <t>C30 (NT)</t>
  </si>
  <si>
    <t>C31 (NT)</t>
  </si>
  <si>
    <t>C32 (NT)</t>
  </si>
  <si>
    <t>C33 (NT)</t>
  </si>
  <si>
    <t>C34 (NT)</t>
  </si>
  <si>
    <t>C35 (NT)</t>
  </si>
  <si>
    <t>C36 (NT)</t>
  </si>
  <si>
    <t>C37 (NT)</t>
  </si>
  <si>
    <t>C38 (NT)</t>
  </si>
  <si>
    <t>C39 (NT)</t>
  </si>
  <si>
    <t>C40 (NT)</t>
  </si>
  <si>
    <t>C41 (NT)</t>
  </si>
  <si>
    <t>C42 (NT)</t>
  </si>
  <si>
    <t>C43 (NT)</t>
  </si>
  <si>
    <t>C44 (NT)</t>
  </si>
  <si>
    <t>C45 (NT)</t>
  </si>
  <si>
    <t>C46 (NT)</t>
  </si>
  <si>
    <t>C47 (NT)</t>
  </si>
  <si>
    <t>C48 (NT)</t>
  </si>
  <si>
    <t>C49 (NT)</t>
  </si>
  <si>
    <t>C50 (NT)</t>
  </si>
  <si>
    <t>C51 (NT)</t>
  </si>
  <si>
    <t>C52 (NT)</t>
  </si>
  <si>
    <t>C53 (NT)</t>
  </si>
  <si>
    <t>C54 (NT)</t>
  </si>
  <si>
    <t>C55 (NT)</t>
  </si>
  <si>
    <t>C56 (NT)</t>
  </si>
  <si>
    <t>C57 (NT)</t>
  </si>
  <si>
    <t>C58 (NT)</t>
  </si>
  <si>
    <t>C59 (NT)</t>
  </si>
  <si>
    <t>C59.1 (NT)</t>
  </si>
  <si>
    <t>C60 (NT)</t>
  </si>
  <si>
    <t>C61 (NT)</t>
  </si>
  <si>
    <t>C62 (NT)</t>
  </si>
  <si>
    <t>C63 (NT)</t>
  </si>
  <si>
    <t>C65 (NT)</t>
  </si>
  <si>
    <t>C64 (NT)</t>
  </si>
  <si>
    <t>C66 (NT)</t>
  </si>
  <si>
    <t>C67 (NT)</t>
  </si>
  <si>
    <t>C68 (NT)</t>
  </si>
  <si>
    <t>C69 (NT)</t>
  </si>
  <si>
    <t>C70 (NT)</t>
  </si>
  <si>
    <t>C71 (NT)</t>
  </si>
  <si>
    <t>C72 (NT)</t>
  </si>
  <si>
    <t>C73 (NT)</t>
  </si>
  <si>
    <t>C74 (NT)</t>
  </si>
  <si>
    <t>C75 (NT)</t>
  </si>
  <si>
    <t>C76 (NT)</t>
  </si>
  <si>
    <t>C77 (NT)</t>
  </si>
  <si>
    <t>C78 (NT)</t>
  </si>
  <si>
    <t>C79 (NT)</t>
  </si>
  <si>
    <t>C80 (NT)</t>
  </si>
  <si>
    <t>C81 (NT)</t>
  </si>
  <si>
    <t>C82 (NT)</t>
  </si>
  <si>
    <t>C83 (NT)</t>
  </si>
  <si>
    <t>C84 (NT)</t>
  </si>
  <si>
    <t>C85 (NT)</t>
  </si>
  <si>
    <t>C86 (NT)</t>
  </si>
  <si>
    <t>included in A2.1 to 2.2.1</t>
  </si>
  <si>
    <t>Contractor liaison with external bodies, stakeholders and landowners: Waterways Ireland, Dublin City Council, Fingal County Council, Kildare County Council, Landwoners, other contractors etc.</t>
  </si>
  <si>
    <t>N</t>
  </si>
  <si>
    <t>Carry out Underground Utility Survey as per Appendix C of Specification at 20m intervals</t>
  </si>
  <si>
    <r>
      <t>Underground Utility Survey (</t>
    </r>
    <r>
      <rPr>
        <b/>
        <sz val="10"/>
        <color rgb="FFFF0000"/>
        <rFont val="Arial"/>
        <family val="2"/>
      </rPr>
      <t>Night Works On Track</t>
    </r>
    <r>
      <rPr>
        <sz val="10"/>
        <color rgb="FF000000"/>
        <rFont val="Arial"/>
        <family val="2"/>
      </rPr>
      <t>)</t>
    </r>
  </si>
  <si>
    <t xml:space="preserve">Backfill and reinstate inspection pit  with arisings/excavated materials and ballast in accordance with Iarnród Éireann Standards and as outlined in the Specification S1.11.6  with an RRV and RRV mounted tamping head.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</si>
</sst>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0;0;;@"/>
  </numFmts>
  <fonts count="26" x14ac:knownFonts="1">
    <font>
      <sz val="11"/>
      <color theme="1"/>
      <name val="Calibri"/>
      <family val="2"/>
      <scheme val="minor"/>
    </font>
    <font>
      <sz val="11"/>
      <color theme="1"/>
      <name val="Calibri"/>
      <family val="2"/>
      <scheme val="minor"/>
    </font>
    <font>
      <sz val="11"/>
      <color rgb="FF3F3F76"/>
      <name val="Calibri"/>
      <family val="2"/>
      <scheme val="minor"/>
    </font>
    <font>
      <b/>
      <sz val="9"/>
      <color rgb="FF000000"/>
      <name val="Arial"/>
      <family val="2"/>
    </font>
    <font>
      <b/>
      <sz val="10"/>
      <name val="Arial"/>
      <family val="2"/>
    </font>
    <font>
      <sz val="10"/>
      <name val="Times New Roman"/>
      <family val="1"/>
    </font>
    <font>
      <sz val="10"/>
      <name val="Arial"/>
      <family val="2"/>
    </font>
    <font>
      <sz val="11"/>
      <color rgb="FF3F3F76"/>
      <name val="Calibri"/>
      <family val="2"/>
    </font>
    <font>
      <b/>
      <sz val="10"/>
      <color rgb="FF000000"/>
      <name val="Arial"/>
      <family val="2"/>
    </font>
    <font>
      <sz val="10"/>
      <color rgb="FF000000"/>
      <name val="Arial"/>
      <family val="2"/>
    </font>
    <font>
      <b/>
      <u/>
      <sz val="10"/>
      <name val="Arial"/>
      <family val="2"/>
    </font>
    <font>
      <b/>
      <u/>
      <sz val="10"/>
      <color rgb="FF000000"/>
      <name val="Arial"/>
      <family val="2"/>
    </font>
    <font>
      <u/>
      <sz val="10"/>
      <name val="Arial"/>
      <family val="2"/>
    </font>
    <font>
      <b/>
      <sz val="11"/>
      <name val="Arial"/>
      <family val="2"/>
    </font>
    <font>
      <b/>
      <sz val="9"/>
      <name val="Arial"/>
      <family val="2"/>
    </font>
    <font>
      <sz val="10"/>
      <color rgb="FFA6A6A6"/>
      <name val="Arial"/>
      <family val="2"/>
    </font>
    <font>
      <b/>
      <sz val="10"/>
      <color rgb="FFFF0000"/>
      <name val="Arial"/>
      <family val="2"/>
    </font>
    <font>
      <u/>
      <sz val="10"/>
      <color rgb="FF000000"/>
      <name val="Arial"/>
      <family val="2"/>
    </font>
    <font>
      <sz val="10"/>
      <color rgb="FFFF0000"/>
      <name val="Arial"/>
      <family val="2"/>
    </font>
    <font>
      <sz val="10"/>
      <color theme="1"/>
      <name val="Arial"/>
      <family val="2"/>
    </font>
    <font>
      <sz val="11"/>
      <color rgb="FF000000"/>
      <name val="Calibri"/>
      <family val="2"/>
    </font>
    <font>
      <b/>
      <sz val="14"/>
      <color rgb="FFFF0000"/>
      <name val="Arial"/>
      <family val="2"/>
    </font>
    <font>
      <b/>
      <u/>
      <sz val="10"/>
      <color rgb="FFFF0000"/>
      <name val="Arial"/>
      <family val="2"/>
    </font>
    <font>
      <sz val="9"/>
      <color indexed="8"/>
      <name val="Arial"/>
      <family val="2"/>
    </font>
    <font>
      <sz val="9"/>
      <name val="Arial"/>
      <family val="2"/>
    </font>
    <font>
      <sz val="8"/>
      <name val="Calibri"/>
      <family val="2"/>
      <scheme val="minor"/>
    </font>
  </fonts>
  <fills count="4">
    <fill>
      <patternFill patternType="none"/>
    </fill>
    <fill>
      <patternFill patternType="gray125"/>
    </fill>
    <fill>
      <patternFill patternType="solid">
        <fgColor rgb="FFFFCC99"/>
      </patternFill>
    </fill>
    <fill>
      <patternFill patternType="solid">
        <fgColor rgb="FF00B0F0"/>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theme="0" tint="-0.24994659260841701"/>
      </top>
      <bottom style="thin">
        <color theme="0" tint="-0.24994659260841701"/>
      </bottom>
      <diagonal/>
    </border>
    <border>
      <left/>
      <right/>
      <top/>
      <bottom style="medium">
        <color indexed="64"/>
      </bottom>
      <diagonal/>
    </border>
  </borders>
  <cellStyleXfs count="4">
    <xf numFmtId="0" fontId="0" fillId="0" borderId="0"/>
    <xf numFmtId="44" fontId="1" fillId="0" borderId="0" applyFont="0" applyFill="0" applyBorder="0" applyAlignment="0" applyProtection="0"/>
    <xf numFmtId="0" fontId="2" fillId="2" borderId="1" applyNumberFormat="0" applyAlignment="0" applyProtection="0"/>
    <xf numFmtId="44" fontId="1" fillId="0" borderId="0" applyFont="0" applyFill="0" applyBorder="0" applyAlignment="0" applyProtection="0"/>
  </cellStyleXfs>
  <cellXfs count="171">
    <xf numFmtId="0" fontId="0" fillId="0" borderId="0" xfId="0"/>
    <xf numFmtId="0" fontId="3" fillId="0" borderId="2" xfId="0" applyFont="1" applyFill="1" applyBorder="1" applyAlignment="1">
      <alignment horizontal="center" vertical="center" wrapText="1"/>
    </xf>
    <xf numFmtId="0" fontId="3" fillId="0" borderId="2" xfId="0" applyFont="1" applyFill="1" applyBorder="1" applyAlignment="1" applyProtection="1">
      <alignment horizontal="center" vertical="center" wrapText="1"/>
      <protection locked="0"/>
    </xf>
    <xf numFmtId="4" fontId="3" fillId="0" borderId="2" xfId="0" applyNumberFormat="1" applyFont="1" applyFill="1" applyBorder="1" applyAlignment="1">
      <alignment horizontal="center" vertical="center" wrapText="1"/>
    </xf>
    <xf numFmtId="0" fontId="4" fillId="0" borderId="2" xfId="0" applyFont="1" applyFill="1" applyBorder="1" applyAlignment="1">
      <alignment vertical="center" wrapText="1"/>
    </xf>
    <xf numFmtId="0" fontId="5" fillId="0" borderId="3" xfId="0" applyFont="1" applyFill="1" applyBorder="1" applyAlignment="1">
      <alignment horizontal="center" vertical="top" wrapText="1"/>
    </xf>
    <xf numFmtId="0" fontId="5" fillId="0" borderId="3" xfId="0" applyFont="1" applyFill="1" applyBorder="1" applyAlignment="1" applyProtection="1">
      <alignment horizontal="center" vertical="top" wrapText="1"/>
      <protection locked="0"/>
    </xf>
    <xf numFmtId="4" fontId="6" fillId="0" borderId="3" xfId="0" applyNumberFormat="1" applyFont="1" applyFill="1" applyBorder="1" applyAlignment="1">
      <alignment horizontal="center" vertical="center" wrapText="1"/>
    </xf>
    <xf numFmtId="0" fontId="6" fillId="0" borderId="0" xfId="0" applyFont="1" applyFill="1" applyBorder="1"/>
    <xf numFmtId="0" fontId="6" fillId="0" borderId="2" xfId="0" applyFont="1" applyFill="1" applyBorder="1" applyAlignment="1">
      <alignment vertical="center" wrapText="1"/>
    </xf>
    <xf numFmtId="0" fontId="6" fillId="0" borderId="4" xfId="0" applyFont="1" applyFill="1" applyBorder="1" applyAlignment="1">
      <alignment vertical="center" wrapText="1"/>
    </xf>
    <xf numFmtId="0" fontId="6" fillId="0" borderId="2" xfId="0" applyFont="1" applyFill="1" applyBorder="1" applyAlignment="1">
      <alignment horizontal="center" vertical="center" wrapText="1"/>
    </xf>
    <xf numFmtId="0" fontId="6" fillId="0" borderId="2" xfId="0" applyFont="1" applyFill="1" applyBorder="1" applyAlignment="1" applyProtection="1">
      <alignment horizontal="center" vertical="center" wrapText="1"/>
      <protection locked="0"/>
    </xf>
    <xf numFmtId="0" fontId="8" fillId="0" borderId="4"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7" xfId="0" applyFont="1" applyFill="1" applyBorder="1" applyAlignment="1" applyProtection="1">
      <alignment horizontal="center" vertical="center" wrapText="1"/>
      <protection locked="0"/>
    </xf>
    <xf numFmtId="0" fontId="9" fillId="0" borderId="0" xfId="0" applyFont="1" applyFill="1" applyBorder="1"/>
    <xf numFmtId="0" fontId="9" fillId="0" borderId="2" xfId="0" applyFont="1" applyFill="1" applyBorder="1"/>
    <xf numFmtId="0" fontId="9" fillId="0" borderId="2" xfId="0" applyFont="1" applyFill="1" applyBorder="1" applyAlignment="1">
      <alignment horizontal="center"/>
    </xf>
    <xf numFmtId="0" fontId="9" fillId="0" borderId="2" xfId="0" applyFont="1" applyFill="1" applyBorder="1" applyAlignment="1" applyProtection="1">
      <alignment horizontal="center"/>
      <protection locked="0"/>
    </xf>
    <xf numFmtId="4" fontId="9" fillId="0" borderId="2" xfId="0" applyNumberFormat="1" applyFont="1" applyFill="1" applyBorder="1" applyAlignment="1">
      <alignment horizontal="center"/>
    </xf>
    <xf numFmtId="0" fontId="9" fillId="0" borderId="0" xfId="0" applyFont="1" applyFill="1" applyBorder="1" applyAlignment="1">
      <alignment horizontal="center"/>
    </xf>
    <xf numFmtId="0" fontId="9" fillId="0" borderId="0" xfId="0" applyFont="1" applyFill="1" applyBorder="1" applyAlignment="1" applyProtection="1">
      <alignment horizontal="center"/>
      <protection locked="0"/>
    </xf>
    <xf numFmtId="4" fontId="9" fillId="0" borderId="0" xfId="0" applyNumberFormat="1" applyFont="1" applyFill="1" applyBorder="1" applyAlignment="1">
      <alignment horizontal="center"/>
    </xf>
    <xf numFmtId="0" fontId="6" fillId="0" borderId="3"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8" fillId="0" borderId="2" xfId="0" applyFont="1" applyFill="1" applyBorder="1" applyAlignment="1">
      <alignment vertical="top" wrapText="1"/>
    </xf>
    <xf numFmtId="0" fontId="8" fillId="0" borderId="2" xfId="0" applyFont="1" applyFill="1" applyBorder="1" applyAlignment="1">
      <alignment horizontal="center" vertical="top" wrapText="1"/>
    </xf>
    <xf numFmtId="0" fontId="9" fillId="0" borderId="2" xfId="0" applyFont="1" applyFill="1" applyBorder="1" applyAlignment="1">
      <alignment horizontal="center" vertical="top" wrapText="1"/>
    </xf>
    <xf numFmtId="4" fontId="9" fillId="0" borderId="2" xfId="0" applyNumberFormat="1" applyFont="1" applyFill="1" applyBorder="1" applyAlignment="1">
      <alignment horizontal="center" vertical="top" wrapText="1"/>
    </xf>
    <xf numFmtId="0" fontId="9" fillId="0" borderId="0" xfId="0" applyFont="1" applyFill="1" applyBorder="1" applyAlignment="1">
      <alignment horizontal="center" vertical="top" wrapText="1"/>
    </xf>
    <xf numFmtId="0" fontId="6" fillId="0" borderId="0" xfId="0"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7" fillId="0" borderId="0" xfId="2" applyFont="1" applyFill="1" applyBorder="1" applyAlignment="1">
      <alignment horizontal="center" vertical="center" wrapText="1"/>
    </xf>
    <xf numFmtId="0" fontId="5" fillId="0" borderId="0" xfId="0" applyFont="1" applyFill="1" applyBorder="1" applyAlignment="1">
      <alignment horizontal="center" vertical="top" wrapText="1"/>
    </xf>
    <xf numFmtId="0" fontId="10" fillId="0" borderId="2" xfId="0" applyFont="1" applyFill="1" applyBorder="1" applyAlignment="1">
      <alignment vertical="center" wrapText="1"/>
    </xf>
    <xf numFmtId="4" fontId="6" fillId="0" borderId="2" xfId="0" applyNumberFormat="1" applyFont="1" applyFill="1" applyBorder="1" applyAlignment="1">
      <alignment horizontal="center" vertical="center" wrapText="1"/>
    </xf>
    <xf numFmtId="0" fontId="8" fillId="0" borderId="4" xfId="0" applyFont="1" applyFill="1" applyBorder="1" applyAlignment="1">
      <alignment vertical="center" wrapText="1"/>
    </xf>
    <xf numFmtId="0" fontId="8" fillId="0" borderId="6" xfId="0" applyFont="1" applyFill="1" applyBorder="1" applyAlignment="1">
      <alignment vertical="center" wrapText="1"/>
    </xf>
    <xf numFmtId="0" fontId="8" fillId="0" borderId="7" xfId="0" applyFont="1" applyFill="1" applyBorder="1" applyAlignment="1">
      <alignment vertical="center" wrapText="1"/>
    </xf>
    <xf numFmtId="0" fontId="9" fillId="0" borderId="3" xfId="0" applyFont="1" applyFill="1" applyBorder="1"/>
    <xf numFmtId="0" fontId="9" fillId="0" borderId="3" xfId="0" applyFont="1" applyFill="1" applyBorder="1" applyAlignment="1">
      <alignment horizontal="center"/>
    </xf>
    <xf numFmtId="4" fontId="9" fillId="0" borderId="3" xfId="0" applyNumberFormat="1" applyFont="1" applyFill="1" applyBorder="1" applyAlignment="1">
      <alignment horizontal="center"/>
    </xf>
    <xf numFmtId="0" fontId="9" fillId="0" borderId="0" xfId="0" applyFont="1" applyFill="1" applyBorder="1" applyAlignment="1">
      <alignment vertical="top" wrapText="1"/>
    </xf>
    <xf numFmtId="0" fontId="6" fillId="0" borderId="7" xfId="0" applyFont="1" applyFill="1" applyBorder="1" applyAlignment="1">
      <alignment horizontal="center" vertical="center" wrapText="1"/>
    </xf>
    <xf numFmtId="0" fontId="8" fillId="0" borderId="2" xfId="0" applyFont="1" applyFill="1" applyBorder="1" applyAlignment="1">
      <alignment vertical="center" wrapText="1"/>
    </xf>
    <xf numFmtId="0" fontId="11" fillId="0" borderId="2" xfId="0" applyFont="1" applyFill="1" applyBorder="1" applyAlignment="1">
      <alignment vertical="center" wrapText="1"/>
    </xf>
    <xf numFmtId="0" fontId="9" fillId="0" borderId="2" xfId="0" applyFont="1" applyFill="1" applyBorder="1" applyAlignment="1">
      <alignment vertical="center" wrapText="1"/>
    </xf>
    <xf numFmtId="4" fontId="9" fillId="0" borderId="2" xfId="0" applyNumberFormat="1" applyFont="1" applyFill="1" applyBorder="1" applyAlignment="1">
      <alignment vertical="center" wrapText="1"/>
    </xf>
    <xf numFmtId="0" fontId="9" fillId="0" borderId="0" xfId="0" applyFont="1" applyFill="1" applyBorder="1" applyAlignment="1">
      <alignment vertical="center" wrapText="1"/>
    </xf>
    <xf numFmtId="0" fontId="12" fillId="0" borderId="2" xfId="0" applyFont="1" applyFill="1" applyBorder="1" applyAlignment="1">
      <alignment vertical="center" wrapText="1"/>
    </xf>
    <xf numFmtId="0" fontId="9" fillId="0" borderId="0" xfId="0" applyFont="1" applyFill="1" applyBorder="1" applyAlignment="1">
      <alignment horizontal="right"/>
    </xf>
    <xf numFmtId="0" fontId="13" fillId="0" borderId="2" xfId="0" applyFont="1" applyFill="1" applyBorder="1" applyAlignment="1">
      <alignment vertical="center" wrapText="1"/>
    </xf>
    <xf numFmtId="0" fontId="4" fillId="0" borderId="2" xfId="0" applyFont="1" applyFill="1" applyBorder="1" applyAlignment="1">
      <alignment horizontal="center" vertical="center" wrapText="1"/>
    </xf>
    <xf numFmtId="0" fontId="6" fillId="0" borderId="3" xfId="0" applyFont="1" applyFill="1" applyBorder="1" applyAlignment="1">
      <alignment vertical="center" wrapText="1"/>
    </xf>
    <xf numFmtId="0" fontId="10" fillId="0" borderId="3" xfId="0" applyFont="1" applyFill="1" applyBorder="1" applyAlignment="1">
      <alignment vertical="center" wrapText="1"/>
    </xf>
    <xf numFmtId="0" fontId="6" fillId="0" borderId="3" xfId="0" applyFont="1" applyFill="1" applyBorder="1" applyAlignment="1" applyProtection="1">
      <alignment horizontal="center" vertical="center" wrapText="1"/>
      <protection locked="0"/>
    </xf>
    <xf numFmtId="0" fontId="6"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11" xfId="0" applyFont="1" applyFill="1" applyBorder="1" applyAlignment="1" applyProtection="1">
      <alignment horizontal="center" vertical="center" wrapText="1"/>
      <protection locked="0"/>
    </xf>
    <xf numFmtId="0" fontId="9" fillId="0" borderId="3" xfId="0" applyFont="1" applyFill="1" applyBorder="1" applyAlignment="1" applyProtection="1">
      <alignment horizontal="center"/>
      <protection locked="0"/>
    </xf>
    <xf numFmtId="0" fontId="4" fillId="0" borderId="2" xfId="0" applyFont="1" applyFill="1" applyBorder="1" applyAlignment="1" applyProtection="1">
      <alignment horizontal="center" vertical="center" wrapText="1"/>
      <protection locked="0"/>
    </xf>
    <xf numFmtId="4" fontId="4" fillId="0" borderId="2" xfId="0" applyNumberFormat="1" applyFont="1" applyFill="1" applyBorder="1" applyAlignment="1">
      <alignment vertical="center" wrapText="1"/>
    </xf>
    <xf numFmtId="0" fontId="4" fillId="0" borderId="0" xfId="0" applyFont="1" applyFill="1" applyBorder="1" applyAlignment="1">
      <alignment vertical="center" wrapText="1"/>
    </xf>
    <xf numFmtId="0" fontId="12" fillId="0" borderId="3" xfId="0" applyFont="1" applyFill="1" applyBorder="1" applyAlignment="1">
      <alignment vertical="center" wrapText="1"/>
    </xf>
    <xf numFmtId="0" fontId="6" fillId="0" borderId="0" xfId="0" applyFont="1" applyFill="1" applyBorder="1" applyAlignment="1">
      <alignment horizontal="right" vertical="center" wrapText="1"/>
    </xf>
    <xf numFmtId="0" fontId="6" fillId="0" borderId="2" xfId="0" applyFont="1" applyFill="1" applyBorder="1" applyAlignment="1" applyProtection="1">
      <alignment vertical="center" wrapText="1"/>
      <protection locked="0"/>
    </xf>
    <xf numFmtId="0" fontId="5" fillId="0" borderId="2" xfId="0" applyFont="1" applyFill="1" applyBorder="1" applyAlignment="1">
      <alignment horizontal="center" vertical="top" wrapText="1"/>
    </xf>
    <xf numFmtId="4" fontId="6" fillId="0" borderId="2" xfId="0" applyNumberFormat="1" applyFont="1" applyFill="1" applyBorder="1" applyAlignment="1">
      <alignment vertical="center" wrapText="1"/>
    </xf>
    <xf numFmtId="0" fontId="12" fillId="0" borderId="2" xfId="0" applyFont="1" applyFill="1" applyBorder="1" applyAlignment="1">
      <alignment vertical="center"/>
    </xf>
    <xf numFmtId="164" fontId="9" fillId="0" borderId="0" xfId="1" applyNumberFormat="1" applyFont="1" applyFill="1" applyBorder="1" applyAlignment="1">
      <alignment horizontal="center"/>
    </xf>
    <xf numFmtId="4" fontId="6" fillId="0" borderId="0" xfId="0" applyNumberFormat="1" applyFont="1" applyFill="1" applyBorder="1" applyAlignment="1">
      <alignment horizontal="center" vertical="center" wrapText="1"/>
    </xf>
    <xf numFmtId="0" fontId="4" fillId="0" borderId="3" xfId="0" applyFont="1" applyFill="1" applyBorder="1" applyAlignment="1">
      <alignment vertical="center" wrapText="1"/>
    </xf>
    <xf numFmtId="0" fontId="4" fillId="0" borderId="3" xfId="0" applyFont="1" applyFill="1" applyBorder="1" applyAlignment="1">
      <alignment horizontal="center" vertical="center" wrapText="1"/>
    </xf>
    <xf numFmtId="0" fontId="9" fillId="0" borderId="0" xfId="0" applyFont="1" applyFill="1" applyBorder="1" applyAlignment="1">
      <alignment horizontal="center" vertical="center" wrapText="1"/>
    </xf>
    <xf numFmtId="4" fontId="14" fillId="0" borderId="2" xfId="0" applyNumberFormat="1" applyFont="1" applyFill="1" applyBorder="1" applyAlignment="1">
      <alignment horizontal="center" vertical="center" wrapText="1"/>
    </xf>
    <xf numFmtId="4" fontId="3" fillId="0" borderId="0" xfId="0" applyNumberFormat="1" applyFont="1" applyFill="1" applyBorder="1" applyAlignment="1">
      <alignment horizontal="center" vertical="center" wrapText="1"/>
    </xf>
    <xf numFmtId="4" fontId="6" fillId="0" borderId="3" xfId="0" applyNumberFormat="1" applyFont="1" applyFill="1" applyBorder="1" applyAlignment="1">
      <alignment horizontal="center"/>
    </xf>
    <xf numFmtId="0" fontId="8" fillId="0" borderId="2" xfId="0" applyFont="1" applyFill="1" applyBorder="1" applyAlignment="1">
      <alignment horizontal="center" vertical="center" wrapText="1"/>
    </xf>
    <xf numFmtId="4" fontId="4" fillId="0" borderId="2"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wrapText="1"/>
    </xf>
    <xf numFmtId="0" fontId="15" fillId="0" borderId="2" xfId="0" applyFont="1" applyFill="1" applyBorder="1" applyAlignment="1">
      <alignment vertical="center" wrapText="1"/>
    </xf>
    <xf numFmtId="0" fontId="15"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4" fontId="9" fillId="0" borderId="0" xfId="0" applyNumberFormat="1" applyFont="1" applyFill="1" applyBorder="1" applyAlignment="1">
      <alignment horizontal="center" vertical="center" wrapText="1"/>
    </xf>
    <xf numFmtId="4" fontId="6" fillId="0" borderId="0" xfId="0" applyNumberFormat="1" applyFont="1" applyFill="1" applyBorder="1" applyAlignment="1">
      <alignment horizontal="center"/>
    </xf>
    <xf numFmtId="4" fontId="8" fillId="0" borderId="2" xfId="0" applyNumberFormat="1" applyFont="1" applyFill="1" applyBorder="1" applyAlignment="1">
      <alignment horizontal="center" vertical="center" wrapText="1"/>
    </xf>
    <xf numFmtId="4" fontId="9" fillId="0" borderId="3" xfId="0" applyNumberFormat="1" applyFont="1" applyFill="1" applyBorder="1" applyAlignment="1">
      <alignment horizontal="center" vertical="center" wrapText="1"/>
    </xf>
    <xf numFmtId="4" fontId="9" fillId="0" borderId="2" xfId="0" applyNumberFormat="1" applyFont="1" applyFill="1" applyBorder="1" applyAlignment="1">
      <alignment horizontal="center" vertical="center" wrapText="1"/>
    </xf>
    <xf numFmtId="0" fontId="14" fillId="0" borderId="2" xfId="0" applyFont="1" applyFill="1" applyBorder="1" applyAlignment="1" applyProtection="1">
      <alignment horizontal="center" vertical="center" wrapText="1"/>
      <protection locked="0"/>
    </xf>
    <xf numFmtId="0" fontId="6" fillId="0" borderId="3" xfId="0" applyFont="1" applyFill="1" applyBorder="1" applyAlignment="1" applyProtection="1">
      <alignment horizontal="center"/>
      <protection locked="0"/>
    </xf>
    <xf numFmtId="0" fontId="16" fillId="0" borderId="2" xfId="0" applyFont="1" applyFill="1" applyBorder="1" applyAlignment="1" applyProtection="1">
      <alignment horizontal="center" vertical="center" wrapText="1"/>
      <protection locked="0"/>
    </xf>
    <xf numFmtId="0" fontId="17" fillId="0" borderId="2" xfId="0" applyFont="1" applyFill="1" applyBorder="1" applyAlignment="1">
      <alignment vertical="center" wrapText="1"/>
    </xf>
    <xf numFmtId="0" fontId="18" fillId="0" borderId="2" xfId="0" applyFont="1" applyFill="1" applyBorder="1" applyAlignment="1" applyProtection="1">
      <alignment horizontal="center" vertical="center" wrapText="1"/>
      <protection locked="0"/>
    </xf>
    <xf numFmtId="0" fontId="18" fillId="0" borderId="0" xfId="0" applyFont="1" applyFill="1" applyBorder="1" applyAlignment="1" applyProtection="1">
      <alignment horizontal="center"/>
      <protection locked="0"/>
    </xf>
    <xf numFmtId="0" fontId="9" fillId="0" borderId="2" xfId="0" applyFont="1" applyFill="1" applyBorder="1" applyAlignment="1" applyProtection="1">
      <alignment horizontal="center" vertical="center" wrapText="1"/>
      <protection locked="0"/>
    </xf>
    <xf numFmtId="0" fontId="8" fillId="0" borderId="2" xfId="0" applyFont="1" applyFill="1" applyBorder="1" applyAlignment="1" applyProtection="1">
      <alignment horizontal="center" vertical="center" wrapText="1"/>
      <protection locked="0"/>
    </xf>
    <xf numFmtId="0" fontId="11" fillId="0" borderId="10" xfId="0" applyFont="1" applyFill="1" applyBorder="1" applyAlignment="1"/>
    <xf numFmtId="0" fontId="8" fillId="0" borderId="2" xfId="0" applyFont="1" applyFill="1" applyBorder="1" applyAlignment="1"/>
    <xf numFmtId="164" fontId="9" fillId="0" borderId="0" xfId="1" applyNumberFormat="1" applyFont="1" applyFill="1" applyBorder="1"/>
    <xf numFmtId="2" fontId="6" fillId="0" borderId="2" xfId="0" applyNumberFormat="1" applyFont="1" applyFill="1" applyBorder="1" applyAlignment="1">
      <alignment horizontal="center" vertical="center" wrapText="1"/>
    </xf>
    <xf numFmtId="0" fontId="11" fillId="0" borderId="2" xfId="0" applyFont="1" applyFill="1" applyBorder="1"/>
    <xf numFmtId="0" fontId="19" fillId="0" borderId="2" xfId="0" applyFont="1" applyFill="1" applyBorder="1"/>
    <xf numFmtId="0" fontId="19" fillId="0" borderId="2" xfId="0" applyFont="1" applyFill="1" applyBorder="1" applyAlignment="1">
      <alignment horizontal="center"/>
    </xf>
    <xf numFmtId="0" fontId="19" fillId="0" borderId="0" xfId="0" applyFont="1" applyFill="1" applyBorder="1"/>
    <xf numFmtId="0" fontId="19" fillId="0" borderId="3" xfId="0" applyFont="1" applyFill="1" applyBorder="1"/>
    <xf numFmtId="0" fontId="19" fillId="0" borderId="3" xfId="0" applyFont="1" applyFill="1" applyBorder="1" applyAlignment="1">
      <alignment horizontal="center"/>
    </xf>
    <xf numFmtId="164" fontId="19" fillId="0" borderId="0" xfId="1" applyNumberFormat="1" applyFont="1" applyFill="1" applyBorder="1"/>
    <xf numFmtId="0" fontId="8" fillId="0" borderId="2" xfId="0" applyFont="1" applyFill="1" applyBorder="1" applyAlignment="1">
      <alignment vertical="center"/>
    </xf>
    <xf numFmtId="0" fontId="8" fillId="0" borderId="0" xfId="0" applyFont="1" applyFill="1" applyBorder="1" applyAlignment="1">
      <alignment horizontal="center" vertical="center" wrapText="1"/>
    </xf>
    <xf numFmtId="0" fontId="20" fillId="0" borderId="0" xfId="0" applyFont="1" applyFill="1" applyBorder="1" applyAlignment="1">
      <alignment horizontal="center" vertical="center"/>
    </xf>
    <xf numFmtId="0" fontId="19" fillId="0" borderId="0" xfId="0" applyFont="1" applyFill="1" applyBorder="1" applyAlignment="1">
      <alignment horizontal="center"/>
    </xf>
    <xf numFmtId="165" fontId="6" fillId="0" borderId="3" xfId="0" applyNumberFormat="1" applyFont="1" applyFill="1" applyBorder="1" applyAlignment="1">
      <alignment horizontal="center" vertical="center" wrapText="1"/>
    </xf>
    <xf numFmtId="1" fontId="6" fillId="0" borderId="2" xfId="0" applyNumberFormat="1" applyFont="1" applyFill="1" applyBorder="1" applyAlignment="1">
      <alignment horizontal="center" vertical="center" wrapText="1"/>
    </xf>
    <xf numFmtId="0" fontId="8" fillId="0" borderId="10" xfId="0" applyFont="1" applyFill="1" applyBorder="1" applyAlignment="1" applyProtection="1">
      <alignment horizontal="center" vertical="center" wrapText="1"/>
      <protection locked="0"/>
    </xf>
    <xf numFmtId="165" fontId="6" fillId="0" borderId="2" xfId="0" applyNumberFormat="1" applyFont="1" applyFill="1" applyBorder="1" applyAlignment="1">
      <alignment horizontal="center" vertical="center" wrapText="1"/>
    </xf>
    <xf numFmtId="1" fontId="6" fillId="0" borderId="2" xfId="0" applyNumberFormat="1" applyFont="1" applyFill="1" applyBorder="1" applyAlignment="1">
      <alignment vertical="center" wrapText="1"/>
    </xf>
    <xf numFmtId="0" fontId="6" fillId="0" borderId="2" xfId="0" applyFont="1" applyBorder="1" applyAlignment="1">
      <alignment vertical="center" wrapText="1"/>
    </xf>
    <xf numFmtId="0" fontId="6" fillId="0" borderId="10" xfId="0" applyFont="1" applyFill="1" applyBorder="1" applyAlignment="1">
      <alignment horizontal="center" vertical="center" wrapText="1"/>
    </xf>
    <xf numFmtId="0" fontId="6" fillId="0" borderId="0" xfId="0" applyFont="1" applyAlignment="1">
      <alignment vertical="center" wrapText="1"/>
    </xf>
    <xf numFmtId="0" fontId="6" fillId="0" borderId="4" xfId="0" applyFont="1" applyBorder="1" applyAlignment="1">
      <alignment vertical="center" wrapText="1"/>
    </xf>
    <xf numFmtId="0" fontId="6" fillId="0" borderId="2" xfId="0" applyFont="1" applyBorder="1" applyAlignment="1">
      <alignment horizontal="center" vertical="center" wrapText="1"/>
    </xf>
    <xf numFmtId="4" fontId="6" fillId="0" borderId="3" xfId="0" applyNumberFormat="1" applyFont="1" applyBorder="1" applyAlignment="1">
      <alignment horizontal="center" vertical="center" wrapText="1"/>
    </xf>
    <xf numFmtId="0" fontId="6" fillId="0" borderId="2" xfId="0" applyFont="1" applyFill="1" applyBorder="1" applyAlignment="1">
      <alignment vertical="center" wrapText="1"/>
    </xf>
    <xf numFmtId="0" fontId="6" fillId="0" borderId="2" xfId="0" applyFont="1" applyFill="1" applyBorder="1" applyAlignment="1">
      <alignment horizontal="center" vertical="center" wrapText="1"/>
    </xf>
    <xf numFmtId="0" fontId="3" fillId="0" borderId="2" xfId="0" applyFont="1" applyBorder="1" applyAlignment="1">
      <alignment horizontal="center" vertical="center" wrapText="1"/>
    </xf>
    <xf numFmtId="4" fontId="3" fillId="0" borderId="2" xfId="0" applyNumberFormat="1" applyFont="1" applyBorder="1" applyAlignment="1">
      <alignment horizontal="center" vertical="center" wrapText="1"/>
    </xf>
    <xf numFmtId="0" fontId="9" fillId="0" borderId="3" xfId="0" applyFont="1" applyBorder="1"/>
    <xf numFmtId="0" fontId="9" fillId="0" borderId="3" xfId="0" applyFont="1" applyBorder="1" applyAlignment="1">
      <alignment horizontal="center"/>
    </xf>
    <xf numFmtId="4" fontId="9" fillId="0" borderId="3" xfId="0" applyNumberFormat="1" applyFont="1" applyBorder="1" applyAlignment="1">
      <alignment horizontal="center"/>
    </xf>
    <xf numFmtId="0" fontId="9" fillId="0" borderId="2" xfId="0" applyFont="1" applyBorder="1" applyAlignment="1">
      <alignment horizontal="center" vertical="center" wrapText="1"/>
    </xf>
    <xf numFmtId="4" fontId="8" fillId="0" borderId="2" xfId="0" applyNumberFormat="1" applyFont="1" applyBorder="1" applyAlignment="1">
      <alignment horizontal="center" vertical="center" wrapText="1"/>
    </xf>
    <xf numFmtId="0" fontId="19" fillId="0" borderId="2" xfId="0" applyFont="1" applyFill="1" applyBorder="1" applyAlignment="1">
      <alignment horizontal="center" vertical="center" wrapText="1"/>
    </xf>
    <xf numFmtId="1" fontId="19" fillId="0" borderId="2" xfId="0" applyNumberFormat="1"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0" xfId="0" applyFont="1" applyFill="1" applyBorder="1" applyAlignment="1">
      <alignment vertical="center" wrapText="1"/>
    </xf>
    <xf numFmtId="0" fontId="6" fillId="0" borderId="2" xfId="0" applyFont="1" applyFill="1" applyBorder="1"/>
    <xf numFmtId="0" fontId="0" fillId="0" borderId="2" xfId="0" applyFill="1" applyBorder="1" applyAlignment="1">
      <alignment horizontal="center" vertical="center" wrapText="1"/>
    </xf>
    <xf numFmtId="0" fontId="19" fillId="0" borderId="10" xfId="0" applyFont="1" applyFill="1" applyBorder="1" applyAlignment="1">
      <alignment horizontal="center" vertical="center" wrapText="1"/>
    </xf>
    <xf numFmtId="0" fontId="21" fillId="0" borderId="3" xfId="0" applyFont="1" applyFill="1" applyBorder="1"/>
    <xf numFmtId="0" fontId="0" fillId="0" borderId="2" xfId="0" applyBorder="1"/>
    <xf numFmtId="0" fontId="23" fillId="0" borderId="12" xfId="0" applyFont="1" applyFill="1" applyBorder="1" applyAlignment="1">
      <alignment vertical="center"/>
    </xf>
    <xf numFmtId="0" fontId="23" fillId="3" borderId="0" xfId="0" applyFont="1" applyFill="1" applyBorder="1" applyAlignment="1">
      <alignment vertical="center"/>
    </xf>
    <xf numFmtId="0" fontId="7" fillId="3" borderId="0" xfId="2" applyFont="1" applyFill="1" applyBorder="1" applyAlignment="1">
      <alignment horizontal="center" vertical="center" wrapText="1"/>
    </xf>
    <xf numFmtId="0" fontId="6" fillId="3" borderId="0" xfId="0" applyFont="1" applyFill="1" applyBorder="1"/>
    <xf numFmtId="0" fontId="0" fillId="0" borderId="0" xfId="0" applyFill="1"/>
    <xf numFmtId="0" fontId="8" fillId="0" borderId="13" xfId="0" applyFont="1" applyFill="1" applyBorder="1" applyAlignment="1">
      <alignment horizontal="right"/>
    </xf>
    <xf numFmtId="165" fontId="6" fillId="0" borderId="5" xfId="0" applyNumberFormat="1" applyFont="1" applyFill="1" applyBorder="1" applyAlignment="1">
      <alignment horizontal="center" vertical="center" wrapText="1"/>
    </xf>
    <xf numFmtId="0" fontId="23" fillId="0" borderId="2"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2" xfId="0" applyFont="1" applyFill="1" applyBorder="1" applyAlignment="1">
      <alignment horizontal="center" vertical="center"/>
    </xf>
    <xf numFmtId="0" fontId="6" fillId="0" borderId="10" xfId="0" applyFont="1" applyBorder="1" applyAlignment="1">
      <alignment horizontal="center" vertical="center" wrapText="1"/>
    </xf>
    <xf numFmtId="0" fontId="24" fillId="0" borderId="0" xfId="0" applyFont="1" applyFill="1" applyBorder="1" applyAlignment="1">
      <alignment vertical="center"/>
    </xf>
    <xf numFmtId="0" fontId="23" fillId="0" borderId="0" xfId="0" applyFont="1" applyFill="1" applyBorder="1" applyAlignment="1">
      <alignment vertical="center"/>
    </xf>
    <xf numFmtId="0" fontId="9" fillId="0" borderId="5" xfId="0" applyFont="1" applyFill="1" applyBorder="1"/>
    <xf numFmtId="0" fontId="9" fillId="0" borderId="2" xfId="0" applyFont="1" applyFill="1" applyBorder="1" applyAlignment="1">
      <alignment horizontal="right"/>
    </xf>
    <xf numFmtId="0" fontId="8" fillId="0" borderId="7" xfId="0" applyFont="1" applyFill="1" applyBorder="1" applyAlignment="1">
      <alignment horizontal="right"/>
    </xf>
    <xf numFmtId="0" fontId="8" fillId="0" borderId="4" xfId="0" applyFont="1" applyFill="1" applyBorder="1" applyAlignment="1">
      <alignment horizontal="right"/>
    </xf>
    <xf numFmtId="0" fontId="8" fillId="0" borderId="6" xfId="0" applyFont="1" applyFill="1" applyBorder="1" applyAlignment="1">
      <alignment horizontal="right"/>
    </xf>
    <xf numFmtId="0" fontId="8" fillId="0" borderId="7" xfId="0" applyFont="1" applyFill="1" applyBorder="1" applyAlignment="1" applyProtection="1">
      <alignment horizontal="right"/>
      <protection locked="0"/>
    </xf>
    <xf numFmtId="0" fontId="6" fillId="0" borderId="0" xfId="0" applyFont="1" applyFill="1" applyBorder="1" applyAlignment="1">
      <alignment horizontal="center" vertical="center" wrapText="1"/>
    </xf>
    <xf numFmtId="0" fontId="9" fillId="0" borderId="2" xfId="0" applyFont="1" applyBorder="1" applyAlignment="1">
      <alignment vertical="center" wrapText="1"/>
    </xf>
    <xf numFmtId="0" fontId="0" fillId="0" borderId="2" xfId="0" applyBorder="1" applyAlignment="1">
      <alignment wrapText="1"/>
    </xf>
    <xf numFmtId="0" fontId="6" fillId="0" borderId="8" xfId="0"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8"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6" xfId="0" applyFont="1" applyFill="1" applyBorder="1" applyAlignment="1">
      <alignment horizontal="center" vertical="center"/>
    </xf>
    <xf numFmtId="0" fontId="20" fillId="0" borderId="7" xfId="0" applyFont="1" applyFill="1" applyBorder="1" applyAlignment="1">
      <alignment horizontal="center" vertical="center"/>
    </xf>
  </cellXfs>
  <cellStyles count="4">
    <cellStyle name="Currency" xfId="1" builtinId="4"/>
    <cellStyle name="Currency 2" xfId="3" xr:uid="{0CE27DB3-506B-4774-9E6D-0AFD415535A0}"/>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3885-C9AE-42F0-9F49-7C0C8BE461D1}">
  <dimension ref="A2:Y81"/>
  <sheetViews>
    <sheetView tabSelected="1" view="pageLayout" zoomScaleNormal="100" zoomScaleSheetLayoutView="100" workbookViewId="0">
      <selection activeCell="D6" sqref="D6"/>
    </sheetView>
  </sheetViews>
  <sheetFormatPr defaultRowHeight="15" x14ac:dyDescent="0.25"/>
  <cols>
    <col min="1" max="1" width="9.140625" style="16"/>
    <col min="2" max="2" width="35.5703125" style="16" customWidth="1"/>
    <col min="3" max="3" width="10.5703125" style="21" customWidth="1"/>
    <col min="4" max="4" width="11.42578125" style="21" customWidth="1"/>
    <col min="5" max="5" width="11.42578125" style="22" customWidth="1"/>
    <col min="6" max="6" width="11.42578125" style="23" customWidth="1"/>
    <col min="7" max="8" width="9.140625" style="16"/>
    <col min="10" max="25" width="8.85546875" style="146"/>
  </cols>
  <sheetData>
    <row r="2" spans="1:8" s="16" customFormat="1" ht="12.75" x14ac:dyDescent="0.2">
      <c r="A2" s="1" t="s">
        <v>0</v>
      </c>
      <c r="B2" s="1" t="s">
        <v>1</v>
      </c>
      <c r="C2" s="1" t="s">
        <v>2</v>
      </c>
      <c r="D2" s="1" t="s">
        <v>3</v>
      </c>
      <c r="E2" s="2" t="s">
        <v>4</v>
      </c>
      <c r="F2" s="3" t="s">
        <v>5</v>
      </c>
    </row>
    <row r="3" spans="1:8" s="16" customFormat="1" ht="12.75" x14ac:dyDescent="0.2">
      <c r="A3" s="17"/>
      <c r="B3" s="17"/>
      <c r="C3" s="18"/>
      <c r="D3" s="18"/>
      <c r="E3" s="19" t="s">
        <v>6</v>
      </c>
      <c r="F3" s="20" t="s">
        <v>6</v>
      </c>
    </row>
    <row r="4" spans="1:8" s="8" customFormat="1" ht="25.5" x14ac:dyDescent="0.2">
      <c r="A4" s="4" t="s">
        <v>7</v>
      </c>
      <c r="B4" s="4" t="s">
        <v>8</v>
      </c>
      <c r="C4" s="5"/>
      <c r="D4" s="5"/>
      <c r="E4" s="6"/>
      <c r="F4" s="7"/>
    </row>
    <row r="5" spans="1:8" s="8" customFormat="1" ht="12.75" x14ac:dyDescent="0.2">
      <c r="A5" s="9" t="s">
        <v>9</v>
      </c>
      <c r="B5" s="10" t="s">
        <v>10</v>
      </c>
      <c r="C5" s="125" t="s">
        <v>11</v>
      </c>
      <c r="D5" s="125">
        <v>1</v>
      </c>
      <c r="E5" s="6"/>
      <c r="F5" s="113"/>
    </row>
    <row r="6" spans="1:8" s="8" customFormat="1" ht="38.25" x14ac:dyDescent="0.2">
      <c r="A6" s="9" t="s">
        <v>12</v>
      </c>
      <c r="B6" s="10" t="s">
        <v>13</v>
      </c>
      <c r="C6" s="125" t="s">
        <v>1214</v>
      </c>
      <c r="D6" s="125" t="s">
        <v>1214</v>
      </c>
      <c r="E6" s="11" t="str">
        <f t="shared" ref="E6:E75" si="0">IF(ISNUMBER(D6),"","N/A")</f>
        <v>N/A</v>
      </c>
      <c r="F6" s="113"/>
    </row>
    <row r="7" spans="1:8" s="8" customFormat="1" ht="51" x14ac:dyDescent="0.2">
      <c r="A7" s="9" t="s">
        <v>14</v>
      </c>
      <c r="B7" s="10" t="s">
        <v>1075</v>
      </c>
      <c r="C7" s="125" t="s">
        <v>11</v>
      </c>
      <c r="D7" s="125">
        <v>1</v>
      </c>
      <c r="E7" s="11" t="str">
        <f t="shared" si="0"/>
        <v/>
      </c>
      <c r="F7" s="113"/>
    </row>
    <row r="8" spans="1:8" s="8" customFormat="1" ht="51" x14ac:dyDescent="0.2">
      <c r="A8" s="124" t="s">
        <v>1074</v>
      </c>
      <c r="B8" s="10" t="s">
        <v>1076</v>
      </c>
      <c r="C8" s="125" t="s">
        <v>11</v>
      </c>
      <c r="D8" s="125">
        <v>1</v>
      </c>
      <c r="E8" s="125" t="str">
        <f>IF(ISNUMBER(D8),"","N/A")</f>
        <v/>
      </c>
      <c r="F8" s="113"/>
    </row>
    <row r="9" spans="1:8" s="8" customFormat="1" ht="51" x14ac:dyDescent="0.2">
      <c r="A9" s="124" t="s">
        <v>1061</v>
      </c>
      <c r="B9" s="10" t="s">
        <v>1144</v>
      </c>
      <c r="C9" s="125" t="s">
        <v>11</v>
      </c>
      <c r="D9" s="125">
        <v>1</v>
      </c>
      <c r="E9" s="125" t="str">
        <f>IF(ISNUMBER(D9),"","N/A")</f>
        <v/>
      </c>
      <c r="F9" s="113"/>
      <c r="H9" s="154"/>
    </row>
    <row r="10" spans="1:8" s="8" customFormat="1" ht="38.25" x14ac:dyDescent="0.2">
      <c r="A10" s="9" t="s">
        <v>15</v>
      </c>
      <c r="B10" s="10" t="s">
        <v>1145</v>
      </c>
      <c r="C10" s="125" t="s">
        <v>11</v>
      </c>
      <c r="D10" s="125">
        <v>1</v>
      </c>
      <c r="E10" s="11" t="str">
        <f t="shared" si="0"/>
        <v/>
      </c>
      <c r="F10" s="113"/>
    </row>
    <row r="11" spans="1:8" s="8" customFormat="1" ht="38.25" x14ac:dyDescent="0.2">
      <c r="A11" s="124" t="s">
        <v>1146</v>
      </c>
      <c r="B11" s="10" t="s">
        <v>1147</v>
      </c>
      <c r="C11" s="125" t="s">
        <v>11</v>
      </c>
      <c r="D11" s="125">
        <v>1</v>
      </c>
      <c r="E11" s="125" t="str">
        <f>IF(ISNUMBER(D11),"","N/A")</f>
        <v/>
      </c>
      <c r="F11" s="113"/>
    </row>
    <row r="12" spans="1:8" s="8" customFormat="1" ht="38.25" x14ac:dyDescent="0.2">
      <c r="A12" s="124" t="s">
        <v>1062</v>
      </c>
      <c r="B12" s="10" t="s">
        <v>1148</v>
      </c>
      <c r="C12" s="125" t="s">
        <v>11</v>
      </c>
      <c r="D12" s="125">
        <v>1</v>
      </c>
      <c r="E12" s="125" t="str">
        <f>IF(ISNUMBER(D12),"","N/A")</f>
        <v/>
      </c>
      <c r="F12" s="113"/>
    </row>
    <row r="13" spans="1:8" s="8" customFormat="1" ht="38.25" x14ac:dyDescent="0.2">
      <c r="A13" s="9" t="s">
        <v>16</v>
      </c>
      <c r="B13" s="10" t="s">
        <v>1063</v>
      </c>
      <c r="C13" s="125" t="s">
        <v>11</v>
      </c>
      <c r="D13" s="125" t="s">
        <v>1047</v>
      </c>
      <c r="E13" s="11" t="str">
        <f t="shared" si="0"/>
        <v>N/A</v>
      </c>
      <c r="F13" s="123"/>
    </row>
    <row r="14" spans="1:8" s="8" customFormat="1" ht="51" x14ac:dyDescent="0.2">
      <c r="A14" s="9" t="s">
        <v>17</v>
      </c>
      <c r="B14" s="10" t="s">
        <v>1149</v>
      </c>
      <c r="C14" s="125" t="s">
        <v>11</v>
      </c>
      <c r="D14" s="125">
        <v>1</v>
      </c>
      <c r="E14" s="11" t="str">
        <f t="shared" si="0"/>
        <v/>
      </c>
      <c r="F14" s="113"/>
    </row>
    <row r="15" spans="1:8" s="8" customFormat="1" ht="51" x14ac:dyDescent="0.2">
      <c r="A15" s="9" t="s">
        <v>18</v>
      </c>
      <c r="B15" s="10" t="s">
        <v>1155</v>
      </c>
      <c r="C15" s="125" t="s">
        <v>11</v>
      </c>
      <c r="D15" s="125">
        <v>1</v>
      </c>
      <c r="E15" s="11" t="str">
        <f t="shared" si="0"/>
        <v/>
      </c>
      <c r="F15" s="113"/>
    </row>
    <row r="16" spans="1:8" s="8" customFormat="1" ht="53.85" customHeight="1" x14ac:dyDescent="0.2">
      <c r="A16" s="124" t="s">
        <v>1150</v>
      </c>
      <c r="B16" s="10" t="s">
        <v>1154</v>
      </c>
      <c r="C16" s="125" t="s">
        <v>11</v>
      </c>
      <c r="D16" s="125">
        <v>1</v>
      </c>
      <c r="E16" s="125" t="str">
        <f>IF(ISNUMBER(D16),"","N/A")</f>
        <v/>
      </c>
      <c r="F16" s="113"/>
    </row>
    <row r="17" spans="1:8" s="8" customFormat="1" ht="38.25" x14ac:dyDescent="0.2">
      <c r="A17" s="9" t="s">
        <v>19</v>
      </c>
      <c r="B17" s="10" t="s">
        <v>20</v>
      </c>
      <c r="C17" s="125" t="s">
        <v>11</v>
      </c>
      <c r="D17" s="125" t="s">
        <v>1047</v>
      </c>
      <c r="E17" s="11" t="str">
        <f t="shared" si="0"/>
        <v>N/A</v>
      </c>
      <c r="F17" s="123"/>
    </row>
    <row r="18" spans="1:8" s="8" customFormat="1" ht="38.25" x14ac:dyDescent="0.2">
      <c r="A18" s="9" t="s">
        <v>21</v>
      </c>
      <c r="B18" s="10" t="s">
        <v>1153</v>
      </c>
      <c r="C18" s="125" t="s">
        <v>11</v>
      </c>
      <c r="D18" s="125">
        <v>1</v>
      </c>
      <c r="E18" s="11" t="str">
        <f t="shared" si="0"/>
        <v/>
      </c>
      <c r="F18" s="113"/>
    </row>
    <row r="19" spans="1:8" s="8" customFormat="1" ht="51" x14ac:dyDescent="0.2">
      <c r="A19" s="124" t="s">
        <v>1152</v>
      </c>
      <c r="B19" s="10" t="s">
        <v>1151</v>
      </c>
      <c r="C19" s="125" t="s">
        <v>11</v>
      </c>
      <c r="D19" s="125">
        <v>1</v>
      </c>
      <c r="E19" s="125" t="str">
        <f>IF(ISNUMBER(D19),"","N/A")</f>
        <v/>
      </c>
      <c r="F19" s="113"/>
    </row>
    <row r="20" spans="1:8" s="8" customFormat="1" ht="38.25" x14ac:dyDescent="0.2">
      <c r="A20" s="9" t="s">
        <v>22</v>
      </c>
      <c r="B20" s="10" t="s">
        <v>1156</v>
      </c>
      <c r="C20" s="125" t="s">
        <v>11</v>
      </c>
      <c r="D20" s="125">
        <v>1</v>
      </c>
      <c r="E20" s="11" t="str">
        <f t="shared" si="0"/>
        <v/>
      </c>
      <c r="F20" s="113"/>
    </row>
    <row r="21" spans="1:8" s="8" customFormat="1" ht="38.25" x14ac:dyDescent="0.2">
      <c r="A21" s="9" t="s">
        <v>23</v>
      </c>
      <c r="B21" s="10" t="s">
        <v>1157</v>
      </c>
      <c r="C21" s="125" t="s">
        <v>11</v>
      </c>
      <c r="D21" s="125">
        <v>1</v>
      </c>
      <c r="E21" s="11" t="str">
        <f t="shared" si="0"/>
        <v/>
      </c>
      <c r="F21" s="113"/>
    </row>
    <row r="22" spans="1:8" s="8" customFormat="1" ht="25.5" x14ac:dyDescent="0.2">
      <c r="A22" s="124" t="s">
        <v>1106</v>
      </c>
      <c r="B22" s="10" t="s">
        <v>1078</v>
      </c>
      <c r="C22" s="125" t="s">
        <v>11</v>
      </c>
      <c r="D22" s="125">
        <v>1</v>
      </c>
      <c r="E22" s="125" t="str">
        <f>IF(ISNUMBER(D22),"","N/A")</f>
        <v/>
      </c>
      <c r="F22" s="113"/>
    </row>
    <row r="23" spans="1:8" s="8" customFormat="1" ht="25.5" x14ac:dyDescent="0.2">
      <c r="A23" s="124" t="s">
        <v>24</v>
      </c>
      <c r="B23" s="10" t="s">
        <v>1050</v>
      </c>
      <c r="C23" s="125" t="s">
        <v>11</v>
      </c>
      <c r="D23" s="125">
        <v>1</v>
      </c>
      <c r="E23" s="125" t="str">
        <f t="shared" si="0"/>
        <v/>
      </c>
      <c r="F23" s="113"/>
      <c r="H23" s="154"/>
    </row>
    <row r="24" spans="1:8" s="8" customFormat="1" ht="29.1" customHeight="1" x14ac:dyDescent="0.2">
      <c r="A24" s="124" t="s">
        <v>26</v>
      </c>
      <c r="B24" s="10" t="s">
        <v>27</v>
      </c>
      <c r="C24" s="125" t="s">
        <v>25</v>
      </c>
      <c r="D24" s="125"/>
      <c r="E24" s="125" t="str">
        <f t="shared" si="0"/>
        <v>N/A</v>
      </c>
      <c r="F24" s="7">
        <v>1000</v>
      </c>
      <c r="H24" s="154"/>
    </row>
    <row r="25" spans="1:8" s="8" customFormat="1" ht="25.5" x14ac:dyDescent="0.2">
      <c r="A25" s="124" t="s">
        <v>28</v>
      </c>
      <c r="B25" s="10" t="s">
        <v>1051</v>
      </c>
      <c r="C25" s="125" t="s">
        <v>11</v>
      </c>
      <c r="D25" s="125">
        <v>1</v>
      </c>
      <c r="E25" s="125" t="str">
        <f t="shared" si="0"/>
        <v/>
      </c>
      <c r="F25" s="113"/>
      <c r="H25" s="154"/>
    </row>
    <row r="26" spans="1:8" s="8" customFormat="1" ht="25.5" x14ac:dyDescent="0.2">
      <c r="A26" s="124" t="s">
        <v>29</v>
      </c>
      <c r="B26" s="10" t="s">
        <v>30</v>
      </c>
      <c r="C26" s="125" t="s">
        <v>25</v>
      </c>
      <c r="D26" s="125"/>
      <c r="E26" s="125" t="str">
        <f t="shared" si="0"/>
        <v>N/A</v>
      </c>
      <c r="F26" s="7">
        <v>1000</v>
      </c>
      <c r="H26" s="154"/>
    </row>
    <row r="27" spans="1:8" s="8" customFormat="1" ht="38.25" x14ac:dyDescent="0.2">
      <c r="A27" s="124" t="s">
        <v>31</v>
      </c>
      <c r="B27" s="10" t="s">
        <v>1052</v>
      </c>
      <c r="C27" s="125" t="s">
        <v>11</v>
      </c>
      <c r="D27" s="125">
        <v>1</v>
      </c>
      <c r="E27" s="125" t="str">
        <f t="shared" si="0"/>
        <v/>
      </c>
      <c r="F27" s="113"/>
      <c r="H27" s="154"/>
    </row>
    <row r="28" spans="1:8" s="8" customFormat="1" ht="38.25" x14ac:dyDescent="0.2">
      <c r="A28" s="9" t="s">
        <v>32</v>
      </c>
      <c r="B28" s="10" t="s">
        <v>33</v>
      </c>
      <c r="C28" s="125" t="s">
        <v>25</v>
      </c>
      <c r="D28" s="125" t="s">
        <v>1047</v>
      </c>
      <c r="E28" s="11" t="str">
        <f t="shared" si="0"/>
        <v>N/A</v>
      </c>
      <c r="F28" s="123"/>
    </row>
    <row r="29" spans="1:8" s="8" customFormat="1" ht="150" customHeight="1" x14ac:dyDescent="0.2">
      <c r="A29" s="9" t="s">
        <v>34</v>
      </c>
      <c r="B29" s="10" t="s">
        <v>1107</v>
      </c>
      <c r="C29" s="125" t="s">
        <v>25</v>
      </c>
      <c r="D29" s="125">
        <v>1</v>
      </c>
      <c r="E29" s="11" t="str">
        <f t="shared" si="0"/>
        <v/>
      </c>
      <c r="F29" s="123">
        <v>1000</v>
      </c>
    </row>
    <row r="30" spans="1:8" s="8" customFormat="1" ht="12.75" x14ac:dyDescent="0.2">
      <c r="A30" s="9" t="s">
        <v>35</v>
      </c>
      <c r="B30" s="10" t="s">
        <v>36</v>
      </c>
      <c r="C30" s="125" t="s">
        <v>37</v>
      </c>
      <c r="D30" s="125"/>
      <c r="E30" s="11"/>
      <c r="F30" s="123"/>
    </row>
    <row r="31" spans="1:8" s="8" customFormat="1" ht="25.5" x14ac:dyDescent="0.2">
      <c r="A31" s="9" t="s">
        <v>38</v>
      </c>
      <c r="B31" s="10" t="s">
        <v>39</v>
      </c>
      <c r="C31" s="125" t="s">
        <v>11</v>
      </c>
      <c r="D31" s="125">
        <v>1</v>
      </c>
      <c r="E31" s="11" t="str">
        <f t="shared" si="0"/>
        <v/>
      </c>
      <c r="F31" s="113"/>
    </row>
    <row r="32" spans="1:8" s="8" customFormat="1" ht="25.5" x14ac:dyDescent="0.2">
      <c r="A32" s="9" t="s">
        <v>40</v>
      </c>
      <c r="B32" s="10" t="s">
        <v>41</v>
      </c>
      <c r="C32" s="125" t="s">
        <v>42</v>
      </c>
      <c r="D32" s="125" t="s">
        <v>1094</v>
      </c>
      <c r="E32" s="11" t="str">
        <f t="shared" si="0"/>
        <v>N/A</v>
      </c>
      <c r="F32" s="123"/>
    </row>
    <row r="33" spans="1:6" s="8" customFormat="1" ht="25.5" x14ac:dyDescent="0.2">
      <c r="A33" s="9" t="s">
        <v>43</v>
      </c>
      <c r="B33" s="10" t="s">
        <v>44</v>
      </c>
      <c r="C33" s="125" t="s">
        <v>42</v>
      </c>
      <c r="D33" s="125" t="s">
        <v>1094</v>
      </c>
      <c r="E33" s="11" t="str">
        <f t="shared" si="0"/>
        <v>N/A</v>
      </c>
      <c r="F33" s="123"/>
    </row>
    <row r="34" spans="1:6" s="8" customFormat="1" ht="38.25" x14ac:dyDescent="0.2">
      <c r="A34" s="9" t="s">
        <v>45</v>
      </c>
      <c r="B34" s="10" t="s">
        <v>46</v>
      </c>
      <c r="C34" s="125" t="s">
        <v>42</v>
      </c>
      <c r="D34" s="125" t="s">
        <v>1094</v>
      </c>
      <c r="E34" s="11" t="str">
        <f t="shared" si="0"/>
        <v>N/A</v>
      </c>
      <c r="F34" s="123"/>
    </row>
    <row r="35" spans="1:6" s="8" customFormat="1" ht="38.25" x14ac:dyDescent="0.2">
      <c r="A35" s="9" t="s">
        <v>47</v>
      </c>
      <c r="B35" s="10" t="s">
        <v>48</v>
      </c>
      <c r="C35" s="125" t="s">
        <v>42</v>
      </c>
      <c r="D35" s="125" t="s">
        <v>1094</v>
      </c>
      <c r="E35" s="11" t="str">
        <f t="shared" si="0"/>
        <v>N/A</v>
      </c>
      <c r="F35" s="123"/>
    </row>
    <row r="36" spans="1:6" s="8" customFormat="1" ht="38.25" x14ac:dyDescent="0.2">
      <c r="A36" s="9" t="s">
        <v>49</v>
      </c>
      <c r="B36" s="10" t="s">
        <v>50</v>
      </c>
      <c r="C36" s="125" t="s">
        <v>42</v>
      </c>
      <c r="D36" s="125" t="s">
        <v>1094</v>
      </c>
      <c r="E36" s="11" t="str">
        <f t="shared" si="0"/>
        <v>N/A</v>
      </c>
      <c r="F36" s="123"/>
    </row>
    <row r="37" spans="1:6" s="8" customFormat="1" ht="25.5" x14ac:dyDescent="0.2">
      <c r="A37" s="9" t="s">
        <v>51</v>
      </c>
      <c r="B37" s="10" t="s">
        <v>52</v>
      </c>
      <c r="C37" s="125" t="s">
        <v>54</v>
      </c>
      <c r="D37" s="125">
        <v>496</v>
      </c>
      <c r="E37" s="11" t="str">
        <f t="shared" si="0"/>
        <v/>
      </c>
      <c r="F37" s="113"/>
    </row>
    <row r="38" spans="1:6" s="8" customFormat="1" ht="38.25" x14ac:dyDescent="0.2">
      <c r="A38" s="9" t="s">
        <v>53</v>
      </c>
      <c r="B38" s="10" t="s">
        <v>1067</v>
      </c>
      <c r="C38" s="125" t="s">
        <v>54</v>
      </c>
      <c r="D38" s="125">
        <v>61</v>
      </c>
      <c r="E38" s="11" t="str">
        <f t="shared" si="0"/>
        <v/>
      </c>
      <c r="F38" s="113"/>
    </row>
    <row r="39" spans="1:6" s="8" customFormat="1" ht="50.85" customHeight="1" x14ac:dyDescent="0.2">
      <c r="A39" s="124" t="s">
        <v>1053</v>
      </c>
      <c r="B39" s="10" t="s">
        <v>1064</v>
      </c>
      <c r="C39" s="125" t="s">
        <v>54</v>
      </c>
      <c r="D39" s="125">
        <v>435</v>
      </c>
      <c r="E39" s="125" t="str">
        <f>IF(ISNUMBER(D39),"","N/A")</f>
        <v/>
      </c>
      <c r="F39" s="113"/>
    </row>
    <row r="40" spans="1:6" s="8" customFormat="1" ht="50.1" customHeight="1" x14ac:dyDescent="0.2">
      <c r="A40" s="124" t="s">
        <v>55</v>
      </c>
      <c r="B40" s="10" t="s">
        <v>1218</v>
      </c>
      <c r="C40" s="125" t="s">
        <v>11</v>
      </c>
      <c r="D40" s="125">
        <v>1</v>
      </c>
      <c r="E40" s="125"/>
      <c r="F40" s="113"/>
    </row>
    <row r="41" spans="1:6" s="8" customFormat="1" ht="51" x14ac:dyDescent="0.2">
      <c r="A41" s="124" t="s">
        <v>1166</v>
      </c>
      <c r="B41" s="10" t="s">
        <v>1219</v>
      </c>
      <c r="C41" s="125" t="s">
        <v>11</v>
      </c>
      <c r="D41" s="125">
        <v>1</v>
      </c>
      <c r="E41" s="125" t="str">
        <f t="shared" si="0"/>
        <v/>
      </c>
      <c r="F41" s="113"/>
    </row>
    <row r="42" spans="1:6" s="8" customFormat="1" ht="25.5" x14ac:dyDescent="0.2">
      <c r="A42" s="124" t="s">
        <v>56</v>
      </c>
      <c r="B42" s="10" t="s">
        <v>1202</v>
      </c>
      <c r="C42" s="125" t="s">
        <v>57</v>
      </c>
      <c r="D42" s="125">
        <v>24</v>
      </c>
      <c r="E42" s="125" t="str">
        <f t="shared" si="0"/>
        <v/>
      </c>
      <c r="F42" s="113"/>
    </row>
    <row r="43" spans="1:6" s="8" customFormat="1" ht="25.5" x14ac:dyDescent="0.2">
      <c r="A43" s="124" t="s">
        <v>58</v>
      </c>
      <c r="B43" s="10" t="s">
        <v>59</v>
      </c>
      <c r="C43" s="125" t="s">
        <v>60</v>
      </c>
      <c r="D43" s="125" t="s">
        <v>1047</v>
      </c>
      <c r="E43" s="125" t="str">
        <f t="shared" si="0"/>
        <v>N/A</v>
      </c>
      <c r="F43" s="7"/>
    </row>
    <row r="44" spans="1:6" s="8" customFormat="1" ht="25.5" x14ac:dyDescent="0.2">
      <c r="A44" s="124" t="s">
        <v>61</v>
      </c>
      <c r="B44" s="10" t="s">
        <v>62</v>
      </c>
      <c r="C44" s="125" t="s">
        <v>25</v>
      </c>
      <c r="D44" s="125" t="s">
        <v>1047</v>
      </c>
      <c r="E44" s="125" t="str">
        <f t="shared" si="0"/>
        <v>N/A</v>
      </c>
      <c r="F44" s="7"/>
    </row>
    <row r="45" spans="1:6" s="8" customFormat="1" ht="12.75" x14ac:dyDescent="0.2">
      <c r="A45" s="9" t="s">
        <v>63</v>
      </c>
      <c r="B45" s="10" t="s">
        <v>64</v>
      </c>
      <c r="C45" s="125" t="s">
        <v>65</v>
      </c>
      <c r="D45" s="125"/>
      <c r="E45" s="11"/>
      <c r="F45" s="123"/>
    </row>
    <row r="46" spans="1:6" s="8" customFormat="1" ht="38.25" x14ac:dyDescent="0.2">
      <c r="A46" s="9" t="s">
        <v>66</v>
      </c>
      <c r="B46" s="10" t="s">
        <v>67</v>
      </c>
      <c r="C46" s="125" t="s">
        <v>25</v>
      </c>
      <c r="D46" s="125" t="s">
        <v>1047</v>
      </c>
      <c r="E46" s="11" t="str">
        <f t="shared" si="0"/>
        <v>N/A</v>
      </c>
      <c r="F46" s="123"/>
    </row>
    <row r="47" spans="1:6" s="8" customFormat="1" ht="25.5" x14ac:dyDescent="0.2">
      <c r="A47" s="9" t="s">
        <v>68</v>
      </c>
      <c r="B47" s="10" t="s">
        <v>69</v>
      </c>
      <c r="C47" s="125" t="s">
        <v>65</v>
      </c>
      <c r="D47" s="125" t="s">
        <v>1047</v>
      </c>
      <c r="E47" s="11" t="str">
        <f t="shared" si="0"/>
        <v>N/A</v>
      </c>
      <c r="F47" s="123"/>
    </row>
    <row r="48" spans="1:6" s="8" customFormat="1" ht="38.25" x14ac:dyDescent="0.2">
      <c r="A48" s="9" t="s">
        <v>70</v>
      </c>
      <c r="B48" s="10" t="s">
        <v>71</v>
      </c>
      <c r="C48" s="125" t="s">
        <v>25</v>
      </c>
      <c r="D48" s="125" t="s">
        <v>1047</v>
      </c>
      <c r="E48" s="11" t="str">
        <f t="shared" si="0"/>
        <v>N/A</v>
      </c>
      <c r="F48" s="123"/>
    </row>
    <row r="49" spans="1:6" s="8" customFormat="1" ht="25.5" x14ac:dyDescent="0.2">
      <c r="A49" s="9" t="s">
        <v>72</v>
      </c>
      <c r="B49" s="10" t="s">
        <v>73</v>
      </c>
      <c r="C49" s="125" t="s">
        <v>25</v>
      </c>
      <c r="D49" s="125" t="s">
        <v>1047</v>
      </c>
      <c r="E49" s="11" t="str">
        <f t="shared" si="0"/>
        <v>N/A</v>
      </c>
      <c r="F49" s="123"/>
    </row>
    <row r="50" spans="1:6" s="8" customFormat="1" ht="51" x14ac:dyDescent="0.2">
      <c r="A50" s="9" t="s">
        <v>74</v>
      </c>
      <c r="B50" s="10" t="s">
        <v>75</v>
      </c>
      <c r="C50" s="125" t="s">
        <v>11</v>
      </c>
      <c r="D50" s="125">
        <v>1</v>
      </c>
      <c r="E50" s="11" t="str">
        <f t="shared" si="0"/>
        <v/>
      </c>
      <c r="F50" s="113"/>
    </row>
    <row r="51" spans="1:6" s="8" customFormat="1" ht="32.85" customHeight="1" x14ac:dyDescent="0.2">
      <c r="A51" s="9" t="s">
        <v>76</v>
      </c>
      <c r="B51" s="10" t="s">
        <v>77</v>
      </c>
      <c r="C51" s="125" t="s">
        <v>11</v>
      </c>
      <c r="D51" s="125">
        <v>1</v>
      </c>
      <c r="E51" s="11" t="str">
        <f t="shared" si="0"/>
        <v/>
      </c>
      <c r="F51" s="113"/>
    </row>
    <row r="52" spans="1:6" s="8" customFormat="1" ht="12.75" x14ac:dyDescent="0.2">
      <c r="A52" s="9" t="s">
        <v>78</v>
      </c>
      <c r="B52" s="10" t="s">
        <v>79</v>
      </c>
      <c r="C52" s="125" t="s">
        <v>65</v>
      </c>
      <c r="D52" s="125"/>
      <c r="E52" s="11"/>
      <c r="F52" s="123"/>
    </row>
    <row r="53" spans="1:6" s="8" customFormat="1" ht="29.85" customHeight="1" x14ac:dyDescent="0.2">
      <c r="A53" s="9" t="s">
        <v>80</v>
      </c>
      <c r="B53" s="10" t="s">
        <v>81</v>
      </c>
      <c r="C53" s="125" t="s">
        <v>11</v>
      </c>
      <c r="D53" s="125" t="s">
        <v>1047</v>
      </c>
      <c r="E53" s="11" t="str">
        <f t="shared" si="0"/>
        <v>N/A</v>
      </c>
      <c r="F53" s="123"/>
    </row>
    <row r="54" spans="1:6" s="8" customFormat="1" ht="25.5" x14ac:dyDescent="0.2">
      <c r="A54" s="9" t="s">
        <v>82</v>
      </c>
      <c r="B54" s="10" t="s">
        <v>83</v>
      </c>
      <c r="C54" s="125" t="s">
        <v>54</v>
      </c>
      <c r="D54" s="125" t="s">
        <v>1047</v>
      </c>
      <c r="E54" s="11" t="str">
        <f t="shared" si="0"/>
        <v>N/A</v>
      </c>
      <c r="F54" s="123"/>
    </row>
    <row r="55" spans="1:6" s="8" customFormat="1" ht="25.5" x14ac:dyDescent="0.2">
      <c r="A55" s="9" t="s">
        <v>84</v>
      </c>
      <c r="B55" s="10" t="s">
        <v>85</v>
      </c>
      <c r="C55" s="125" t="s">
        <v>11</v>
      </c>
      <c r="D55" s="125" t="s">
        <v>1047</v>
      </c>
      <c r="E55" s="11" t="str">
        <f t="shared" si="0"/>
        <v>N/A</v>
      </c>
      <c r="F55" s="123"/>
    </row>
    <row r="56" spans="1:6" s="8" customFormat="1" ht="25.5" x14ac:dyDescent="0.2">
      <c r="A56" s="9" t="s">
        <v>86</v>
      </c>
      <c r="B56" s="10" t="s">
        <v>87</v>
      </c>
      <c r="C56" s="125" t="s">
        <v>11</v>
      </c>
      <c r="D56" s="125">
        <v>1</v>
      </c>
      <c r="E56" s="11" t="str">
        <f t="shared" si="0"/>
        <v/>
      </c>
      <c r="F56" s="113"/>
    </row>
    <row r="57" spans="1:6" s="8" customFormat="1" ht="25.5" x14ac:dyDescent="0.2">
      <c r="A57" s="9" t="s">
        <v>88</v>
      </c>
      <c r="B57" s="10" t="s">
        <v>89</v>
      </c>
      <c r="C57" s="125" t="s">
        <v>54</v>
      </c>
      <c r="D57" s="125" t="s">
        <v>1047</v>
      </c>
      <c r="E57" s="11" t="str">
        <f t="shared" si="0"/>
        <v>N/A</v>
      </c>
      <c r="F57" s="123"/>
    </row>
    <row r="58" spans="1:6" s="8" customFormat="1" ht="25.5" x14ac:dyDescent="0.2">
      <c r="A58" s="9" t="s">
        <v>90</v>
      </c>
      <c r="B58" s="10" t="s">
        <v>91</v>
      </c>
      <c r="C58" s="125" t="s">
        <v>11</v>
      </c>
      <c r="D58" s="125">
        <v>1</v>
      </c>
      <c r="E58" s="11" t="str">
        <f t="shared" si="0"/>
        <v/>
      </c>
      <c r="F58" s="113"/>
    </row>
    <row r="59" spans="1:6" s="8" customFormat="1" ht="28.35" customHeight="1" x14ac:dyDescent="0.2">
      <c r="A59" s="9" t="s">
        <v>92</v>
      </c>
      <c r="B59" s="10" t="s">
        <v>93</v>
      </c>
      <c r="C59" s="125" t="s">
        <v>11</v>
      </c>
      <c r="D59" s="125">
        <v>1</v>
      </c>
      <c r="E59" s="11" t="str">
        <f t="shared" si="0"/>
        <v/>
      </c>
      <c r="F59" s="113"/>
    </row>
    <row r="60" spans="1:6" s="8" customFormat="1" ht="25.5" x14ac:dyDescent="0.2">
      <c r="A60" s="9" t="s">
        <v>94</v>
      </c>
      <c r="B60" s="10" t="s">
        <v>95</v>
      </c>
      <c r="C60" s="125" t="s">
        <v>54</v>
      </c>
      <c r="D60" s="125" t="s">
        <v>1047</v>
      </c>
      <c r="E60" s="11" t="str">
        <f t="shared" si="0"/>
        <v>N/A</v>
      </c>
      <c r="F60" s="123"/>
    </row>
    <row r="61" spans="1:6" s="8" customFormat="1" ht="25.5" x14ac:dyDescent="0.2">
      <c r="A61" s="9" t="s">
        <v>96</v>
      </c>
      <c r="B61" s="10" t="s">
        <v>97</v>
      </c>
      <c r="C61" s="125" t="s">
        <v>11</v>
      </c>
      <c r="D61" s="125">
        <v>1</v>
      </c>
      <c r="E61" s="11" t="str">
        <f t="shared" si="0"/>
        <v/>
      </c>
      <c r="F61" s="113"/>
    </row>
    <row r="62" spans="1:6" s="8" customFormat="1" ht="25.5" x14ac:dyDescent="0.2">
      <c r="A62" s="9" t="s">
        <v>98</v>
      </c>
      <c r="B62" s="10" t="s">
        <v>99</v>
      </c>
      <c r="C62" s="125" t="s">
        <v>11</v>
      </c>
      <c r="D62" s="125" t="s">
        <v>1047</v>
      </c>
      <c r="E62" s="11" t="str">
        <f t="shared" si="0"/>
        <v>N/A</v>
      </c>
      <c r="F62" s="123"/>
    </row>
    <row r="63" spans="1:6" s="8" customFormat="1" ht="25.5" x14ac:dyDescent="0.2">
      <c r="A63" s="9" t="s">
        <v>100</v>
      </c>
      <c r="B63" s="10" t="s">
        <v>101</v>
      </c>
      <c r="C63" s="125" t="s">
        <v>54</v>
      </c>
      <c r="D63" s="125" t="s">
        <v>1047</v>
      </c>
      <c r="E63" s="11" t="str">
        <f t="shared" si="0"/>
        <v>N/A</v>
      </c>
      <c r="F63" s="123"/>
    </row>
    <row r="64" spans="1:6" s="8" customFormat="1" ht="25.5" x14ac:dyDescent="0.2">
      <c r="A64" s="9" t="s">
        <v>102</v>
      </c>
      <c r="B64" s="10" t="s">
        <v>103</v>
      </c>
      <c r="C64" s="125" t="s">
        <v>11</v>
      </c>
      <c r="D64" s="125" t="s">
        <v>1047</v>
      </c>
      <c r="E64" s="11" t="str">
        <f t="shared" si="0"/>
        <v>N/A</v>
      </c>
      <c r="F64" s="123"/>
    </row>
    <row r="65" spans="1:23" s="8" customFormat="1" ht="25.5" x14ac:dyDescent="0.2">
      <c r="A65" s="9" t="s">
        <v>104</v>
      </c>
      <c r="B65" s="10" t="s">
        <v>105</v>
      </c>
      <c r="C65" s="125" t="s">
        <v>11</v>
      </c>
      <c r="D65" s="125">
        <v>1</v>
      </c>
      <c r="E65" s="11" t="str">
        <f t="shared" si="0"/>
        <v/>
      </c>
      <c r="F65" s="113"/>
    </row>
    <row r="66" spans="1:23" s="8" customFormat="1" ht="25.5" x14ac:dyDescent="0.2">
      <c r="A66" s="9" t="s">
        <v>106</v>
      </c>
      <c r="B66" s="10" t="s">
        <v>107</v>
      </c>
      <c r="C66" s="125" t="s">
        <v>11</v>
      </c>
      <c r="D66" s="125">
        <v>1</v>
      </c>
      <c r="E66" s="11" t="str">
        <f t="shared" si="0"/>
        <v/>
      </c>
      <c r="F66" s="113"/>
    </row>
    <row r="67" spans="1:23" s="8" customFormat="1" ht="25.5" x14ac:dyDescent="0.2">
      <c r="A67" s="9" t="s">
        <v>108</v>
      </c>
      <c r="B67" s="10" t="s">
        <v>109</v>
      </c>
      <c r="C67" s="125" t="s">
        <v>11</v>
      </c>
      <c r="D67" s="125">
        <v>1</v>
      </c>
      <c r="E67" s="11" t="str">
        <f t="shared" si="0"/>
        <v/>
      </c>
      <c r="F67" s="123"/>
    </row>
    <row r="68" spans="1:23" s="8" customFormat="1" ht="25.5" x14ac:dyDescent="0.2">
      <c r="A68" s="124" t="s">
        <v>110</v>
      </c>
      <c r="B68" s="10" t="s">
        <v>1203</v>
      </c>
      <c r="C68" s="125" t="s">
        <v>111</v>
      </c>
      <c r="D68" s="125">
        <v>12</v>
      </c>
      <c r="E68" s="125" t="str">
        <f t="shared" si="0"/>
        <v/>
      </c>
      <c r="F68" s="113"/>
    </row>
    <row r="69" spans="1:23" s="8" customFormat="1" ht="25.5" x14ac:dyDescent="0.2">
      <c r="A69" s="124" t="s">
        <v>112</v>
      </c>
      <c r="B69" s="10" t="s">
        <v>1204</v>
      </c>
      <c r="C69" s="125" t="s">
        <v>111</v>
      </c>
      <c r="D69" s="125">
        <v>12</v>
      </c>
      <c r="E69" s="125" t="str">
        <f t="shared" si="0"/>
        <v/>
      </c>
      <c r="F69" s="113"/>
    </row>
    <row r="70" spans="1:23" s="8" customFormat="1" ht="38.25" x14ac:dyDescent="0.2">
      <c r="A70" s="9" t="s">
        <v>113</v>
      </c>
      <c r="B70" s="10" t="s">
        <v>114</v>
      </c>
      <c r="C70" s="125" t="s">
        <v>11</v>
      </c>
      <c r="D70" s="125" t="s">
        <v>1490</v>
      </c>
      <c r="E70" s="11" t="str">
        <f t="shared" si="0"/>
        <v>N/A</v>
      </c>
      <c r="F70" s="123"/>
    </row>
    <row r="71" spans="1:23" s="8" customFormat="1" ht="25.5" x14ac:dyDescent="0.2">
      <c r="A71" s="124" t="s">
        <v>115</v>
      </c>
      <c r="B71" s="10" t="s">
        <v>1081</v>
      </c>
      <c r="C71" s="125" t="s">
        <v>11</v>
      </c>
      <c r="D71" s="125">
        <v>1</v>
      </c>
      <c r="E71" s="125" t="str">
        <f t="shared" si="0"/>
        <v/>
      </c>
      <c r="F71" s="113"/>
      <c r="H71" s="153"/>
    </row>
    <row r="72" spans="1:23" s="8" customFormat="1" ht="12.75" x14ac:dyDescent="0.2">
      <c r="A72" s="124" t="s">
        <v>116</v>
      </c>
      <c r="B72" s="10" t="s">
        <v>117</v>
      </c>
      <c r="C72" s="125" t="s">
        <v>11</v>
      </c>
      <c r="D72" s="125">
        <v>1</v>
      </c>
      <c r="E72" s="125" t="str">
        <f t="shared" si="0"/>
        <v/>
      </c>
      <c r="F72" s="113"/>
    </row>
    <row r="73" spans="1:23" s="8" customFormat="1" ht="12.75" x14ac:dyDescent="0.2">
      <c r="A73" s="124" t="s">
        <v>118</v>
      </c>
      <c r="B73" s="10" t="s">
        <v>119</v>
      </c>
      <c r="C73" s="125" t="s">
        <v>11</v>
      </c>
      <c r="D73" s="125">
        <v>1</v>
      </c>
      <c r="E73" s="125" t="str">
        <f t="shared" si="0"/>
        <v/>
      </c>
      <c r="F73" s="113"/>
      <c r="H73" s="154"/>
    </row>
    <row r="74" spans="1:23" s="8" customFormat="1" ht="25.5" x14ac:dyDescent="0.2">
      <c r="A74" s="124" t="s">
        <v>1077</v>
      </c>
      <c r="B74" s="10" t="s">
        <v>1082</v>
      </c>
      <c r="C74" s="125" t="s">
        <v>11</v>
      </c>
      <c r="D74" s="125">
        <v>1</v>
      </c>
      <c r="E74" s="125" t="str">
        <f>IF(ISNUMBER(D74),"","N/A")</f>
        <v/>
      </c>
      <c r="F74" s="113"/>
      <c r="H74" s="154"/>
    </row>
    <row r="75" spans="1:23" s="8" customFormat="1" ht="61.5" customHeight="1" x14ac:dyDescent="0.2">
      <c r="A75" s="124" t="s">
        <v>120</v>
      </c>
      <c r="B75" s="10" t="s">
        <v>1491</v>
      </c>
      <c r="C75" s="125" t="s">
        <v>11</v>
      </c>
      <c r="D75" s="125">
        <v>1</v>
      </c>
      <c r="E75" s="125" t="str">
        <f t="shared" si="0"/>
        <v/>
      </c>
      <c r="F75" s="113"/>
      <c r="H75" s="153"/>
    </row>
    <row r="76" spans="1:23" s="8" customFormat="1" ht="75.75" customHeight="1" x14ac:dyDescent="0.2">
      <c r="A76" s="118" t="s">
        <v>1033</v>
      </c>
      <c r="B76" s="121" t="s">
        <v>1034</v>
      </c>
      <c r="C76" s="150" t="s">
        <v>11</v>
      </c>
      <c r="D76" s="125">
        <v>1</v>
      </c>
      <c r="E76" s="122"/>
      <c r="F76" s="113"/>
      <c r="H76" s="153"/>
    </row>
    <row r="77" spans="1:23" s="8" customFormat="1" ht="61.5" customHeight="1" x14ac:dyDescent="0.2">
      <c r="A77" s="124" t="s">
        <v>1066</v>
      </c>
      <c r="B77" s="10" t="s">
        <v>1065</v>
      </c>
      <c r="C77" s="125" t="s">
        <v>11</v>
      </c>
      <c r="D77" s="125">
        <v>1</v>
      </c>
      <c r="E77" s="125"/>
      <c r="F77" s="113"/>
      <c r="H77" s="153"/>
    </row>
    <row r="78" spans="1:23" s="16" customFormat="1" ht="25.5" x14ac:dyDescent="0.2">
      <c r="A78" s="124" t="s">
        <v>1091</v>
      </c>
      <c r="B78" s="10" t="s">
        <v>1079</v>
      </c>
      <c r="C78" s="125" t="s">
        <v>11</v>
      </c>
      <c r="D78" s="125">
        <v>1</v>
      </c>
      <c r="E78" s="125"/>
      <c r="F78" s="113"/>
      <c r="H78" s="153"/>
      <c r="V78" s="8"/>
    </row>
    <row r="79" spans="1:23" s="146" customFormat="1" ht="63.75" x14ac:dyDescent="0.25">
      <c r="A79" s="124" t="s">
        <v>1092</v>
      </c>
      <c r="B79" s="10" t="s">
        <v>1080</v>
      </c>
      <c r="C79" s="125" t="s">
        <v>11</v>
      </c>
      <c r="D79" s="125">
        <v>1</v>
      </c>
      <c r="E79" s="125"/>
      <c r="F79" s="113"/>
      <c r="G79" s="16"/>
      <c r="H79" s="153"/>
      <c r="W79" s="8"/>
    </row>
    <row r="80" spans="1:23" s="146" customFormat="1" ht="64.7" customHeight="1" x14ac:dyDescent="0.25">
      <c r="A80" s="124" t="s">
        <v>1093</v>
      </c>
      <c r="B80" s="10" t="s">
        <v>1083</v>
      </c>
      <c r="C80" s="125" t="s">
        <v>11</v>
      </c>
      <c r="D80" s="125">
        <v>1</v>
      </c>
      <c r="E80" s="125"/>
      <c r="F80" s="113"/>
      <c r="G80" s="16"/>
      <c r="H80" s="153"/>
      <c r="Q80" s="8"/>
    </row>
    <row r="81" spans="1:6" x14ac:dyDescent="0.25">
      <c r="A81" s="17"/>
      <c r="B81" s="13" t="s">
        <v>121</v>
      </c>
      <c r="C81" s="14"/>
      <c r="D81" s="14"/>
      <c r="E81" s="15"/>
      <c r="F81" s="11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rowBreaks count="2" manualBreakCount="2">
    <brk id="28" max="5" man="1"/>
    <brk id="56" max="5"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7CB0-0662-4F6D-919D-C991E1AA7F36}">
  <dimension ref="A1:Z45"/>
  <sheetViews>
    <sheetView view="pageLayout" topLeftCell="A22"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23" customWidth="1"/>
    <col min="7" max="7" width="1.5703125" style="21" customWidth="1"/>
    <col min="8" max="8" width="10" style="16" customWidth="1"/>
    <col min="9" max="16384" width="9.140625" style="16"/>
  </cols>
  <sheetData>
    <row r="1" spans="1:26" s="21" customFormat="1" x14ac:dyDescent="0.2">
      <c r="F1" s="23"/>
    </row>
    <row r="2" spans="1:26" s="21" customFormat="1" x14ac:dyDescent="0.2">
      <c r="A2" s="1" t="s">
        <v>0</v>
      </c>
      <c r="B2" s="1" t="s">
        <v>1</v>
      </c>
      <c r="C2" s="1" t="s">
        <v>2</v>
      </c>
      <c r="D2" s="1" t="s">
        <v>3</v>
      </c>
      <c r="E2" s="1" t="s">
        <v>4</v>
      </c>
      <c r="F2" s="3" t="s">
        <v>5</v>
      </c>
      <c r="G2" s="25"/>
    </row>
    <row r="3" spans="1:26" ht="18" x14ac:dyDescent="0.25">
      <c r="A3" s="40"/>
      <c r="B3" s="140" t="s">
        <v>1057</v>
      </c>
      <c r="C3" s="41"/>
      <c r="D3" s="41"/>
      <c r="E3" s="41" t="s">
        <v>6</v>
      </c>
      <c r="F3" s="42" t="s">
        <v>6</v>
      </c>
    </row>
    <row r="4" spans="1:26" s="43" customFormat="1" ht="38.25" x14ac:dyDescent="0.25">
      <c r="A4" s="26" t="s">
        <v>122</v>
      </c>
      <c r="B4" s="26" t="s">
        <v>123</v>
      </c>
      <c r="C4" s="27"/>
      <c r="D4" s="28"/>
      <c r="E4" s="28"/>
      <c r="F4" s="29"/>
      <c r="G4" s="30"/>
    </row>
    <row r="5" spans="1:26" s="8" customFormat="1" ht="51" x14ac:dyDescent="0.2">
      <c r="A5" s="124" t="s">
        <v>1228</v>
      </c>
      <c r="B5" s="124" t="s">
        <v>124</v>
      </c>
      <c r="C5" s="125" t="s">
        <v>125</v>
      </c>
      <c r="D5" s="125" t="s">
        <v>125</v>
      </c>
      <c r="E5" s="125" t="str">
        <f>IF(ISNUMBER(D5),"","N/A")</f>
        <v>N/A</v>
      </c>
      <c r="F5" s="113" t="str">
        <f>IFERROR(IF(ISNUMBER(D5),D5*E5,"-"),"")</f>
        <v>-</v>
      </c>
      <c r="G5" s="31"/>
    </row>
    <row r="6" spans="1:26" s="8" customFormat="1" ht="51" x14ac:dyDescent="0.2">
      <c r="A6" s="124" t="s">
        <v>1229</v>
      </c>
      <c r="B6" s="124" t="s">
        <v>126</v>
      </c>
      <c r="C6" s="125" t="s">
        <v>54</v>
      </c>
      <c r="D6" s="125" t="s">
        <v>1047</v>
      </c>
      <c r="E6" s="125" t="str">
        <f t="shared" ref="E6:E43" si="0">IF(ISNUMBER(D6),"","N/A")</f>
        <v>N/A</v>
      </c>
      <c r="F6" s="113" t="str">
        <f>IFERROR(IF(ISNUMBER(D6),D6*E6,"-"),"")</f>
        <v>-</v>
      </c>
      <c r="G6" s="31"/>
    </row>
    <row r="7" spans="1:26" s="8" customFormat="1" ht="63.75" x14ac:dyDescent="0.2">
      <c r="A7" s="124" t="s">
        <v>1230</v>
      </c>
      <c r="B7" s="124" t="s">
        <v>127</v>
      </c>
      <c r="C7" s="125" t="s">
        <v>54</v>
      </c>
      <c r="D7" s="125" t="s">
        <v>1047</v>
      </c>
      <c r="E7" s="125" t="str">
        <f t="shared" si="0"/>
        <v>N/A</v>
      </c>
      <c r="F7" s="113" t="str">
        <f>IFERROR(IF(ISNUMBER(D7),D7*E7,"-"),"")</f>
        <v>-</v>
      </c>
      <c r="G7" s="31"/>
      <c r="I7" s="154"/>
      <c r="Z7" s="145" t="s">
        <v>1105</v>
      </c>
    </row>
    <row r="8" spans="1:26" s="8" customFormat="1" ht="63.75" x14ac:dyDescent="0.2">
      <c r="A8" s="124" t="s">
        <v>1231</v>
      </c>
      <c r="B8" s="124" t="s">
        <v>128</v>
      </c>
      <c r="C8" s="125" t="s">
        <v>54</v>
      </c>
      <c r="D8" s="125" t="s">
        <v>1047</v>
      </c>
      <c r="E8" s="125" t="str">
        <f>IF(ISNUMBER(D8),"","N/A")</f>
        <v>N/A</v>
      </c>
      <c r="F8" s="113" t="str">
        <f>IFERROR(IF(ISNUMBER(D8),D8*E8,"-"),"")</f>
        <v>-</v>
      </c>
      <c r="G8" s="31"/>
      <c r="I8" s="154"/>
    </row>
    <row r="9" spans="1:26" s="8" customFormat="1" ht="63.75" x14ac:dyDescent="0.2">
      <c r="A9" s="124" t="s">
        <v>1232</v>
      </c>
      <c r="B9" s="124" t="s">
        <v>1108</v>
      </c>
      <c r="C9" s="125" t="s">
        <v>54</v>
      </c>
      <c r="D9" s="125">
        <v>60</v>
      </c>
      <c r="E9" s="125"/>
      <c r="F9" s="113"/>
      <c r="G9" s="31"/>
    </row>
    <row r="10" spans="1:26" s="8" customFormat="1" ht="76.5" x14ac:dyDescent="0.2">
      <c r="A10" s="124" t="s">
        <v>1233</v>
      </c>
      <c r="B10" s="124" t="s">
        <v>1104</v>
      </c>
      <c r="C10" s="125" t="s">
        <v>54</v>
      </c>
      <c r="D10" s="125">
        <v>19</v>
      </c>
      <c r="E10" s="125"/>
      <c r="F10" s="113"/>
      <c r="G10" s="31"/>
      <c r="H10" s="143"/>
      <c r="I10" s="145"/>
      <c r="J10" s="145"/>
    </row>
    <row r="11" spans="1:26" s="8" customFormat="1" ht="76.5" x14ac:dyDescent="0.2">
      <c r="A11" s="124" t="s">
        <v>1234</v>
      </c>
      <c r="B11" s="124" t="s">
        <v>129</v>
      </c>
      <c r="C11" s="125" t="s">
        <v>54</v>
      </c>
      <c r="D11" s="125" t="s">
        <v>1047</v>
      </c>
      <c r="E11" s="125" t="str">
        <f t="shared" si="0"/>
        <v>N/A</v>
      </c>
      <c r="F11" s="113"/>
      <c r="G11" s="31"/>
      <c r="H11" s="145"/>
      <c r="I11" s="145"/>
    </row>
    <row r="12" spans="1:26" s="8" customFormat="1" ht="38.25" x14ac:dyDescent="0.2">
      <c r="A12" s="124" t="s">
        <v>1235</v>
      </c>
      <c r="B12" s="124" t="s">
        <v>1197</v>
      </c>
      <c r="C12" s="125" t="s">
        <v>54</v>
      </c>
      <c r="D12" s="133">
        <v>5</v>
      </c>
      <c r="E12" s="125"/>
      <c r="F12" s="113"/>
      <c r="G12" s="31"/>
    </row>
    <row r="13" spans="1:26" s="8" customFormat="1" ht="51" x14ac:dyDescent="0.2">
      <c r="A13" s="124" t="s">
        <v>1236</v>
      </c>
      <c r="B13" s="124" t="s">
        <v>130</v>
      </c>
      <c r="C13" s="125" t="s">
        <v>131</v>
      </c>
      <c r="D13" s="125" t="s">
        <v>131</v>
      </c>
      <c r="E13" s="125" t="str">
        <f t="shared" si="0"/>
        <v>N/A</v>
      </c>
      <c r="F13" s="113" t="str">
        <f>IFERROR(IF(ISNUMBER(D13),D13*E13,"-"),"")</f>
        <v>-</v>
      </c>
      <c r="G13" s="31"/>
      <c r="J13" s="32"/>
    </row>
    <row r="14" spans="1:26" s="8" customFormat="1" ht="25.5" x14ac:dyDescent="0.2">
      <c r="A14" s="124" t="s">
        <v>1237</v>
      </c>
      <c r="B14" s="124" t="s">
        <v>132</v>
      </c>
      <c r="C14" s="125" t="s">
        <v>54</v>
      </c>
      <c r="D14" s="125" t="s">
        <v>1047</v>
      </c>
      <c r="E14" s="125" t="str">
        <f t="shared" si="0"/>
        <v>N/A</v>
      </c>
      <c r="F14" s="113" t="str">
        <f>IFERROR(IF(ISNUMBER(D14),D14*E14,"-"),"")</f>
        <v>-</v>
      </c>
      <c r="G14" s="31"/>
    </row>
    <row r="15" spans="1:26" s="8" customFormat="1" ht="25.5" x14ac:dyDescent="0.2">
      <c r="A15" s="124" t="s">
        <v>1238</v>
      </c>
      <c r="B15" s="124" t="s">
        <v>133</v>
      </c>
      <c r="C15" s="125" t="s">
        <v>54</v>
      </c>
      <c r="D15" s="125" t="s">
        <v>1047</v>
      </c>
      <c r="E15" s="125" t="str">
        <f t="shared" si="0"/>
        <v>N/A</v>
      </c>
      <c r="F15" s="113" t="str">
        <f>IFERROR(IF(ISNUMBER(D15),D15*E15,"-"),"")</f>
        <v>-</v>
      </c>
      <c r="G15" s="31"/>
    </row>
    <row r="16" spans="1:26" s="8" customFormat="1" ht="64.5" customHeight="1" x14ac:dyDescent="0.2">
      <c r="A16" s="124" t="s">
        <v>1239</v>
      </c>
      <c r="B16" s="124" t="s">
        <v>134</v>
      </c>
      <c r="C16" s="125" t="s">
        <v>54</v>
      </c>
      <c r="D16" s="125">
        <v>38</v>
      </c>
      <c r="E16" s="125" t="str">
        <f t="shared" si="0"/>
        <v/>
      </c>
      <c r="F16" s="113"/>
      <c r="G16" s="31"/>
      <c r="I16" s="154"/>
      <c r="W16" s="145"/>
    </row>
    <row r="17" spans="1:12" s="8" customFormat="1" ht="38.25" x14ac:dyDescent="0.2">
      <c r="A17" s="124" t="s">
        <v>1240</v>
      </c>
      <c r="B17" s="124" t="s">
        <v>135</v>
      </c>
      <c r="C17" s="125" t="s">
        <v>146</v>
      </c>
      <c r="D17" s="125">
        <v>15</v>
      </c>
      <c r="E17" s="125" t="str">
        <f t="shared" si="0"/>
        <v/>
      </c>
      <c r="F17" s="113"/>
      <c r="G17" s="31"/>
      <c r="I17" s="154"/>
      <c r="J17" s="33"/>
    </row>
    <row r="18" spans="1:12" s="8" customFormat="1" ht="63.75" x14ac:dyDescent="0.2">
      <c r="A18" s="124" t="s">
        <v>1241</v>
      </c>
      <c r="B18" s="124" t="s">
        <v>1085</v>
      </c>
      <c r="C18" s="125" t="s">
        <v>54</v>
      </c>
      <c r="D18" s="125">
        <v>22</v>
      </c>
      <c r="E18" s="125" t="str">
        <f t="shared" si="0"/>
        <v/>
      </c>
      <c r="F18" s="113"/>
      <c r="G18" s="31"/>
      <c r="I18" s="143"/>
      <c r="J18" s="144"/>
      <c r="K18" s="145"/>
    </row>
    <row r="19" spans="1:12" s="8" customFormat="1" ht="25.5" x14ac:dyDescent="0.2">
      <c r="A19" s="124" t="s">
        <v>1242</v>
      </c>
      <c r="B19" s="124" t="s">
        <v>136</v>
      </c>
      <c r="C19" s="125" t="s">
        <v>137</v>
      </c>
      <c r="D19" s="125">
        <v>565</v>
      </c>
      <c r="E19" s="125" t="str">
        <f t="shared" si="0"/>
        <v/>
      </c>
      <c r="F19" s="113"/>
      <c r="G19" s="31"/>
    </row>
    <row r="20" spans="1:12" s="8" customFormat="1" ht="25.5" x14ac:dyDescent="0.2">
      <c r="A20" s="124" t="s">
        <v>1243</v>
      </c>
      <c r="B20" s="124" t="s">
        <v>138</v>
      </c>
      <c r="C20" s="125" t="s">
        <v>137</v>
      </c>
      <c r="D20" s="125">
        <v>221</v>
      </c>
      <c r="E20" s="125" t="str">
        <f t="shared" si="0"/>
        <v/>
      </c>
      <c r="F20" s="113"/>
      <c r="G20" s="31"/>
    </row>
    <row r="21" spans="1:12" s="8" customFormat="1" ht="25.5" x14ac:dyDescent="0.2">
      <c r="A21" s="124" t="s">
        <v>1244</v>
      </c>
      <c r="B21" s="124" t="s">
        <v>139</v>
      </c>
      <c r="C21" s="125" t="s">
        <v>137</v>
      </c>
      <c r="D21" s="125">
        <v>53</v>
      </c>
      <c r="E21" s="125" t="str">
        <f t="shared" si="0"/>
        <v/>
      </c>
      <c r="F21" s="113"/>
      <c r="G21" s="31"/>
    </row>
    <row r="22" spans="1:12" s="8" customFormat="1" ht="25.5" x14ac:dyDescent="0.2">
      <c r="A22" s="124" t="s">
        <v>1245</v>
      </c>
      <c r="B22" s="124" t="s">
        <v>140</v>
      </c>
      <c r="C22" s="125" t="s">
        <v>137</v>
      </c>
      <c r="D22" s="125" t="s">
        <v>1047</v>
      </c>
      <c r="E22" s="125" t="str">
        <f t="shared" si="0"/>
        <v>N/A</v>
      </c>
      <c r="F22" s="113" t="str">
        <f>IFERROR(IF(ISNUMBER(D22),D22*E22,"-"),"")</f>
        <v>-</v>
      </c>
      <c r="G22" s="31"/>
    </row>
    <row r="23" spans="1:12" s="8" customFormat="1" ht="25.5" x14ac:dyDescent="0.2">
      <c r="A23" s="124" t="s">
        <v>1246</v>
      </c>
      <c r="B23" s="124" t="s">
        <v>141</v>
      </c>
      <c r="C23" s="125" t="s">
        <v>137</v>
      </c>
      <c r="D23" s="125" t="s">
        <v>1047</v>
      </c>
      <c r="E23" s="125" t="str">
        <f t="shared" si="0"/>
        <v>N/A</v>
      </c>
      <c r="F23" s="113" t="str">
        <f>IFERROR(IF(ISNUMBER(D23),D23*E23,"-"),"")</f>
        <v>-</v>
      </c>
      <c r="G23" s="34"/>
    </row>
    <row r="24" spans="1:12" s="8" customFormat="1" ht="25.5" x14ac:dyDescent="0.2">
      <c r="A24" s="124" t="s">
        <v>1247</v>
      </c>
      <c r="B24" s="124" t="s">
        <v>142</v>
      </c>
      <c r="C24" s="125" t="s">
        <v>143</v>
      </c>
      <c r="D24" s="125">
        <v>120</v>
      </c>
      <c r="E24" s="125" t="str">
        <f t="shared" si="0"/>
        <v/>
      </c>
      <c r="F24" s="113"/>
      <c r="G24" s="31"/>
      <c r="I24" s="154"/>
      <c r="L24" s="31"/>
    </row>
    <row r="25" spans="1:12" s="8" customFormat="1" ht="51" x14ac:dyDescent="0.2">
      <c r="A25" s="124" t="s">
        <v>1248</v>
      </c>
      <c r="B25" s="124" t="s">
        <v>144</v>
      </c>
      <c r="C25" s="125" t="s">
        <v>54</v>
      </c>
      <c r="D25" s="125" t="s">
        <v>1095</v>
      </c>
      <c r="E25" s="125" t="str">
        <f t="shared" si="0"/>
        <v>N/A</v>
      </c>
      <c r="F25" s="113" t="str">
        <f>IFERROR(IF(ISNUMBER(D25),D25*E25,"-"),"")</f>
        <v>-</v>
      </c>
      <c r="G25" s="31"/>
      <c r="J25" s="31"/>
    </row>
    <row r="26" spans="1:12" s="8" customFormat="1" ht="38.25" x14ac:dyDescent="0.2">
      <c r="A26" s="124" t="s">
        <v>1249</v>
      </c>
      <c r="B26" s="124" t="s">
        <v>145</v>
      </c>
      <c r="C26" s="125" t="s">
        <v>146</v>
      </c>
      <c r="D26" s="101" t="s">
        <v>1095</v>
      </c>
      <c r="E26" s="125" t="str">
        <f t="shared" si="0"/>
        <v>N/A</v>
      </c>
      <c r="F26" s="113" t="str">
        <f>IFERROR(IF(ISNUMBER(D26),D26*E26,"-"),"")</f>
        <v>-</v>
      </c>
      <c r="G26" s="31"/>
      <c r="I26" s="154"/>
    </row>
    <row r="27" spans="1:12" s="8" customFormat="1" ht="38.25" x14ac:dyDescent="0.2">
      <c r="A27" s="124" t="s">
        <v>1250</v>
      </c>
      <c r="B27" s="124" t="s">
        <v>1167</v>
      </c>
      <c r="C27" s="125" t="s">
        <v>143</v>
      </c>
      <c r="D27" s="125">
        <v>60</v>
      </c>
      <c r="E27" s="125" t="str">
        <f t="shared" si="0"/>
        <v/>
      </c>
      <c r="F27" s="113"/>
      <c r="G27" s="31"/>
      <c r="I27" s="154"/>
      <c r="L27" s="31"/>
    </row>
    <row r="28" spans="1:12" s="8" customFormat="1" ht="29.1" customHeight="1" x14ac:dyDescent="0.2">
      <c r="A28" s="4"/>
      <c r="B28" s="35" t="s">
        <v>989</v>
      </c>
      <c r="C28" s="125"/>
      <c r="D28" s="125"/>
      <c r="E28" s="24"/>
      <c r="F28" s="113"/>
      <c r="G28" s="31"/>
    </row>
    <row r="29" spans="1:12" s="8" customFormat="1" ht="38.25" x14ac:dyDescent="0.2">
      <c r="A29" s="124" t="s">
        <v>1251</v>
      </c>
      <c r="B29" s="124" t="s">
        <v>147</v>
      </c>
      <c r="C29" s="125" t="s">
        <v>54</v>
      </c>
      <c r="D29" s="125">
        <v>31</v>
      </c>
      <c r="E29" s="137"/>
      <c r="F29" s="113"/>
      <c r="G29" s="31"/>
    </row>
    <row r="30" spans="1:12" s="8" customFormat="1" ht="25.5" x14ac:dyDescent="0.2">
      <c r="A30" s="124" t="s">
        <v>1252</v>
      </c>
      <c r="B30" s="124" t="s">
        <v>148</v>
      </c>
      <c r="C30" s="125" t="s">
        <v>54</v>
      </c>
      <c r="D30" s="125" t="s">
        <v>1047</v>
      </c>
      <c r="E30" s="125" t="str">
        <f t="shared" si="0"/>
        <v>N/A</v>
      </c>
      <c r="F30" s="113" t="str">
        <f>IFERROR(IF(ISNUMBER(D30),D30*E30,"-"),"")</f>
        <v>-</v>
      </c>
      <c r="G30" s="31"/>
      <c r="I30" s="154"/>
    </row>
    <row r="31" spans="1:12" s="8" customFormat="1" ht="63.75" x14ac:dyDescent="0.2">
      <c r="A31" s="124" t="s">
        <v>1253</v>
      </c>
      <c r="B31" s="124" t="s">
        <v>149</v>
      </c>
      <c r="C31" s="125" t="s">
        <v>54</v>
      </c>
      <c r="D31" s="125">
        <v>31</v>
      </c>
      <c r="E31" s="125" t="str">
        <f t="shared" si="0"/>
        <v/>
      </c>
      <c r="F31" s="113"/>
      <c r="G31" s="34"/>
    </row>
    <row r="32" spans="1:12" s="8" customFormat="1" ht="25.5" x14ac:dyDescent="0.2">
      <c r="A32" s="124" t="s">
        <v>1254</v>
      </c>
      <c r="B32" s="124" t="s">
        <v>150</v>
      </c>
      <c r="C32" s="125" t="s">
        <v>143</v>
      </c>
      <c r="D32" s="125">
        <v>4</v>
      </c>
      <c r="E32" s="125" t="str">
        <f t="shared" si="0"/>
        <v/>
      </c>
      <c r="F32" s="113"/>
      <c r="G32" s="31"/>
    </row>
    <row r="33" spans="1:9" s="8" customFormat="1" ht="25.5" x14ac:dyDescent="0.2">
      <c r="A33" s="124" t="s">
        <v>1255</v>
      </c>
      <c r="B33" s="124" t="s">
        <v>151</v>
      </c>
      <c r="C33" s="125" t="s">
        <v>137</v>
      </c>
      <c r="D33" s="125">
        <v>155</v>
      </c>
      <c r="E33" s="125"/>
      <c r="F33" s="113"/>
      <c r="G33" s="31"/>
    </row>
    <row r="34" spans="1:9" s="8" customFormat="1" ht="25.5" x14ac:dyDescent="0.2">
      <c r="A34" s="124" t="s">
        <v>1256</v>
      </c>
      <c r="B34" s="124" t="s">
        <v>152</v>
      </c>
      <c r="C34" s="125" t="s">
        <v>137</v>
      </c>
      <c r="D34" s="125">
        <v>40</v>
      </c>
      <c r="E34" s="125" t="str">
        <f t="shared" si="0"/>
        <v/>
      </c>
      <c r="F34" s="113"/>
      <c r="G34" s="34"/>
    </row>
    <row r="35" spans="1:9" s="8" customFormat="1" ht="37.5" customHeight="1" x14ac:dyDescent="0.2">
      <c r="A35" s="124" t="s">
        <v>1257</v>
      </c>
      <c r="B35" s="124" t="s">
        <v>1172</v>
      </c>
      <c r="C35" s="125" t="s">
        <v>137</v>
      </c>
      <c r="D35" s="125" t="s">
        <v>1047</v>
      </c>
      <c r="E35" s="125" t="str">
        <f t="shared" si="0"/>
        <v>N/A</v>
      </c>
      <c r="F35" s="113" t="str">
        <f>IFERROR(IF(ISNUMBER(D35),D35*E35,"-"),"")</f>
        <v>-</v>
      </c>
      <c r="G35" s="31"/>
    </row>
    <row r="36" spans="1:9" s="8" customFormat="1" ht="38.25" x14ac:dyDescent="0.2">
      <c r="A36" s="124" t="s">
        <v>1258</v>
      </c>
      <c r="B36" s="124" t="s">
        <v>1168</v>
      </c>
      <c r="C36" s="125" t="s">
        <v>153</v>
      </c>
      <c r="D36" s="125">
        <f>D29/2</f>
        <v>15.5</v>
      </c>
      <c r="E36" s="125" t="str">
        <f t="shared" si="0"/>
        <v/>
      </c>
      <c r="F36" s="113"/>
      <c r="G36" s="31"/>
      <c r="I36" s="154"/>
    </row>
    <row r="37" spans="1:9" s="8" customFormat="1" ht="51" x14ac:dyDescent="0.2">
      <c r="A37" s="124" t="s">
        <v>1259</v>
      </c>
      <c r="B37" s="124" t="s">
        <v>154</v>
      </c>
      <c r="C37" s="125" t="s">
        <v>146</v>
      </c>
      <c r="D37" s="114">
        <v>3</v>
      </c>
      <c r="E37" s="125" t="str">
        <f t="shared" si="0"/>
        <v/>
      </c>
      <c r="F37" s="113"/>
      <c r="G37" s="34"/>
      <c r="I37" s="154"/>
    </row>
    <row r="38" spans="1:9" s="8" customFormat="1" ht="39.75" customHeight="1" x14ac:dyDescent="0.2">
      <c r="A38" s="124"/>
      <c r="B38" s="35" t="s">
        <v>155</v>
      </c>
      <c r="C38" s="125"/>
      <c r="D38" s="125"/>
      <c r="E38" s="125"/>
      <c r="F38" s="113"/>
      <c r="G38" s="31"/>
      <c r="I38" s="154"/>
    </row>
    <row r="39" spans="1:9" s="8" customFormat="1" ht="25.5" x14ac:dyDescent="0.2">
      <c r="A39" s="124" t="s">
        <v>1260</v>
      </c>
      <c r="B39" s="124" t="s">
        <v>156</v>
      </c>
      <c r="C39" s="125" t="s">
        <v>157</v>
      </c>
      <c r="D39" s="125" t="s">
        <v>1096</v>
      </c>
      <c r="E39" s="125" t="str">
        <f t="shared" si="0"/>
        <v>N/A</v>
      </c>
      <c r="F39" s="113" t="str">
        <f>IFERROR(IF(ISNUMBER(D39),D39*E39,"-"),"")</f>
        <v>-</v>
      </c>
      <c r="G39" s="34"/>
      <c r="I39" s="154"/>
    </row>
    <row r="40" spans="1:9" s="8" customFormat="1" ht="25.5" x14ac:dyDescent="0.2">
      <c r="A40" s="124" t="s">
        <v>1261</v>
      </c>
      <c r="B40" s="124" t="s">
        <v>158</v>
      </c>
      <c r="C40" s="125" t="s">
        <v>157</v>
      </c>
      <c r="D40" s="125" t="s">
        <v>1097</v>
      </c>
      <c r="E40" s="125" t="str">
        <f t="shared" si="0"/>
        <v>N/A</v>
      </c>
      <c r="F40" s="113" t="str">
        <f>IFERROR(IF(ISNUMBER(D40),D40*E40,"-"),"")</f>
        <v>-</v>
      </c>
      <c r="G40" s="31"/>
    </row>
    <row r="41" spans="1:9" s="8" customFormat="1" ht="25.5" x14ac:dyDescent="0.2">
      <c r="A41" s="124" t="s">
        <v>1262</v>
      </c>
      <c r="B41" s="124" t="s">
        <v>159</v>
      </c>
      <c r="C41" s="125" t="s">
        <v>157</v>
      </c>
      <c r="D41" s="125" t="s">
        <v>1096</v>
      </c>
      <c r="E41" s="125" t="str">
        <f t="shared" si="0"/>
        <v>N/A</v>
      </c>
      <c r="F41" s="113" t="str">
        <f>IFERROR(IF(ISNUMBER(D41),D41*E41,"-"),"")</f>
        <v>-</v>
      </c>
      <c r="G41" s="31"/>
    </row>
    <row r="42" spans="1:9" s="8" customFormat="1" ht="25.5" x14ac:dyDescent="0.2">
      <c r="A42" s="124" t="s">
        <v>1263</v>
      </c>
      <c r="B42" s="124" t="s">
        <v>160</v>
      </c>
      <c r="C42" s="125" t="s">
        <v>54</v>
      </c>
      <c r="D42" s="125" t="s">
        <v>1047</v>
      </c>
      <c r="E42" s="125" t="str">
        <f t="shared" si="0"/>
        <v>N/A</v>
      </c>
      <c r="F42" s="113" t="str">
        <f>IFERROR(IF(ISNUMBER(D42),D42*E42,"-"),"")</f>
        <v>-</v>
      </c>
      <c r="G42" s="31"/>
    </row>
    <row r="43" spans="1:9" s="8" customFormat="1" ht="51" x14ac:dyDescent="0.2">
      <c r="A43" s="124" t="s">
        <v>1264</v>
      </c>
      <c r="B43" s="124" t="s">
        <v>161</v>
      </c>
      <c r="C43" s="125" t="s">
        <v>146</v>
      </c>
      <c r="D43" s="101" t="s">
        <v>1095</v>
      </c>
      <c r="E43" s="125" t="str">
        <f t="shared" si="0"/>
        <v>N/A</v>
      </c>
      <c r="F43" s="113" t="str">
        <f>IFERROR(IF(ISNUMBER(D43),D43*E43,"-"),"")</f>
        <v>-</v>
      </c>
      <c r="G43" s="31"/>
    </row>
    <row r="44" spans="1:9" s="8" customFormat="1" ht="25.5" x14ac:dyDescent="0.2">
      <c r="A44" s="54" t="s">
        <v>1265</v>
      </c>
      <c r="B44" s="54" t="s">
        <v>1022</v>
      </c>
      <c r="C44" s="125" t="s">
        <v>146</v>
      </c>
      <c r="D44" s="24">
        <v>15</v>
      </c>
      <c r="E44" s="44"/>
      <c r="F44" s="113"/>
      <c r="G44" s="31"/>
      <c r="I44" s="153"/>
    </row>
    <row r="45" spans="1:9" ht="12.75" customHeight="1" x14ac:dyDescent="0.2">
      <c r="A45" s="45"/>
      <c r="B45" s="38" t="s">
        <v>162</v>
      </c>
      <c r="C45" s="38"/>
      <c r="D45" s="38"/>
      <c r="E45" s="39"/>
      <c r="F45" s="116"/>
    </row>
  </sheetData>
  <pageMargins left="0.70866141732283472" right="0.70866141732283472" top="0.74803149606299213" bottom="0.74803149606299213" header="0.31496062992125984" footer="0.31496062992125984"/>
  <pageSetup paperSize="9" scale="75" fitToHeight="0" orientation="portrait" r:id="rId1"/>
  <headerFooter>
    <oddHeader>&amp;L&amp;G&amp;R&amp;G</oddHeader>
    <oddFooter>&amp;L&amp;F&amp;R03/12/2020</oddFooter>
    <firstHeader>&amp;L&amp;G&amp;C&amp;F&amp;R&amp;G</firstHeader>
  </headerFooter>
  <rowBreaks count="1" manualBreakCount="1">
    <brk id="24" max="5"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6816F-ECC3-42D4-BA80-DBCD56FC6A03}">
  <dimension ref="A1:L44"/>
  <sheetViews>
    <sheetView view="pageLayout" zoomScaleNormal="100" zoomScaleSheetLayoutView="100" workbookViewId="0">
      <selection activeCell="D24" sqref="D24"/>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23" customWidth="1"/>
    <col min="7" max="7" width="1.5703125" style="21" customWidth="1"/>
    <col min="8" max="16384" width="9.140625" style="16"/>
  </cols>
  <sheetData>
    <row r="1" spans="1:10" s="21" customFormat="1" x14ac:dyDescent="0.2">
      <c r="F1" s="23"/>
    </row>
    <row r="2" spans="1:10" s="21" customFormat="1" x14ac:dyDescent="0.2">
      <c r="A2" s="1" t="s">
        <v>0</v>
      </c>
      <c r="B2" s="1" t="s">
        <v>1</v>
      </c>
      <c r="C2" s="1" t="s">
        <v>2</v>
      </c>
      <c r="D2" s="1" t="s">
        <v>3</v>
      </c>
      <c r="E2" s="1" t="s">
        <v>4</v>
      </c>
      <c r="F2" s="3" t="s">
        <v>5</v>
      </c>
      <c r="G2" s="25"/>
    </row>
    <row r="3" spans="1:10" ht="18" x14ac:dyDescent="0.25">
      <c r="A3" s="40"/>
      <c r="B3" s="140" t="s">
        <v>1058</v>
      </c>
      <c r="C3" s="41"/>
      <c r="D3" s="41"/>
      <c r="E3" s="41" t="s">
        <v>6</v>
      </c>
      <c r="F3" s="42" t="s">
        <v>6</v>
      </c>
    </row>
    <row r="4" spans="1:10" s="43" customFormat="1" ht="38.25" x14ac:dyDescent="0.25">
      <c r="A4" s="26" t="s">
        <v>122</v>
      </c>
      <c r="B4" s="26" t="s">
        <v>123</v>
      </c>
      <c r="C4" s="27"/>
      <c r="D4" s="28"/>
      <c r="E4" s="28"/>
      <c r="F4" s="29"/>
      <c r="G4" s="30"/>
    </row>
    <row r="5" spans="1:10" s="8" customFormat="1" ht="51" x14ac:dyDescent="0.2">
      <c r="A5" s="124" t="s">
        <v>1227</v>
      </c>
      <c r="B5" s="124" t="s">
        <v>124</v>
      </c>
      <c r="C5" s="125" t="s">
        <v>125</v>
      </c>
      <c r="D5" s="125" t="s">
        <v>125</v>
      </c>
      <c r="E5" s="125" t="str">
        <f>IF(ISNUMBER(D5),"","N/A")</f>
        <v>N/A</v>
      </c>
      <c r="F5" s="113" t="str">
        <f>IFERROR(IF(ISNUMBER(D5),D5*E5,"-"),"")</f>
        <v>-</v>
      </c>
      <c r="G5" s="31"/>
    </row>
    <row r="6" spans="1:10" s="8" customFormat="1" ht="51" x14ac:dyDescent="0.2">
      <c r="A6" s="124" t="s">
        <v>1266</v>
      </c>
      <c r="B6" s="124" t="s">
        <v>126</v>
      </c>
      <c r="C6" s="125" t="s">
        <v>54</v>
      </c>
      <c r="D6" s="125" t="s">
        <v>1047</v>
      </c>
      <c r="E6" s="125" t="str">
        <f t="shared" ref="E6:E41" si="0">IF(ISNUMBER(D6),"","N/A")</f>
        <v>N/A</v>
      </c>
      <c r="F6" s="113" t="str">
        <f t="shared" ref="F6:F41" si="1">IFERROR(IF(ISNUMBER(D6),D6*E6,"-"),"")</f>
        <v>-</v>
      </c>
      <c r="G6" s="31"/>
    </row>
    <row r="7" spans="1:10" s="8" customFormat="1" ht="63.75" x14ac:dyDescent="0.2">
      <c r="A7" s="124" t="s">
        <v>1267</v>
      </c>
      <c r="B7" s="124" t="s">
        <v>127</v>
      </c>
      <c r="C7" s="125" t="s">
        <v>54</v>
      </c>
      <c r="D7" s="125" t="s">
        <v>1047</v>
      </c>
      <c r="E7" s="125" t="str">
        <f t="shared" si="0"/>
        <v>N/A</v>
      </c>
      <c r="F7" s="113" t="str">
        <f t="shared" si="1"/>
        <v>-</v>
      </c>
      <c r="G7" s="31"/>
    </row>
    <row r="8" spans="1:10" s="8" customFormat="1" ht="63.75" x14ac:dyDescent="0.2">
      <c r="A8" s="124" t="s">
        <v>1268</v>
      </c>
      <c r="B8" s="124" t="s">
        <v>128</v>
      </c>
      <c r="C8" s="125" t="s">
        <v>54</v>
      </c>
      <c r="D8" s="125">
        <v>2</v>
      </c>
      <c r="E8" s="125"/>
      <c r="F8" s="113"/>
      <c r="G8" s="31"/>
    </row>
    <row r="9" spans="1:10" s="8" customFormat="1" ht="76.5" x14ac:dyDescent="0.2">
      <c r="A9" s="124" t="s">
        <v>1269</v>
      </c>
      <c r="B9" s="124" t="s">
        <v>1084</v>
      </c>
      <c r="C9" s="125" t="s">
        <v>54</v>
      </c>
      <c r="D9" s="125">
        <v>2</v>
      </c>
      <c r="E9" s="125"/>
      <c r="F9" s="113"/>
      <c r="G9" s="31"/>
    </row>
    <row r="10" spans="1:10" s="8" customFormat="1" ht="76.5" x14ac:dyDescent="0.2">
      <c r="A10" s="124" t="s">
        <v>1270</v>
      </c>
      <c r="B10" s="124" t="s">
        <v>129</v>
      </c>
      <c r="C10" s="125" t="s">
        <v>54</v>
      </c>
      <c r="D10" s="125" t="s">
        <v>1047</v>
      </c>
      <c r="E10" s="125" t="str">
        <f t="shared" si="0"/>
        <v>N/A</v>
      </c>
      <c r="F10" s="113" t="str">
        <f>IFERROR(IF(ISNUMBER(D10),D10*E10,"-"),"")</f>
        <v>-</v>
      </c>
      <c r="G10" s="31"/>
    </row>
    <row r="11" spans="1:10" s="8" customFormat="1" ht="51" x14ac:dyDescent="0.2">
      <c r="A11" s="124" t="s">
        <v>1271</v>
      </c>
      <c r="B11" s="124" t="s">
        <v>130</v>
      </c>
      <c r="C11" s="125" t="s">
        <v>131</v>
      </c>
      <c r="D11" s="125" t="s">
        <v>131</v>
      </c>
      <c r="E11" s="125" t="str">
        <f t="shared" si="0"/>
        <v>N/A</v>
      </c>
      <c r="F11" s="113" t="str">
        <f t="shared" si="1"/>
        <v>-</v>
      </c>
      <c r="G11" s="31"/>
      <c r="J11" s="32"/>
    </row>
    <row r="12" spans="1:10" s="8" customFormat="1" ht="25.5" x14ac:dyDescent="0.2">
      <c r="A12" s="124" t="s">
        <v>1272</v>
      </c>
      <c r="B12" s="124" t="s">
        <v>132</v>
      </c>
      <c r="C12" s="125" t="s">
        <v>54</v>
      </c>
      <c r="D12" s="125" t="s">
        <v>1047</v>
      </c>
      <c r="E12" s="125" t="str">
        <f t="shared" si="0"/>
        <v>N/A</v>
      </c>
      <c r="F12" s="113" t="str">
        <f t="shared" si="1"/>
        <v>-</v>
      </c>
      <c r="G12" s="31"/>
    </row>
    <row r="13" spans="1:10" s="8" customFormat="1" ht="25.5" x14ac:dyDescent="0.2">
      <c r="A13" s="124" t="s">
        <v>1273</v>
      </c>
      <c r="B13" s="124" t="s">
        <v>133</v>
      </c>
      <c r="C13" s="125" t="s">
        <v>54</v>
      </c>
      <c r="D13" s="125" t="s">
        <v>1047</v>
      </c>
      <c r="E13" s="125" t="str">
        <f t="shared" si="0"/>
        <v>N/A</v>
      </c>
      <c r="F13" s="113" t="str">
        <f t="shared" si="1"/>
        <v>-</v>
      </c>
      <c r="G13" s="31"/>
    </row>
    <row r="14" spans="1:10" s="8" customFormat="1" ht="64.5" customHeight="1" x14ac:dyDescent="0.2">
      <c r="A14" s="124" t="s">
        <v>1274</v>
      </c>
      <c r="B14" s="124" t="s">
        <v>134</v>
      </c>
      <c r="C14" s="125" t="s">
        <v>54</v>
      </c>
      <c r="D14" s="125" t="s">
        <v>1047</v>
      </c>
      <c r="E14" s="125" t="str">
        <f t="shared" si="0"/>
        <v>N/A</v>
      </c>
      <c r="F14" s="113" t="str">
        <f t="shared" si="1"/>
        <v>-</v>
      </c>
      <c r="G14" s="31"/>
    </row>
    <row r="15" spans="1:10" s="8" customFormat="1" ht="38.25" x14ac:dyDescent="0.2">
      <c r="A15" s="124" t="s">
        <v>1275</v>
      </c>
      <c r="B15" s="124" t="s">
        <v>135</v>
      </c>
      <c r="C15" s="125" t="s">
        <v>146</v>
      </c>
      <c r="D15" s="125" t="s">
        <v>1047</v>
      </c>
      <c r="E15" s="125" t="str">
        <f t="shared" si="0"/>
        <v>N/A</v>
      </c>
      <c r="F15" s="113" t="str">
        <f t="shared" si="1"/>
        <v>-</v>
      </c>
      <c r="G15" s="31"/>
      <c r="J15" s="33"/>
    </row>
    <row r="16" spans="1:10" s="8" customFormat="1" ht="63.75" x14ac:dyDescent="0.2">
      <c r="A16" s="124" t="s">
        <v>1276</v>
      </c>
      <c r="B16" s="124" t="s">
        <v>1086</v>
      </c>
      <c r="C16" s="125" t="s">
        <v>54</v>
      </c>
      <c r="D16" s="125">
        <v>2</v>
      </c>
      <c r="E16" s="125"/>
      <c r="F16" s="113"/>
      <c r="G16" s="31"/>
      <c r="J16" s="33"/>
    </row>
    <row r="17" spans="1:12" s="8" customFormat="1" ht="25.5" x14ac:dyDescent="0.2">
      <c r="A17" s="124" t="s">
        <v>1277</v>
      </c>
      <c r="B17" s="124" t="s">
        <v>136</v>
      </c>
      <c r="C17" s="125" t="s">
        <v>137</v>
      </c>
      <c r="D17" s="125">
        <v>20</v>
      </c>
      <c r="E17" s="125" t="str">
        <f t="shared" si="0"/>
        <v/>
      </c>
      <c r="F17" s="113"/>
      <c r="G17" s="31"/>
    </row>
    <row r="18" spans="1:12" s="8" customFormat="1" ht="25.5" x14ac:dyDescent="0.2">
      <c r="A18" s="124" t="s">
        <v>1278</v>
      </c>
      <c r="B18" s="124" t="s">
        <v>138</v>
      </c>
      <c r="C18" s="125" t="s">
        <v>137</v>
      </c>
      <c r="D18" s="125">
        <v>20</v>
      </c>
      <c r="E18" s="125" t="str">
        <f t="shared" si="0"/>
        <v/>
      </c>
      <c r="F18" s="113"/>
      <c r="G18" s="31"/>
    </row>
    <row r="19" spans="1:12" s="8" customFormat="1" ht="25.5" x14ac:dyDescent="0.2">
      <c r="A19" s="124" t="s">
        <v>1279</v>
      </c>
      <c r="B19" s="124" t="s">
        <v>139</v>
      </c>
      <c r="C19" s="125" t="s">
        <v>137</v>
      </c>
      <c r="D19" s="125" t="s">
        <v>1047</v>
      </c>
      <c r="E19" s="125" t="str">
        <f t="shared" si="0"/>
        <v>N/A</v>
      </c>
      <c r="F19" s="113" t="str">
        <f t="shared" si="1"/>
        <v>-</v>
      </c>
      <c r="G19" s="31"/>
    </row>
    <row r="20" spans="1:12" s="8" customFormat="1" ht="25.5" x14ac:dyDescent="0.2">
      <c r="A20" s="124" t="s">
        <v>1280</v>
      </c>
      <c r="B20" s="124" t="s">
        <v>140</v>
      </c>
      <c r="C20" s="125" t="s">
        <v>137</v>
      </c>
      <c r="D20" s="125" t="s">
        <v>1047</v>
      </c>
      <c r="E20" s="125" t="str">
        <f t="shared" si="0"/>
        <v>N/A</v>
      </c>
      <c r="F20" s="113" t="str">
        <f t="shared" si="1"/>
        <v>-</v>
      </c>
      <c r="G20" s="31"/>
    </row>
    <row r="21" spans="1:12" s="8" customFormat="1" ht="25.5" x14ac:dyDescent="0.2">
      <c r="A21" s="124" t="s">
        <v>1281</v>
      </c>
      <c r="B21" s="124" t="s">
        <v>141</v>
      </c>
      <c r="C21" s="125" t="s">
        <v>137</v>
      </c>
      <c r="D21" s="125" t="s">
        <v>1047</v>
      </c>
      <c r="E21" s="125" t="str">
        <f t="shared" si="0"/>
        <v>N/A</v>
      </c>
      <c r="F21" s="113" t="str">
        <f t="shared" si="1"/>
        <v>-</v>
      </c>
      <c r="G21" s="34"/>
    </row>
    <row r="22" spans="1:12" s="8" customFormat="1" ht="25.5" x14ac:dyDescent="0.2">
      <c r="A22" s="124" t="s">
        <v>1282</v>
      </c>
      <c r="B22" s="124" t="s">
        <v>142</v>
      </c>
      <c r="C22" s="125" t="s">
        <v>143</v>
      </c>
      <c r="D22" s="125">
        <v>2</v>
      </c>
      <c r="E22" s="125" t="str">
        <f t="shared" si="0"/>
        <v/>
      </c>
      <c r="F22" s="113"/>
      <c r="G22" s="31"/>
      <c r="L22" s="31"/>
    </row>
    <row r="23" spans="1:12" s="8" customFormat="1" ht="51" x14ac:dyDescent="0.2">
      <c r="A23" s="124" t="s">
        <v>1283</v>
      </c>
      <c r="B23" s="124" t="s">
        <v>144</v>
      </c>
      <c r="C23" s="125" t="s">
        <v>54</v>
      </c>
      <c r="D23" s="125" t="s">
        <v>1095</v>
      </c>
      <c r="E23" s="125" t="str">
        <f t="shared" si="0"/>
        <v>N/A</v>
      </c>
      <c r="F23" s="113" t="str">
        <f t="shared" si="1"/>
        <v>-</v>
      </c>
      <c r="G23" s="31"/>
      <c r="J23" s="31"/>
    </row>
    <row r="24" spans="1:12" s="8" customFormat="1" ht="38.25" x14ac:dyDescent="0.2">
      <c r="A24" s="124" t="s">
        <v>1284</v>
      </c>
      <c r="B24" s="124" t="s">
        <v>145</v>
      </c>
      <c r="C24" s="125" t="s">
        <v>146</v>
      </c>
      <c r="D24" s="101" t="s">
        <v>1095</v>
      </c>
      <c r="E24" s="125" t="str">
        <f t="shared" si="0"/>
        <v>N/A</v>
      </c>
      <c r="F24" s="113" t="str">
        <f t="shared" si="1"/>
        <v>-</v>
      </c>
      <c r="G24" s="31"/>
    </row>
    <row r="25" spans="1:12" s="8" customFormat="1" ht="38.25" x14ac:dyDescent="0.2">
      <c r="A25" s="124" t="s">
        <v>1285</v>
      </c>
      <c r="B25" s="124" t="s">
        <v>1167</v>
      </c>
      <c r="C25" s="125" t="s">
        <v>143</v>
      </c>
      <c r="D25" s="125">
        <v>2</v>
      </c>
      <c r="E25" s="125" t="str">
        <f t="shared" si="0"/>
        <v/>
      </c>
      <c r="F25" s="113"/>
      <c r="G25" s="31"/>
      <c r="L25" s="31"/>
    </row>
    <row r="26" spans="1:12" s="8" customFormat="1" ht="38.25" x14ac:dyDescent="0.2">
      <c r="A26" s="4"/>
      <c r="B26" s="35" t="s">
        <v>1068</v>
      </c>
      <c r="C26" s="125"/>
      <c r="D26" s="125"/>
      <c r="E26" s="24"/>
      <c r="F26" s="113"/>
      <c r="G26" s="31"/>
    </row>
    <row r="27" spans="1:12" s="8" customFormat="1" ht="38.1" customHeight="1" x14ac:dyDescent="0.2">
      <c r="A27" s="124" t="s">
        <v>1286</v>
      </c>
      <c r="B27" s="124" t="s">
        <v>147</v>
      </c>
      <c r="C27" s="125" t="s">
        <v>54</v>
      </c>
      <c r="D27" s="125">
        <v>119</v>
      </c>
      <c r="E27" s="137"/>
      <c r="F27" s="113"/>
      <c r="G27" s="31"/>
    </row>
    <row r="28" spans="1:12" s="8" customFormat="1" ht="25.5" x14ac:dyDescent="0.2">
      <c r="A28" s="124" t="s">
        <v>1287</v>
      </c>
      <c r="B28" s="124" t="s">
        <v>148</v>
      </c>
      <c r="C28" s="125" t="s">
        <v>54</v>
      </c>
      <c r="D28" s="125" t="s">
        <v>1047</v>
      </c>
      <c r="E28" s="125" t="str">
        <f t="shared" si="0"/>
        <v>N/A</v>
      </c>
      <c r="F28" s="113" t="str">
        <f t="shared" si="1"/>
        <v>-</v>
      </c>
      <c r="G28" s="31"/>
    </row>
    <row r="29" spans="1:12" s="8" customFormat="1" ht="63.75" x14ac:dyDescent="0.2">
      <c r="A29" s="124" t="s">
        <v>1288</v>
      </c>
      <c r="B29" s="124" t="s">
        <v>149</v>
      </c>
      <c r="C29" s="125" t="s">
        <v>54</v>
      </c>
      <c r="D29" s="125">
        <v>119</v>
      </c>
      <c r="E29" s="125" t="str">
        <f t="shared" si="0"/>
        <v/>
      </c>
      <c r="F29" s="113"/>
      <c r="G29" s="34"/>
    </row>
    <row r="30" spans="1:12" s="8" customFormat="1" ht="25.5" x14ac:dyDescent="0.2">
      <c r="A30" s="124" t="s">
        <v>1289</v>
      </c>
      <c r="B30" s="124" t="s">
        <v>150</v>
      </c>
      <c r="C30" s="125" t="s">
        <v>143</v>
      </c>
      <c r="D30" s="125">
        <v>60</v>
      </c>
      <c r="E30" s="125" t="str">
        <f t="shared" si="0"/>
        <v/>
      </c>
      <c r="F30" s="113"/>
      <c r="G30" s="31"/>
    </row>
    <row r="31" spans="1:12" s="8" customFormat="1" ht="25.5" x14ac:dyDescent="0.2">
      <c r="A31" s="124" t="s">
        <v>1290</v>
      </c>
      <c r="B31" s="124" t="s">
        <v>151</v>
      </c>
      <c r="C31" s="125" t="s">
        <v>137</v>
      </c>
      <c r="D31" s="125">
        <v>595</v>
      </c>
      <c r="E31" s="125" t="str">
        <f t="shared" si="0"/>
        <v/>
      </c>
      <c r="F31" s="113"/>
      <c r="G31" s="31"/>
    </row>
    <row r="32" spans="1:12" s="8" customFormat="1" ht="25.5" x14ac:dyDescent="0.2">
      <c r="A32" s="124" t="s">
        <v>1291</v>
      </c>
      <c r="B32" s="124" t="s">
        <v>152</v>
      </c>
      <c r="C32" s="125" t="s">
        <v>137</v>
      </c>
      <c r="D32" s="125">
        <v>70</v>
      </c>
      <c r="E32" s="125" t="str">
        <f t="shared" si="0"/>
        <v/>
      </c>
      <c r="F32" s="113"/>
      <c r="G32" s="34"/>
    </row>
    <row r="33" spans="1:9" s="8" customFormat="1" ht="37.5" customHeight="1" x14ac:dyDescent="0.2">
      <c r="A33" s="124" t="s">
        <v>1292</v>
      </c>
      <c r="B33" s="124" t="s">
        <v>1172</v>
      </c>
      <c r="C33" s="125" t="s">
        <v>137</v>
      </c>
      <c r="D33" s="125" t="s">
        <v>1047</v>
      </c>
      <c r="E33" s="125" t="str">
        <f t="shared" si="0"/>
        <v>N/A</v>
      </c>
      <c r="F33" s="113" t="str">
        <f t="shared" si="1"/>
        <v>-</v>
      </c>
      <c r="G33" s="31"/>
    </row>
    <row r="34" spans="1:9" s="8" customFormat="1" ht="38.25" x14ac:dyDescent="0.2">
      <c r="A34" s="124" t="s">
        <v>1293</v>
      </c>
      <c r="B34" s="124" t="s">
        <v>1168</v>
      </c>
      <c r="C34" s="125" t="s">
        <v>153</v>
      </c>
      <c r="D34" s="114">
        <f>D27/2</f>
        <v>59.5</v>
      </c>
      <c r="E34" s="125" t="str">
        <f t="shared" si="0"/>
        <v/>
      </c>
      <c r="F34" s="113"/>
      <c r="G34" s="31"/>
      <c r="I34" s="142"/>
    </row>
    <row r="35" spans="1:9" s="8" customFormat="1" ht="51" x14ac:dyDescent="0.2">
      <c r="A35" s="124" t="s">
        <v>1294</v>
      </c>
      <c r="B35" s="124" t="s">
        <v>154</v>
      </c>
      <c r="C35" s="125" t="s">
        <v>146</v>
      </c>
      <c r="D35" s="114">
        <v>25</v>
      </c>
      <c r="E35" s="125" t="str">
        <f t="shared" si="0"/>
        <v/>
      </c>
      <c r="F35" s="113"/>
      <c r="G35" s="34"/>
    </row>
    <row r="36" spans="1:9" s="8" customFormat="1" ht="39.75" customHeight="1" x14ac:dyDescent="0.2">
      <c r="A36" s="124"/>
      <c r="B36" s="35" t="s">
        <v>155</v>
      </c>
      <c r="C36" s="125"/>
      <c r="D36" s="125"/>
      <c r="E36" s="125"/>
      <c r="F36" s="113"/>
      <c r="G36" s="31"/>
    </row>
    <row r="37" spans="1:9" s="8" customFormat="1" ht="25.5" x14ac:dyDescent="0.2">
      <c r="A37" s="124" t="s">
        <v>1295</v>
      </c>
      <c r="B37" s="124" t="s">
        <v>156</v>
      </c>
      <c r="C37" s="125" t="s">
        <v>157</v>
      </c>
      <c r="D37" s="125" t="s">
        <v>1096</v>
      </c>
      <c r="E37" s="125" t="str">
        <f t="shared" si="0"/>
        <v>N/A</v>
      </c>
      <c r="F37" s="113" t="str">
        <f t="shared" si="1"/>
        <v>-</v>
      </c>
      <c r="G37" s="34"/>
    </row>
    <row r="38" spans="1:9" s="8" customFormat="1" ht="25.5" x14ac:dyDescent="0.2">
      <c r="A38" s="124" t="s">
        <v>1296</v>
      </c>
      <c r="B38" s="124" t="s">
        <v>158</v>
      </c>
      <c r="C38" s="125" t="s">
        <v>157</v>
      </c>
      <c r="D38" s="125" t="s">
        <v>1097</v>
      </c>
      <c r="E38" s="125" t="str">
        <f t="shared" si="0"/>
        <v>N/A</v>
      </c>
      <c r="F38" s="113" t="str">
        <f t="shared" si="1"/>
        <v>-</v>
      </c>
      <c r="G38" s="31"/>
    </row>
    <row r="39" spans="1:9" s="8" customFormat="1" ht="25.5" x14ac:dyDescent="0.2">
      <c r="A39" s="124" t="s">
        <v>1297</v>
      </c>
      <c r="B39" s="124" t="s">
        <v>159</v>
      </c>
      <c r="C39" s="125" t="s">
        <v>157</v>
      </c>
      <c r="D39" s="125" t="s">
        <v>1096</v>
      </c>
      <c r="E39" s="125" t="str">
        <f t="shared" si="0"/>
        <v>N/A</v>
      </c>
      <c r="F39" s="113" t="str">
        <f t="shared" si="1"/>
        <v>-</v>
      </c>
      <c r="G39" s="31"/>
    </row>
    <row r="40" spans="1:9" s="8" customFormat="1" ht="25.5" x14ac:dyDescent="0.2">
      <c r="A40" s="124" t="s">
        <v>1298</v>
      </c>
      <c r="B40" s="124" t="s">
        <v>160</v>
      </c>
      <c r="C40" s="125" t="s">
        <v>54</v>
      </c>
      <c r="D40" s="125" t="s">
        <v>1047</v>
      </c>
      <c r="E40" s="125" t="str">
        <f t="shared" si="0"/>
        <v>N/A</v>
      </c>
      <c r="F40" s="113" t="str">
        <f t="shared" si="1"/>
        <v>-</v>
      </c>
      <c r="G40" s="31"/>
    </row>
    <row r="41" spans="1:9" s="8" customFormat="1" ht="51" x14ac:dyDescent="0.2">
      <c r="A41" s="124" t="s">
        <v>1299</v>
      </c>
      <c r="B41" s="124" t="s">
        <v>161</v>
      </c>
      <c r="C41" s="125" t="s">
        <v>146</v>
      </c>
      <c r="D41" s="101" t="s">
        <v>1095</v>
      </c>
      <c r="E41" s="125" t="str">
        <f t="shared" si="0"/>
        <v>N/A</v>
      </c>
      <c r="F41" s="113" t="str">
        <f t="shared" si="1"/>
        <v>-</v>
      </c>
      <c r="G41" s="31"/>
    </row>
    <row r="42" spans="1:9" s="8" customFormat="1" ht="25.5" x14ac:dyDescent="0.2">
      <c r="A42" s="54" t="s">
        <v>1300</v>
      </c>
      <c r="B42" s="54" t="s">
        <v>1022</v>
      </c>
      <c r="C42" s="125" t="s">
        <v>146</v>
      </c>
      <c r="D42" s="24">
        <v>15</v>
      </c>
      <c r="E42" s="44"/>
      <c r="F42" s="113"/>
      <c r="G42" s="31"/>
    </row>
    <row r="43" spans="1:9" s="8" customFormat="1" ht="63.75" x14ac:dyDescent="0.2">
      <c r="A43" s="124" t="s">
        <v>1301</v>
      </c>
      <c r="B43" s="124" t="s">
        <v>1205</v>
      </c>
      <c r="C43" s="125" t="s">
        <v>54</v>
      </c>
      <c r="D43" s="125">
        <v>121</v>
      </c>
      <c r="E43" s="125"/>
      <c r="F43" s="113"/>
      <c r="G43" s="31"/>
      <c r="H43" s="16"/>
    </row>
    <row r="44" spans="1:9" ht="12.75" customHeight="1" x14ac:dyDescent="0.2">
      <c r="A44" s="45"/>
      <c r="B44" s="38" t="s">
        <v>1056</v>
      </c>
      <c r="C44" s="38"/>
      <c r="D44" s="38"/>
      <c r="E44" s="39"/>
      <c r="F44" s="11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rowBreaks count="1" manualBreakCount="1">
    <brk id="24" max="5"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FF05-3D94-4BEA-AF3B-59AB52612154}">
  <dimension ref="A2:I119"/>
  <sheetViews>
    <sheetView view="pageLayout" topLeftCell="A88"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23" customWidth="1"/>
    <col min="7" max="7" width="1.5703125" style="21" customWidth="1"/>
    <col min="8" max="16384" width="9.140625" style="16"/>
  </cols>
  <sheetData>
    <row r="2" spans="1:7" x14ac:dyDescent="0.2">
      <c r="A2" s="1" t="s">
        <v>0</v>
      </c>
      <c r="B2" s="1" t="s">
        <v>1</v>
      </c>
      <c r="C2" s="1" t="s">
        <v>2</v>
      </c>
      <c r="D2" s="1" t="s">
        <v>3</v>
      </c>
      <c r="E2" s="1" t="s">
        <v>4</v>
      </c>
      <c r="F2" s="3" t="s">
        <v>5</v>
      </c>
      <c r="G2" s="25"/>
    </row>
    <row r="3" spans="1:7" ht="18" x14ac:dyDescent="0.25">
      <c r="A3" s="40"/>
      <c r="B3" s="140" t="s">
        <v>1057</v>
      </c>
      <c r="C3" s="41"/>
      <c r="D3" s="41"/>
      <c r="E3" s="41" t="s">
        <v>6</v>
      </c>
      <c r="F3" s="20" t="s">
        <v>6</v>
      </c>
    </row>
    <row r="4" spans="1:7" x14ac:dyDescent="0.2">
      <c r="A4" s="45" t="s">
        <v>163</v>
      </c>
      <c r="B4" s="46" t="s">
        <v>164</v>
      </c>
      <c r="C4" s="47"/>
      <c r="D4" s="47"/>
      <c r="E4" s="47"/>
      <c r="F4" s="48"/>
      <c r="G4" s="49"/>
    </row>
    <row r="5" spans="1:7" x14ac:dyDescent="0.2">
      <c r="A5" s="45"/>
      <c r="B5" s="46" t="s">
        <v>165</v>
      </c>
      <c r="C5" s="47"/>
      <c r="D5" s="47"/>
      <c r="E5" s="47"/>
      <c r="F5" s="48"/>
      <c r="G5" s="49"/>
    </row>
    <row r="6" spans="1:7" s="8" customFormat="1" ht="25.5" x14ac:dyDescent="0.2">
      <c r="A6" s="124" t="s">
        <v>1396</v>
      </c>
      <c r="B6" s="124" t="s">
        <v>166</v>
      </c>
      <c r="C6" s="125" t="s">
        <v>54</v>
      </c>
      <c r="D6" s="125" t="s">
        <v>1047</v>
      </c>
      <c r="E6" s="125" t="str">
        <f>IF(ISNUMBER(D6),"","N/A")</f>
        <v>N/A</v>
      </c>
      <c r="F6" s="113" t="str">
        <f>IFERROR(IF(ISNUMBER(D6),D6*E6,"-"),"")</f>
        <v>-</v>
      </c>
      <c r="G6" s="31"/>
    </row>
    <row r="7" spans="1:7" s="8" customFormat="1" ht="25.5" x14ac:dyDescent="0.2">
      <c r="A7" s="124" t="s">
        <v>1397</v>
      </c>
      <c r="B7" s="124" t="s">
        <v>167</v>
      </c>
      <c r="C7" s="125" t="s">
        <v>137</v>
      </c>
      <c r="D7" s="125" t="s">
        <v>1047</v>
      </c>
      <c r="E7" s="125" t="str">
        <f t="shared" ref="E7:E76" si="0">IF(ISNUMBER(D7),"","N/A")</f>
        <v>N/A</v>
      </c>
      <c r="F7" s="113" t="str">
        <f t="shared" ref="F7:F76" si="1">IFERROR(IF(ISNUMBER(D7),D7*E7,"-"),"")</f>
        <v>-</v>
      </c>
      <c r="G7" s="31"/>
    </row>
    <row r="8" spans="1:7" s="8" customFormat="1" ht="25.5" x14ac:dyDescent="0.2">
      <c r="A8" s="124" t="s">
        <v>1398</v>
      </c>
      <c r="B8" s="124" t="s">
        <v>168</v>
      </c>
      <c r="C8" s="125" t="s">
        <v>137</v>
      </c>
      <c r="D8" s="125" t="s">
        <v>1047</v>
      </c>
      <c r="E8" s="125" t="str">
        <f t="shared" si="0"/>
        <v>N/A</v>
      </c>
      <c r="F8" s="113" t="str">
        <f t="shared" si="1"/>
        <v>-</v>
      </c>
      <c r="G8" s="31"/>
    </row>
    <row r="9" spans="1:7" s="8" customFormat="1" ht="38.25" x14ac:dyDescent="0.2">
      <c r="A9" s="124" t="s">
        <v>1399</v>
      </c>
      <c r="B9" s="124" t="s">
        <v>1173</v>
      </c>
      <c r="C9" s="125" t="s">
        <v>143</v>
      </c>
      <c r="D9" s="125" t="s">
        <v>1047</v>
      </c>
      <c r="E9" s="125" t="str">
        <f t="shared" si="0"/>
        <v>N/A</v>
      </c>
      <c r="F9" s="113" t="str">
        <f t="shared" si="1"/>
        <v>-</v>
      </c>
      <c r="G9" s="31"/>
    </row>
    <row r="10" spans="1:7" s="8" customFormat="1" ht="51" x14ac:dyDescent="0.2">
      <c r="A10" s="124" t="s">
        <v>1400</v>
      </c>
      <c r="B10" s="124" t="s">
        <v>169</v>
      </c>
      <c r="C10" s="125" t="s">
        <v>170</v>
      </c>
      <c r="D10" s="125" t="s">
        <v>1047</v>
      </c>
      <c r="E10" s="125" t="str">
        <f t="shared" si="0"/>
        <v>N/A</v>
      </c>
      <c r="F10" s="113" t="str">
        <f t="shared" si="1"/>
        <v>-</v>
      </c>
      <c r="G10" s="31"/>
    </row>
    <row r="11" spans="1:7" s="8" customFormat="1" ht="38.25" x14ac:dyDescent="0.2">
      <c r="A11" s="124" t="s">
        <v>1401</v>
      </c>
      <c r="B11" s="124" t="s">
        <v>171</v>
      </c>
      <c r="C11" s="125" t="s">
        <v>137</v>
      </c>
      <c r="D11" s="125" t="s">
        <v>1047</v>
      </c>
      <c r="E11" s="125" t="str">
        <f t="shared" si="0"/>
        <v>N/A</v>
      </c>
      <c r="F11" s="113" t="str">
        <f t="shared" si="1"/>
        <v>-</v>
      </c>
      <c r="G11" s="31"/>
    </row>
    <row r="12" spans="1:7" s="8" customFormat="1" x14ac:dyDescent="0.2">
      <c r="A12" s="124"/>
      <c r="B12" s="124"/>
      <c r="C12" s="125"/>
      <c r="D12" s="125"/>
      <c r="E12" s="125"/>
      <c r="F12" s="113"/>
      <c r="G12" s="31"/>
    </row>
    <row r="13" spans="1:7" s="8" customFormat="1" ht="25.5" x14ac:dyDescent="0.2">
      <c r="A13" s="124"/>
      <c r="B13" s="35" t="s">
        <v>172</v>
      </c>
      <c r="C13" s="125"/>
      <c r="D13" s="125"/>
      <c r="E13" s="125"/>
      <c r="F13" s="113"/>
      <c r="G13" s="31"/>
    </row>
    <row r="14" spans="1:7" s="8" customFormat="1" ht="38.25" x14ac:dyDescent="0.2">
      <c r="A14" s="124" t="s">
        <v>1402</v>
      </c>
      <c r="B14" s="124" t="s">
        <v>173</v>
      </c>
      <c r="C14" s="125" t="s">
        <v>54</v>
      </c>
      <c r="D14" s="125" t="s">
        <v>1047</v>
      </c>
      <c r="E14" s="125" t="str">
        <f t="shared" si="0"/>
        <v>N/A</v>
      </c>
      <c r="F14" s="113" t="str">
        <f t="shared" si="1"/>
        <v>-</v>
      </c>
      <c r="G14" s="31"/>
    </row>
    <row r="15" spans="1:7" s="8" customFormat="1" ht="63.75" x14ac:dyDescent="0.2">
      <c r="A15" s="124" t="s">
        <v>1403</v>
      </c>
      <c r="B15" s="124" t="s">
        <v>174</v>
      </c>
      <c r="C15" s="125" t="s">
        <v>54</v>
      </c>
      <c r="D15" s="125" t="s">
        <v>1047</v>
      </c>
      <c r="E15" s="125" t="str">
        <f t="shared" si="0"/>
        <v>N/A</v>
      </c>
      <c r="F15" s="113" t="str">
        <f t="shared" si="1"/>
        <v>-</v>
      </c>
      <c r="G15" s="31"/>
    </row>
    <row r="16" spans="1:7" s="8" customFormat="1" ht="25.5" x14ac:dyDescent="0.2">
      <c r="A16" s="124" t="s">
        <v>1404</v>
      </c>
      <c r="B16" s="124" t="s">
        <v>175</v>
      </c>
      <c r="C16" s="125" t="s">
        <v>54</v>
      </c>
      <c r="D16" s="125" t="s">
        <v>1047</v>
      </c>
      <c r="E16" s="125" t="str">
        <f t="shared" si="0"/>
        <v>N/A</v>
      </c>
      <c r="F16" s="113" t="str">
        <f t="shared" si="1"/>
        <v>-</v>
      </c>
      <c r="G16" s="31"/>
    </row>
    <row r="17" spans="1:7" s="8" customFormat="1" ht="38.25" x14ac:dyDescent="0.2">
      <c r="A17" s="124" t="s">
        <v>1405</v>
      </c>
      <c r="B17" s="124" t="s">
        <v>176</v>
      </c>
      <c r="C17" s="125" t="s">
        <v>146</v>
      </c>
      <c r="D17" s="114" t="s">
        <v>1047</v>
      </c>
      <c r="E17" s="125" t="str">
        <f t="shared" si="0"/>
        <v>N/A</v>
      </c>
      <c r="F17" s="113" t="str">
        <f t="shared" si="1"/>
        <v>-</v>
      </c>
      <c r="G17" s="31"/>
    </row>
    <row r="18" spans="1:7" s="8" customFormat="1" ht="38.25" x14ac:dyDescent="0.2">
      <c r="A18" s="124" t="s">
        <v>1406</v>
      </c>
      <c r="B18" s="124" t="s">
        <v>1222</v>
      </c>
      <c r="C18" s="125" t="s">
        <v>143</v>
      </c>
      <c r="D18" s="125" t="s">
        <v>1047</v>
      </c>
      <c r="E18" s="125" t="str">
        <f t="shared" si="0"/>
        <v>N/A</v>
      </c>
      <c r="F18" s="113" t="str">
        <f t="shared" si="1"/>
        <v>-</v>
      </c>
      <c r="G18" s="31"/>
    </row>
    <row r="19" spans="1:7" s="8" customFormat="1" ht="38.25" x14ac:dyDescent="0.2">
      <c r="A19" s="124" t="s">
        <v>1407</v>
      </c>
      <c r="B19" s="124" t="s">
        <v>177</v>
      </c>
      <c r="C19" s="125" t="s">
        <v>137</v>
      </c>
      <c r="D19" s="125" t="s">
        <v>1047</v>
      </c>
      <c r="E19" s="125" t="str">
        <f t="shared" si="0"/>
        <v>N/A</v>
      </c>
      <c r="F19" s="113" t="str">
        <f t="shared" si="1"/>
        <v>-</v>
      </c>
      <c r="G19" s="31"/>
    </row>
    <row r="20" spans="1:7" s="8" customFormat="1" ht="25.5" x14ac:dyDescent="0.2">
      <c r="A20" s="124" t="s">
        <v>1408</v>
      </c>
      <c r="B20" s="124" t="s">
        <v>178</v>
      </c>
      <c r="C20" s="125" t="s">
        <v>137</v>
      </c>
      <c r="D20" s="125" t="s">
        <v>1047</v>
      </c>
      <c r="E20" s="125" t="str">
        <f t="shared" si="0"/>
        <v>N/A</v>
      </c>
      <c r="F20" s="113" t="str">
        <f t="shared" si="1"/>
        <v>-</v>
      </c>
      <c r="G20" s="31"/>
    </row>
    <row r="21" spans="1:7" s="8" customFormat="1" ht="25.5" x14ac:dyDescent="0.2">
      <c r="A21" s="124" t="s">
        <v>1409</v>
      </c>
      <c r="B21" s="124" t="s">
        <v>179</v>
      </c>
      <c r="C21" s="125" t="s">
        <v>137</v>
      </c>
      <c r="D21" s="125" t="s">
        <v>1047</v>
      </c>
      <c r="E21" s="125" t="str">
        <f t="shared" si="0"/>
        <v>N/A</v>
      </c>
      <c r="F21" s="113" t="str">
        <f t="shared" si="1"/>
        <v>-</v>
      </c>
      <c r="G21" s="31"/>
    </row>
    <row r="22" spans="1:7" s="8" customFormat="1" ht="38.25" x14ac:dyDescent="0.2">
      <c r="A22" s="124" t="s">
        <v>1410</v>
      </c>
      <c r="B22" s="124" t="s">
        <v>1210</v>
      </c>
      <c r="C22" s="125" t="s">
        <v>137</v>
      </c>
      <c r="D22" s="125" t="s">
        <v>1047</v>
      </c>
      <c r="E22" s="125" t="str">
        <f t="shared" si="0"/>
        <v>N/A</v>
      </c>
      <c r="F22" s="113" t="str">
        <f t="shared" si="1"/>
        <v>-</v>
      </c>
      <c r="G22" s="31"/>
    </row>
    <row r="23" spans="1:7" s="8" customFormat="1" x14ac:dyDescent="0.2">
      <c r="A23" s="124"/>
      <c r="B23" s="124"/>
      <c r="C23" s="125"/>
      <c r="D23" s="125"/>
      <c r="E23" s="125"/>
      <c r="F23" s="113"/>
      <c r="G23" s="31"/>
    </row>
    <row r="24" spans="1:7" s="8" customFormat="1" ht="25.5" x14ac:dyDescent="0.2">
      <c r="A24" s="124"/>
      <c r="B24" s="35" t="s">
        <v>180</v>
      </c>
      <c r="C24" s="125"/>
      <c r="D24" s="125"/>
      <c r="E24" s="125"/>
      <c r="F24" s="113"/>
      <c r="G24" s="31"/>
    </row>
    <row r="25" spans="1:7" s="8" customFormat="1" ht="51" x14ac:dyDescent="0.2">
      <c r="A25" s="124" t="s">
        <v>1411</v>
      </c>
      <c r="B25" s="124" t="s">
        <v>181</v>
      </c>
      <c r="C25" s="125" t="s">
        <v>54</v>
      </c>
      <c r="D25" s="125" t="s">
        <v>1098</v>
      </c>
      <c r="E25" s="125" t="str">
        <f t="shared" si="0"/>
        <v>N/A</v>
      </c>
      <c r="F25" s="113" t="str">
        <f t="shared" si="1"/>
        <v>-</v>
      </c>
      <c r="G25" s="31"/>
    </row>
    <row r="26" spans="1:7" s="8" customFormat="1" ht="51" x14ac:dyDescent="0.2">
      <c r="A26" s="124" t="s">
        <v>1412</v>
      </c>
      <c r="B26" s="124" t="s">
        <v>1109</v>
      </c>
      <c r="C26" s="125" t="s">
        <v>54</v>
      </c>
      <c r="D26" s="125">
        <v>60</v>
      </c>
      <c r="E26" s="125"/>
      <c r="F26" s="113"/>
      <c r="G26" s="31"/>
    </row>
    <row r="27" spans="1:7" s="8" customFormat="1" ht="63.75" x14ac:dyDescent="0.2">
      <c r="A27" s="124" t="s">
        <v>1413</v>
      </c>
      <c r="B27" s="124" t="s">
        <v>182</v>
      </c>
      <c r="C27" s="125" t="s">
        <v>54</v>
      </c>
      <c r="D27" s="125" t="s">
        <v>1047</v>
      </c>
      <c r="E27" s="125" t="str">
        <f t="shared" si="0"/>
        <v>N/A</v>
      </c>
      <c r="F27" s="113" t="str">
        <f t="shared" si="1"/>
        <v>-</v>
      </c>
      <c r="G27" s="31"/>
    </row>
    <row r="28" spans="1:7" s="8" customFormat="1" ht="51" x14ac:dyDescent="0.2">
      <c r="A28" s="124" t="s">
        <v>1414</v>
      </c>
      <c r="B28" s="124" t="s">
        <v>183</v>
      </c>
      <c r="C28" s="125" t="s">
        <v>54</v>
      </c>
      <c r="D28" s="125">
        <v>3</v>
      </c>
      <c r="E28" s="125" t="str">
        <f t="shared" si="0"/>
        <v/>
      </c>
      <c r="F28" s="113" t="str">
        <f t="shared" si="1"/>
        <v/>
      </c>
      <c r="G28" s="31"/>
    </row>
    <row r="29" spans="1:7" s="8" customFormat="1" ht="63.75" x14ac:dyDescent="0.2">
      <c r="A29" s="124" t="s">
        <v>1415</v>
      </c>
      <c r="B29" s="124" t="s">
        <v>184</v>
      </c>
      <c r="C29" s="125" t="s">
        <v>54</v>
      </c>
      <c r="D29" s="125" t="s">
        <v>1047</v>
      </c>
      <c r="E29" s="125" t="str">
        <f t="shared" si="0"/>
        <v>N/A</v>
      </c>
      <c r="F29" s="113" t="str">
        <f t="shared" si="1"/>
        <v>-</v>
      </c>
      <c r="G29" s="31"/>
    </row>
    <row r="30" spans="1:7" s="8" customFormat="1" ht="76.5" x14ac:dyDescent="0.2">
      <c r="A30" s="124" t="s">
        <v>1416</v>
      </c>
      <c r="B30" s="124" t="s">
        <v>1104</v>
      </c>
      <c r="C30" s="125" t="s">
        <v>54</v>
      </c>
      <c r="D30" s="125">
        <v>63</v>
      </c>
      <c r="E30" s="125"/>
      <c r="F30" s="113"/>
      <c r="G30" s="161"/>
    </row>
    <row r="31" spans="1:7" s="8" customFormat="1" ht="76.5" x14ac:dyDescent="0.2">
      <c r="A31" s="124" t="s">
        <v>1417</v>
      </c>
      <c r="B31" s="124" t="s">
        <v>185</v>
      </c>
      <c r="C31" s="125" t="s">
        <v>54</v>
      </c>
      <c r="D31" s="125" t="s">
        <v>1047</v>
      </c>
      <c r="E31" s="125" t="str">
        <f t="shared" si="0"/>
        <v>N/A</v>
      </c>
      <c r="F31" s="113" t="str">
        <f t="shared" si="1"/>
        <v>-</v>
      </c>
      <c r="G31" s="31"/>
    </row>
    <row r="32" spans="1:7" s="8" customFormat="1" ht="35.1" customHeight="1" x14ac:dyDescent="0.2">
      <c r="A32" s="124" t="s">
        <v>1418</v>
      </c>
      <c r="B32" s="124" t="s">
        <v>186</v>
      </c>
      <c r="C32" s="125" t="s">
        <v>54</v>
      </c>
      <c r="D32" s="125" t="s">
        <v>1047</v>
      </c>
      <c r="E32" s="125" t="str">
        <f t="shared" si="0"/>
        <v>N/A</v>
      </c>
      <c r="F32" s="113" t="str">
        <f t="shared" si="1"/>
        <v>-</v>
      </c>
      <c r="G32" s="31"/>
    </row>
    <row r="33" spans="1:9" s="8" customFormat="1" ht="25.5" x14ac:dyDescent="0.2">
      <c r="A33" s="124" t="s">
        <v>1419</v>
      </c>
      <c r="B33" s="124" t="s">
        <v>187</v>
      </c>
      <c r="C33" s="125" t="s">
        <v>54</v>
      </c>
      <c r="D33" s="125" t="s">
        <v>1047</v>
      </c>
      <c r="E33" s="125" t="str">
        <f t="shared" si="0"/>
        <v>N/A</v>
      </c>
      <c r="F33" s="113" t="str">
        <f t="shared" si="1"/>
        <v>-</v>
      </c>
      <c r="G33" s="31"/>
    </row>
    <row r="34" spans="1:9" s="8" customFormat="1" ht="38.25" x14ac:dyDescent="0.2">
      <c r="A34" s="124" t="s">
        <v>1420</v>
      </c>
      <c r="B34" s="124" t="s">
        <v>188</v>
      </c>
      <c r="C34" s="125" t="s">
        <v>146</v>
      </c>
      <c r="D34" s="114">
        <v>3.5</v>
      </c>
      <c r="E34" s="125" t="str">
        <f t="shared" si="0"/>
        <v/>
      </c>
      <c r="F34" s="113"/>
      <c r="G34" s="31"/>
      <c r="I34" s="31"/>
    </row>
    <row r="35" spans="1:9" s="8" customFormat="1" ht="38.25" x14ac:dyDescent="0.2">
      <c r="A35" s="124" t="s">
        <v>1421</v>
      </c>
      <c r="B35" s="124" t="s">
        <v>1169</v>
      </c>
      <c r="C35" s="125" t="s">
        <v>143</v>
      </c>
      <c r="D35" s="114">
        <v>63</v>
      </c>
      <c r="E35" s="125" t="str">
        <f t="shared" si="0"/>
        <v/>
      </c>
      <c r="F35" s="113"/>
      <c r="G35" s="31"/>
      <c r="I35" s="142"/>
    </row>
    <row r="36" spans="1:9" s="8" customFormat="1" ht="38.25" x14ac:dyDescent="0.2">
      <c r="A36" s="124" t="s">
        <v>1422</v>
      </c>
      <c r="B36" s="124" t="s">
        <v>189</v>
      </c>
      <c r="C36" s="125" t="s">
        <v>54</v>
      </c>
      <c r="D36" s="125" t="s">
        <v>1047</v>
      </c>
      <c r="E36" s="125" t="str">
        <f t="shared" si="0"/>
        <v>N/A</v>
      </c>
      <c r="F36" s="113" t="str">
        <f t="shared" si="1"/>
        <v>-</v>
      </c>
      <c r="G36" s="31"/>
    </row>
    <row r="37" spans="1:9" s="8" customFormat="1" x14ac:dyDescent="0.2">
      <c r="A37" s="124"/>
      <c r="B37" s="124"/>
      <c r="C37" s="125"/>
      <c r="D37" s="125"/>
      <c r="E37" s="125"/>
      <c r="F37" s="113"/>
      <c r="G37" s="31"/>
    </row>
    <row r="38" spans="1:9" s="8" customFormat="1" x14ac:dyDescent="0.2">
      <c r="A38" s="124"/>
      <c r="B38" s="35" t="s">
        <v>190</v>
      </c>
      <c r="C38" s="151"/>
      <c r="D38" s="125"/>
      <c r="E38" s="125"/>
      <c r="F38" s="113"/>
      <c r="G38" s="31"/>
    </row>
    <row r="39" spans="1:9" s="8" customFormat="1" ht="51" x14ac:dyDescent="0.2">
      <c r="A39" s="124" t="s">
        <v>1423</v>
      </c>
      <c r="B39" s="124" t="s">
        <v>1209</v>
      </c>
      <c r="C39" s="125" t="s">
        <v>137</v>
      </c>
      <c r="D39" s="125" t="s">
        <v>1047</v>
      </c>
      <c r="E39" s="125" t="str">
        <f t="shared" si="0"/>
        <v>N/A</v>
      </c>
      <c r="F39" s="113" t="str">
        <f t="shared" si="1"/>
        <v>-</v>
      </c>
      <c r="G39" s="31"/>
    </row>
    <row r="40" spans="1:9" s="8" customFormat="1" ht="25.5" x14ac:dyDescent="0.2">
      <c r="A40" s="124" t="s">
        <v>1424</v>
      </c>
      <c r="B40" s="124" t="s">
        <v>191</v>
      </c>
      <c r="C40" s="125" t="s">
        <v>137</v>
      </c>
      <c r="D40" s="125" t="s">
        <v>1047</v>
      </c>
      <c r="E40" s="125" t="str">
        <f t="shared" si="0"/>
        <v>N/A</v>
      </c>
      <c r="F40" s="113" t="str">
        <f t="shared" si="1"/>
        <v>-</v>
      </c>
      <c r="G40" s="31"/>
    </row>
    <row r="41" spans="1:9" s="8" customFormat="1" ht="25.5" x14ac:dyDescent="0.2">
      <c r="A41" s="124" t="s">
        <v>1425</v>
      </c>
      <c r="B41" s="124" t="s">
        <v>192</v>
      </c>
      <c r="C41" s="125" t="s">
        <v>137</v>
      </c>
      <c r="D41" s="125" t="s">
        <v>1047</v>
      </c>
      <c r="E41" s="125" t="str">
        <f t="shared" si="0"/>
        <v>N/A</v>
      </c>
      <c r="F41" s="113" t="str">
        <f t="shared" si="1"/>
        <v>-</v>
      </c>
      <c r="G41" s="31"/>
    </row>
    <row r="42" spans="1:9" s="8" customFormat="1" ht="25.5" x14ac:dyDescent="0.2">
      <c r="A42" s="124" t="s">
        <v>1426</v>
      </c>
      <c r="B42" s="124" t="s">
        <v>193</v>
      </c>
      <c r="C42" s="125" t="s">
        <v>137</v>
      </c>
      <c r="D42" s="125" t="s">
        <v>1047</v>
      </c>
      <c r="E42" s="125" t="str">
        <f t="shared" si="0"/>
        <v>N/A</v>
      </c>
      <c r="F42" s="113" t="str">
        <f t="shared" si="1"/>
        <v>-</v>
      </c>
      <c r="G42" s="31"/>
    </row>
    <row r="43" spans="1:9" s="8" customFormat="1" ht="25.5" x14ac:dyDescent="0.2">
      <c r="A43" s="124" t="s">
        <v>1427</v>
      </c>
      <c r="B43" s="124" t="s">
        <v>194</v>
      </c>
      <c r="C43" s="125" t="s">
        <v>137</v>
      </c>
      <c r="D43" s="125" t="s">
        <v>1047</v>
      </c>
      <c r="E43" s="125" t="str">
        <f t="shared" si="0"/>
        <v>N/A</v>
      </c>
      <c r="F43" s="113" t="str">
        <f t="shared" si="1"/>
        <v>-</v>
      </c>
      <c r="G43" s="31"/>
    </row>
    <row r="44" spans="1:9" s="8" customFormat="1" ht="25.5" x14ac:dyDescent="0.2">
      <c r="A44" s="124" t="s">
        <v>1428</v>
      </c>
      <c r="B44" s="124" t="s">
        <v>195</v>
      </c>
      <c r="C44" s="125" t="s">
        <v>137</v>
      </c>
      <c r="D44" s="125" t="s">
        <v>1047</v>
      </c>
      <c r="E44" s="125" t="str">
        <f t="shared" si="0"/>
        <v>N/A</v>
      </c>
      <c r="F44" s="113" t="str">
        <f t="shared" si="1"/>
        <v>-</v>
      </c>
      <c r="G44" s="31"/>
    </row>
    <row r="45" spans="1:9" s="8" customFormat="1" ht="51" x14ac:dyDescent="0.2">
      <c r="A45" s="124" t="s">
        <v>1429</v>
      </c>
      <c r="B45" s="124" t="s">
        <v>196</v>
      </c>
      <c r="C45" s="125" t="s">
        <v>137</v>
      </c>
      <c r="D45" s="125" t="s">
        <v>1047</v>
      </c>
      <c r="E45" s="125" t="str">
        <f t="shared" si="0"/>
        <v>N/A</v>
      </c>
      <c r="F45" s="113" t="str">
        <f t="shared" si="1"/>
        <v>-</v>
      </c>
      <c r="G45" s="31"/>
    </row>
    <row r="46" spans="1:9" s="8" customFormat="1" ht="25.5" x14ac:dyDescent="0.2">
      <c r="A46" s="124" t="s">
        <v>1430</v>
      </c>
      <c r="B46" s="124" t="s">
        <v>197</v>
      </c>
      <c r="C46" s="125" t="s">
        <v>137</v>
      </c>
      <c r="D46" s="125" t="s">
        <v>1047</v>
      </c>
      <c r="E46" s="125" t="str">
        <f t="shared" si="0"/>
        <v>N/A</v>
      </c>
      <c r="F46" s="113" t="str">
        <f t="shared" si="1"/>
        <v>-</v>
      </c>
      <c r="G46" s="31"/>
    </row>
    <row r="47" spans="1:9" s="8" customFormat="1" ht="25.5" x14ac:dyDescent="0.2">
      <c r="A47" s="124" t="s">
        <v>1431</v>
      </c>
      <c r="B47" s="124" t="s">
        <v>198</v>
      </c>
      <c r="C47" s="125" t="s">
        <v>137</v>
      </c>
      <c r="D47" s="125" t="s">
        <v>1047</v>
      </c>
      <c r="E47" s="125" t="str">
        <f t="shared" si="0"/>
        <v>N/A</v>
      </c>
      <c r="F47" s="113" t="str">
        <f t="shared" si="1"/>
        <v>-</v>
      </c>
      <c r="G47" s="31"/>
    </row>
    <row r="48" spans="1:9" s="8" customFormat="1" ht="25.5" x14ac:dyDescent="0.2">
      <c r="A48" s="124" t="s">
        <v>1432</v>
      </c>
      <c r="B48" s="124" t="s">
        <v>199</v>
      </c>
      <c r="C48" s="125" t="s">
        <v>137</v>
      </c>
      <c r="D48" s="125" t="s">
        <v>1047</v>
      </c>
      <c r="E48" s="125" t="str">
        <f t="shared" si="0"/>
        <v>N/A</v>
      </c>
      <c r="F48" s="113" t="str">
        <f t="shared" si="1"/>
        <v>-</v>
      </c>
      <c r="G48" s="31"/>
    </row>
    <row r="49" spans="1:7" s="8" customFormat="1" ht="25.5" x14ac:dyDescent="0.2">
      <c r="A49" s="124" t="s">
        <v>1433</v>
      </c>
      <c r="B49" s="124" t="s">
        <v>200</v>
      </c>
      <c r="C49" s="125" t="s">
        <v>137</v>
      </c>
      <c r="D49" s="125" t="s">
        <v>1047</v>
      </c>
      <c r="E49" s="125" t="str">
        <f t="shared" si="0"/>
        <v>N/A</v>
      </c>
      <c r="F49" s="113" t="str">
        <f t="shared" si="1"/>
        <v>-</v>
      </c>
      <c r="G49" s="31"/>
    </row>
    <row r="50" spans="1:7" s="8" customFormat="1" ht="25.5" x14ac:dyDescent="0.2">
      <c r="A50" s="124" t="s">
        <v>1434</v>
      </c>
      <c r="B50" s="124" t="s">
        <v>201</v>
      </c>
      <c r="C50" s="125" t="s">
        <v>137</v>
      </c>
      <c r="D50" s="125" t="s">
        <v>1047</v>
      </c>
      <c r="E50" s="125" t="str">
        <f t="shared" si="0"/>
        <v>N/A</v>
      </c>
      <c r="F50" s="113" t="str">
        <f t="shared" si="1"/>
        <v>-</v>
      </c>
      <c r="G50" s="31"/>
    </row>
    <row r="51" spans="1:7" s="8" customFormat="1" ht="51" x14ac:dyDescent="0.2">
      <c r="A51" s="124" t="s">
        <v>1435</v>
      </c>
      <c r="B51" s="124" t="s">
        <v>202</v>
      </c>
      <c r="C51" s="125" t="s">
        <v>146</v>
      </c>
      <c r="D51" s="125" t="s">
        <v>1099</v>
      </c>
      <c r="E51" s="125" t="str">
        <f t="shared" si="0"/>
        <v>N/A</v>
      </c>
      <c r="F51" s="113" t="str">
        <f t="shared" si="1"/>
        <v>-</v>
      </c>
      <c r="G51" s="31"/>
    </row>
    <row r="52" spans="1:7" s="8" customFormat="1" x14ac:dyDescent="0.2">
      <c r="A52" s="124"/>
      <c r="B52" s="124"/>
      <c r="C52" s="125"/>
      <c r="D52" s="125"/>
      <c r="E52" s="125"/>
      <c r="F52" s="113"/>
      <c r="G52" s="31"/>
    </row>
    <row r="53" spans="1:7" s="8" customFormat="1" x14ac:dyDescent="0.2">
      <c r="A53" s="124"/>
      <c r="B53" s="35" t="s">
        <v>203</v>
      </c>
      <c r="C53" s="125"/>
      <c r="D53" s="125"/>
      <c r="E53" s="125"/>
      <c r="F53" s="113"/>
      <c r="G53" s="31"/>
    </row>
    <row r="54" spans="1:7" s="8" customFormat="1" ht="56.85" customHeight="1" x14ac:dyDescent="0.2">
      <c r="A54" s="124" t="s">
        <v>1436</v>
      </c>
      <c r="B54" s="124" t="s">
        <v>204</v>
      </c>
      <c r="C54" s="125" t="s">
        <v>137</v>
      </c>
      <c r="D54" s="125" t="s">
        <v>1047</v>
      </c>
      <c r="E54" s="125" t="str">
        <f t="shared" si="0"/>
        <v>N/A</v>
      </c>
      <c r="F54" s="113" t="str">
        <f t="shared" si="1"/>
        <v>-</v>
      </c>
      <c r="G54" s="31"/>
    </row>
    <row r="55" spans="1:7" s="8" customFormat="1" ht="25.5" x14ac:dyDescent="0.2">
      <c r="A55" s="124" t="s">
        <v>1437</v>
      </c>
      <c r="B55" s="124" t="s">
        <v>205</v>
      </c>
      <c r="C55" s="125" t="s">
        <v>137</v>
      </c>
      <c r="D55" s="125">
        <v>30</v>
      </c>
      <c r="E55" s="125" t="str">
        <f t="shared" si="0"/>
        <v/>
      </c>
      <c r="F55" s="113" t="str">
        <f t="shared" si="1"/>
        <v/>
      </c>
      <c r="G55" s="31"/>
    </row>
    <row r="56" spans="1:7" s="8" customFormat="1" ht="25.5" x14ac:dyDescent="0.2">
      <c r="A56" s="124" t="s">
        <v>1438</v>
      </c>
      <c r="B56" s="124" t="s">
        <v>206</v>
      </c>
      <c r="C56" s="125" t="s">
        <v>137</v>
      </c>
      <c r="D56" s="125" t="s">
        <v>1047</v>
      </c>
      <c r="E56" s="125" t="str">
        <f t="shared" si="0"/>
        <v>N/A</v>
      </c>
      <c r="F56" s="113" t="str">
        <f t="shared" si="1"/>
        <v>-</v>
      </c>
      <c r="G56" s="31"/>
    </row>
    <row r="57" spans="1:7" s="8" customFormat="1" ht="25.5" x14ac:dyDescent="0.2">
      <c r="A57" s="124" t="s">
        <v>1439</v>
      </c>
      <c r="B57" s="124" t="s">
        <v>207</v>
      </c>
      <c r="C57" s="125" t="s">
        <v>137</v>
      </c>
      <c r="D57" s="125" t="s">
        <v>1047</v>
      </c>
      <c r="E57" s="125" t="str">
        <f t="shared" si="0"/>
        <v>N/A</v>
      </c>
      <c r="F57" s="113" t="str">
        <f t="shared" si="1"/>
        <v>-</v>
      </c>
      <c r="G57" s="31"/>
    </row>
    <row r="58" spans="1:7" s="8" customFormat="1" ht="25.5" x14ac:dyDescent="0.2">
      <c r="A58" s="124" t="s">
        <v>1440</v>
      </c>
      <c r="B58" s="124" t="s">
        <v>208</v>
      </c>
      <c r="C58" s="125" t="s">
        <v>137</v>
      </c>
      <c r="D58" s="125" t="s">
        <v>1047</v>
      </c>
      <c r="E58" s="125" t="str">
        <f t="shared" si="0"/>
        <v>N/A</v>
      </c>
      <c r="F58" s="113" t="str">
        <f t="shared" si="1"/>
        <v>-</v>
      </c>
      <c r="G58" s="31"/>
    </row>
    <row r="59" spans="1:7" s="8" customFormat="1" ht="25.5" x14ac:dyDescent="0.2">
      <c r="A59" s="124" t="s">
        <v>1441</v>
      </c>
      <c r="B59" s="124" t="s">
        <v>209</v>
      </c>
      <c r="C59" s="125" t="s">
        <v>137</v>
      </c>
      <c r="D59" s="125" t="s">
        <v>1047</v>
      </c>
      <c r="E59" s="125" t="str">
        <f t="shared" si="0"/>
        <v>N/A</v>
      </c>
      <c r="F59" s="113" t="str">
        <f t="shared" si="1"/>
        <v>-</v>
      </c>
      <c r="G59" s="31"/>
    </row>
    <row r="60" spans="1:7" s="8" customFormat="1" ht="25.5" x14ac:dyDescent="0.2">
      <c r="A60" s="124" t="s">
        <v>1442</v>
      </c>
      <c r="B60" s="124" t="s">
        <v>210</v>
      </c>
      <c r="C60" s="125" t="s">
        <v>137</v>
      </c>
      <c r="D60" s="125" t="s">
        <v>1047</v>
      </c>
      <c r="E60" s="125" t="str">
        <f t="shared" si="0"/>
        <v>N/A</v>
      </c>
      <c r="F60" s="113" t="str">
        <f t="shared" si="1"/>
        <v>-</v>
      </c>
      <c r="G60" s="31"/>
    </row>
    <row r="61" spans="1:7" s="8" customFormat="1" ht="54" customHeight="1" x14ac:dyDescent="0.2">
      <c r="A61" s="124" t="s">
        <v>1443</v>
      </c>
      <c r="B61" s="124" t="s">
        <v>211</v>
      </c>
      <c r="C61" s="125" t="s">
        <v>137</v>
      </c>
      <c r="D61" s="125">
        <v>35</v>
      </c>
      <c r="E61" s="125"/>
      <c r="F61" s="113">
        <f t="shared" si="1"/>
        <v>0</v>
      </c>
      <c r="G61" s="31"/>
    </row>
    <row r="62" spans="1:7" s="8" customFormat="1" ht="25.5" x14ac:dyDescent="0.2">
      <c r="A62" s="124" t="s">
        <v>1444</v>
      </c>
      <c r="B62" s="124" t="s">
        <v>212</v>
      </c>
      <c r="C62" s="125" t="s">
        <v>137</v>
      </c>
      <c r="D62" s="125">
        <v>270</v>
      </c>
      <c r="E62" s="125" t="str">
        <f t="shared" si="0"/>
        <v/>
      </c>
      <c r="F62" s="113"/>
      <c r="G62" s="31"/>
    </row>
    <row r="63" spans="1:7" s="8" customFormat="1" ht="25.5" x14ac:dyDescent="0.2">
      <c r="A63" s="124" t="s">
        <v>1445</v>
      </c>
      <c r="B63" s="124" t="s">
        <v>213</v>
      </c>
      <c r="C63" s="125" t="s">
        <v>137</v>
      </c>
      <c r="D63" s="125">
        <v>200</v>
      </c>
      <c r="E63" s="125" t="str">
        <f t="shared" si="0"/>
        <v/>
      </c>
      <c r="F63" s="113"/>
      <c r="G63" s="31"/>
    </row>
    <row r="64" spans="1:7" s="8" customFormat="1" ht="25.5" x14ac:dyDescent="0.2">
      <c r="A64" s="124" t="s">
        <v>1446</v>
      </c>
      <c r="B64" s="124" t="s">
        <v>214</v>
      </c>
      <c r="C64" s="125" t="s">
        <v>137</v>
      </c>
      <c r="D64" s="125" t="s">
        <v>1047</v>
      </c>
      <c r="E64" s="125" t="str">
        <f t="shared" si="0"/>
        <v>N/A</v>
      </c>
      <c r="F64" s="113" t="str">
        <f t="shared" si="1"/>
        <v>-</v>
      </c>
      <c r="G64" s="31"/>
    </row>
    <row r="65" spans="1:7" s="8" customFormat="1" ht="25.5" x14ac:dyDescent="0.2">
      <c r="A65" s="124" t="s">
        <v>1447</v>
      </c>
      <c r="B65" s="124" t="s">
        <v>215</v>
      </c>
      <c r="C65" s="125" t="s">
        <v>137</v>
      </c>
      <c r="D65" s="125" t="s">
        <v>1047</v>
      </c>
      <c r="E65" s="125" t="str">
        <f t="shared" si="0"/>
        <v>N/A</v>
      </c>
      <c r="F65" s="113" t="str">
        <f t="shared" si="1"/>
        <v>-</v>
      </c>
      <c r="G65" s="31"/>
    </row>
    <row r="66" spans="1:7" s="8" customFormat="1" ht="25.5" x14ac:dyDescent="0.2">
      <c r="A66" s="124" t="s">
        <v>1448</v>
      </c>
      <c r="B66" s="124" t="s">
        <v>216</v>
      </c>
      <c r="C66" s="125" t="s">
        <v>137</v>
      </c>
      <c r="D66" s="125" t="s">
        <v>1047</v>
      </c>
      <c r="E66" s="125" t="str">
        <f t="shared" si="0"/>
        <v>N/A</v>
      </c>
      <c r="F66" s="113" t="str">
        <f t="shared" si="1"/>
        <v>-</v>
      </c>
      <c r="G66" s="31"/>
    </row>
    <row r="67" spans="1:7" s="8" customFormat="1" ht="25.5" x14ac:dyDescent="0.2">
      <c r="A67" s="124" t="s">
        <v>1449</v>
      </c>
      <c r="B67" s="124" t="s">
        <v>217</v>
      </c>
      <c r="C67" s="125" t="s">
        <v>137</v>
      </c>
      <c r="D67" s="125" t="s">
        <v>1047</v>
      </c>
      <c r="E67" s="125" t="str">
        <f t="shared" si="0"/>
        <v>N/A</v>
      </c>
      <c r="F67" s="113" t="str">
        <f t="shared" si="1"/>
        <v>-</v>
      </c>
      <c r="G67" s="31"/>
    </row>
    <row r="68" spans="1:7" s="8" customFormat="1" ht="51" x14ac:dyDescent="0.2">
      <c r="A68" s="124" t="s">
        <v>1450</v>
      </c>
      <c r="B68" s="124" t="s">
        <v>218</v>
      </c>
      <c r="C68" s="125" t="s">
        <v>146</v>
      </c>
      <c r="D68" s="125" t="s">
        <v>1099</v>
      </c>
      <c r="E68" s="125" t="str">
        <f t="shared" si="0"/>
        <v>N/A</v>
      </c>
      <c r="F68" s="113" t="str">
        <f t="shared" si="1"/>
        <v>-</v>
      </c>
      <c r="G68" s="31"/>
    </row>
    <row r="69" spans="1:7" s="8" customFormat="1" ht="25.5" x14ac:dyDescent="0.2">
      <c r="A69" s="124" t="s">
        <v>1451</v>
      </c>
      <c r="B69" s="124" t="s">
        <v>219</v>
      </c>
      <c r="C69" s="125" t="s">
        <v>54</v>
      </c>
      <c r="D69" s="125" t="s">
        <v>1047</v>
      </c>
      <c r="E69" s="125" t="str">
        <f t="shared" si="0"/>
        <v>N/A</v>
      </c>
      <c r="F69" s="113" t="str">
        <f t="shared" si="1"/>
        <v>-</v>
      </c>
      <c r="G69" s="31"/>
    </row>
    <row r="70" spans="1:7" s="8" customFormat="1" x14ac:dyDescent="0.2">
      <c r="A70" s="124"/>
      <c r="B70" s="124"/>
      <c r="C70" s="125"/>
      <c r="D70" s="125"/>
      <c r="E70" s="125"/>
      <c r="F70" s="113"/>
      <c r="G70" s="31"/>
    </row>
    <row r="71" spans="1:7" s="8" customFormat="1" ht="25.5" x14ac:dyDescent="0.2">
      <c r="A71" s="124"/>
      <c r="B71" s="35" t="s">
        <v>220</v>
      </c>
      <c r="C71" s="125"/>
      <c r="D71" s="125"/>
      <c r="E71" s="125"/>
      <c r="F71" s="113"/>
      <c r="G71" s="31"/>
    </row>
    <row r="72" spans="1:7" s="8" customFormat="1" ht="38.25" x14ac:dyDescent="0.2">
      <c r="A72" s="124" t="s">
        <v>1452</v>
      </c>
      <c r="B72" s="124" t="s">
        <v>221</v>
      </c>
      <c r="C72" s="125" t="s">
        <v>54</v>
      </c>
      <c r="D72" s="125" t="s">
        <v>1047</v>
      </c>
      <c r="E72" s="125" t="str">
        <f t="shared" si="0"/>
        <v>N/A</v>
      </c>
      <c r="F72" s="113" t="str">
        <f t="shared" si="1"/>
        <v>-</v>
      </c>
      <c r="G72" s="31"/>
    </row>
    <row r="73" spans="1:7" s="8" customFormat="1" ht="25.5" x14ac:dyDescent="0.2">
      <c r="A73" s="124" t="s">
        <v>1453</v>
      </c>
      <c r="B73" s="124" t="s">
        <v>222</v>
      </c>
      <c r="C73" s="125" t="s">
        <v>54</v>
      </c>
      <c r="D73" s="125" t="s">
        <v>1047</v>
      </c>
      <c r="E73" s="125" t="str">
        <f t="shared" si="0"/>
        <v>N/A</v>
      </c>
      <c r="F73" s="113" t="str">
        <f t="shared" si="1"/>
        <v>-</v>
      </c>
      <c r="G73" s="31"/>
    </row>
    <row r="74" spans="1:7" s="8" customFormat="1" ht="38.25" x14ac:dyDescent="0.2">
      <c r="A74" s="124" t="s">
        <v>1454</v>
      </c>
      <c r="B74" s="124" t="s">
        <v>223</v>
      </c>
      <c r="C74" s="125" t="s">
        <v>137</v>
      </c>
      <c r="D74" s="125" t="s">
        <v>1047</v>
      </c>
      <c r="E74" s="125" t="str">
        <f t="shared" si="0"/>
        <v>N/A</v>
      </c>
      <c r="F74" s="113" t="str">
        <f t="shared" si="1"/>
        <v>-</v>
      </c>
      <c r="G74" s="31"/>
    </row>
    <row r="75" spans="1:7" s="8" customFormat="1" ht="25.5" x14ac:dyDescent="0.2">
      <c r="A75" s="124" t="s">
        <v>1455</v>
      </c>
      <c r="B75" s="124" t="s">
        <v>224</v>
      </c>
      <c r="C75" s="125" t="s">
        <v>137</v>
      </c>
      <c r="D75" s="125" t="s">
        <v>1047</v>
      </c>
      <c r="E75" s="125" t="str">
        <f t="shared" si="0"/>
        <v>N/A</v>
      </c>
      <c r="F75" s="113" t="str">
        <f t="shared" si="1"/>
        <v>-</v>
      </c>
      <c r="G75" s="31"/>
    </row>
    <row r="76" spans="1:7" s="8" customFormat="1" ht="25.5" x14ac:dyDescent="0.2">
      <c r="A76" s="124" t="s">
        <v>1456</v>
      </c>
      <c r="B76" s="124" t="s">
        <v>225</v>
      </c>
      <c r="C76" s="125" t="s">
        <v>137</v>
      </c>
      <c r="D76" s="125" t="s">
        <v>1047</v>
      </c>
      <c r="E76" s="125" t="str">
        <f t="shared" si="0"/>
        <v>N/A</v>
      </c>
      <c r="F76" s="113" t="str">
        <f t="shared" si="1"/>
        <v>-</v>
      </c>
      <c r="G76" s="31"/>
    </row>
    <row r="77" spans="1:7" s="8" customFormat="1" ht="25.5" x14ac:dyDescent="0.2">
      <c r="A77" s="124" t="s">
        <v>1457</v>
      </c>
      <c r="B77" s="124" t="s">
        <v>226</v>
      </c>
      <c r="C77" s="125" t="s">
        <v>137</v>
      </c>
      <c r="D77" s="125" t="s">
        <v>1047</v>
      </c>
      <c r="E77" s="125" t="str">
        <f t="shared" ref="E77:E116" si="2">IF(ISNUMBER(D77),"","N/A")</f>
        <v>N/A</v>
      </c>
      <c r="F77" s="113" t="str">
        <f t="shared" ref="F77:F116" si="3">IFERROR(IF(ISNUMBER(D77),D77*E77,"-"),"")</f>
        <v>-</v>
      </c>
      <c r="G77" s="31"/>
    </row>
    <row r="78" spans="1:7" s="8" customFormat="1" ht="25.5" x14ac:dyDescent="0.2">
      <c r="A78" s="124" t="s">
        <v>1458</v>
      </c>
      <c r="B78" s="124" t="s">
        <v>227</v>
      </c>
      <c r="C78" s="125" t="s">
        <v>137</v>
      </c>
      <c r="D78" s="125" t="s">
        <v>1047</v>
      </c>
      <c r="E78" s="125" t="str">
        <f t="shared" si="2"/>
        <v>N/A</v>
      </c>
      <c r="F78" s="113" t="str">
        <f t="shared" si="3"/>
        <v>-</v>
      </c>
      <c r="G78" s="31"/>
    </row>
    <row r="79" spans="1:7" s="8" customFormat="1" ht="51" x14ac:dyDescent="0.2">
      <c r="A79" s="124" t="s">
        <v>1459</v>
      </c>
      <c r="B79" s="124" t="s">
        <v>1170</v>
      </c>
      <c r="C79" s="125" t="s">
        <v>143</v>
      </c>
      <c r="D79" s="125" t="s">
        <v>1047</v>
      </c>
      <c r="E79" s="125" t="str">
        <f t="shared" si="2"/>
        <v>N/A</v>
      </c>
      <c r="F79" s="113" t="str">
        <f t="shared" si="3"/>
        <v>-</v>
      </c>
      <c r="G79" s="31"/>
    </row>
    <row r="80" spans="1:7" s="8" customFormat="1" ht="53.1" customHeight="1" x14ac:dyDescent="0.2">
      <c r="A80" s="124" t="s">
        <v>1460</v>
      </c>
      <c r="B80" s="124" t="s">
        <v>228</v>
      </c>
      <c r="C80" s="125" t="s">
        <v>137</v>
      </c>
      <c r="D80" s="125" t="s">
        <v>1047</v>
      </c>
      <c r="E80" s="125" t="str">
        <f t="shared" si="2"/>
        <v>N/A</v>
      </c>
      <c r="F80" s="113" t="str">
        <f t="shared" si="3"/>
        <v>-</v>
      </c>
      <c r="G80" s="31"/>
    </row>
    <row r="81" spans="1:7" s="8" customFormat="1" ht="19.5" customHeight="1" x14ac:dyDescent="0.2">
      <c r="A81" s="124"/>
      <c r="B81" s="124"/>
      <c r="C81" s="125"/>
      <c r="D81" s="125"/>
      <c r="E81" s="125"/>
      <c r="F81" s="113"/>
      <c r="G81" s="31"/>
    </row>
    <row r="82" spans="1:7" s="8" customFormat="1" x14ac:dyDescent="0.2">
      <c r="A82" s="124"/>
      <c r="B82" s="35" t="s">
        <v>229</v>
      </c>
      <c r="C82" s="125"/>
      <c r="D82" s="125"/>
      <c r="E82" s="125"/>
      <c r="F82" s="113"/>
      <c r="G82" s="31"/>
    </row>
    <row r="83" spans="1:7" s="8" customFormat="1" ht="63.75" x14ac:dyDescent="0.2">
      <c r="A83" s="124" t="s">
        <v>1461</v>
      </c>
      <c r="B83" s="124" t="s">
        <v>230</v>
      </c>
      <c r="C83" s="125" t="s">
        <v>54</v>
      </c>
      <c r="D83" s="125" t="s">
        <v>1047</v>
      </c>
      <c r="E83" s="125" t="str">
        <f t="shared" si="2"/>
        <v>N/A</v>
      </c>
      <c r="F83" s="113" t="str">
        <f t="shared" si="3"/>
        <v>-</v>
      </c>
      <c r="G83" s="31"/>
    </row>
    <row r="84" spans="1:7" s="8" customFormat="1" ht="76.5" x14ac:dyDescent="0.2">
      <c r="A84" s="124" t="s">
        <v>1462</v>
      </c>
      <c r="B84" s="124" t="s">
        <v>231</v>
      </c>
      <c r="C84" s="125" t="s">
        <v>54</v>
      </c>
      <c r="D84" s="125" t="s">
        <v>1047</v>
      </c>
      <c r="E84" s="125" t="str">
        <f t="shared" si="2"/>
        <v>N/A</v>
      </c>
      <c r="F84" s="113" t="str">
        <f t="shared" si="3"/>
        <v>-</v>
      </c>
      <c r="G84" s="31"/>
    </row>
    <row r="85" spans="1:7" s="8" customFormat="1" ht="63.75" x14ac:dyDescent="0.2">
      <c r="A85" s="124" t="s">
        <v>1463</v>
      </c>
      <c r="B85" s="124" t="s">
        <v>232</v>
      </c>
      <c r="C85" s="125" t="s">
        <v>54</v>
      </c>
      <c r="D85" s="125" t="s">
        <v>1047</v>
      </c>
      <c r="E85" s="125" t="str">
        <f t="shared" si="2"/>
        <v>N/A</v>
      </c>
      <c r="F85" s="113" t="str">
        <f t="shared" si="3"/>
        <v>-</v>
      </c>
      <c r="G85" s="31"/>
    </row>
    <row r="86" spans="1:7" s="8" customFormat="1" ht="25.5" x14ac:dyDescent="0.2">
      <c r="A86" s="124" t="s">
        <v>1464</v>
      </c>
      <c r="B86" s="124" t="s">
        <v>233</v>
      </c>
      <c r="C86" s="125" t="s">
        <v>11</v>
      </c>
      <c r="D86" s="125" t="s">
        <v>1047</v>
      </c>
      <c r="E86" s="125" t="str">
        <f t="shared" si="2"/>
        <v>N/A</v>
      </c>
      <c r="F86" s="113" t="str">
        <f t="shared" si="3"/>
        <v>-</v>
      </c>
      <c r="G86" s="31"/>
    </row>
    <row r="87" spans="1:7" s="8" customFormat="1" ht="39" customHeight="1" x14ac:dyDescent="0.2">
      <c r="A87" s="124" t="s">
        <v>1465</v>
      </c>
      <c r="B87" s="124" t="s">
        <v>234</v>
      </c>
      <c r="C87" s="125" t="s">
        <v>146</v>
      </c>
      <c r="D87" s="114" t="s">
        <v>1047</v>
      </c>
      <c r="E87" s="125" t="str">
        <f t="shared" si="2"/>
        <v>N/A</v>
      </c>
      <c r="F87" s="113" t="str">
        <f t="shared" si="3"/>
        <v>-</v>
      </c>
      <c r="G87" s="31"/>
    </row>
    <row r="88" spans="1:7" s="8" customFormat="1" ht="38.25" x14ac:dyDescent="0.2">
      <c r="A88" s="124" t="s">
        <v>1466</v>
      </c>
      <c r="B88" s="124" t="s">
        <v>1171</v>
      </c>
      <c r="C88" s="125" t="s">
        <v>143</v>
      </c>
      <c r="D88" s="125" t="s">
        <v>1047</v>
      </c>
      <c r="E88" s="125" t="str">
        <f t="shared" si="2"/>
        <v>N/A</v>
      </c>
      <c r="F88" s="113" t="str">
        <f t="shared" si="3"/>
        <v>-</v>
      </c>
      <c r="G88" s="31"/>
    </row>
    <row r="89" spans="1:7" s="8" customFormat="1" x14ac:dyDescent="0.2">
      <c r="A89" s="124"/>
      <c r="B89" s="124"/>
      <c r="C89" s="125"/>
      <c r="D89" s="125"/>
      <c r="E89" s="125"/>
      <c r="F89" s="113"/>
      <c r="G89" s="31"/>
    </row>
    <row r="90" spans="1:7" s="8" customFormat="1" ht="25.5" x14ac:dyDescent="0.2">
      <c r="A90" s="124"/>
      <c r="B90" s="35" t="s">
        <v>235</v>
      </c>
      <c r="C90" s="125"/>
      <c r="D90" s="125"/>
      <c r="E90" s="125" t="str">
        <f t="shared" si="2"/>
        <v>N/A</v>
      </c>
      <c r="F90" s="113" t="str">
        <f t="shared" si="3"/>
        <v>-</v>
      </c>
      <c r="G90" s="31"/>
    </row>
    <row r="91" spans="1:7" s="8" customFormat="1" ht="38.25" x14ac:dyDescent="0.2">
      <c r="A91" s="124" t="s">
        <v>1468</v>
      </c>
      <c r="B91" s="124" t="s">
        <v>236</v>
      </c>
      <c r="C91" s="125" t="s">
        <v>137</v>
      </c>
      <c r="D91" s="125" t="s">
        <v>1047</v>
      </c>
      <c r="E91" s="125" t="str">
        <f t="shared" si="2"/>
        <v>N/A</v>
      </c>
      <c r="F91" s="113" t="str">
        <f t="shared" si="3"/>
        <v>-</v>
      </c>
      <c r="G91" s="31"/>
    </row>
    <row r="92" spans="1:7" s="8" customFormat="1" ht="51" x14ac:dyDescent="0.2">
      <c r="A92" s="124" t="s">
        <v>1467</v>
      </c>
      <c r="B92" s="124" t="s">
        <v>237</v>
      </c>
      <c r="C92" s="125" t="s">
        <v>137</v>
      </c>
      <c r="D92" s="125" t="s">
        <v>1047</v>
      </c>
      <c r="E92" s="125" t="str">
        <f t="shared" si="2"/>
        <v>N/A</v>
      </c>
      <c r="F92" s="113" t="str">
        <f t="shared" si="3"/>
        <v>-</v>
      </c>
      <c r="G92" s="31"/>
    </row>
    <row r="93" spans="1:7" s="8" customFormat="1" ht="25.5" x14ac:dyDescent="0.2">
      <c r="A93" s="124" t="s">
        <v>1469</v>
      </c>
      <c r="B93" s="124" t="s">
        <v>238</v>
      </c>
      <c r="C93" s="125" t="s">
        <v>137</v>
      </c>
      <c r="D93" s="125" t="s">
        <v>1047</v>
      </c>
      <c r="E93" s="125" t="str">
        <f t="shared" si="2"/>
        <v>N/A</v>
      </c>
      <c r="F93" s="113" t="str">
        <f t="shared" si="3"/>
        <v>-</v>
      </c>
      <c r="G93" s="31"/>
    </row>
    <row r="94" spans="1:7" s="8" customFormat="1" ht="25.5" x14ac:dyDescent="0.2">
      <c r="A94" s="124" t="s">
        <v>1470</v>
      </c>
      <c r="B94" s="124" t="s">
        <v>239</v>
      </c>
      <c r="C94" s="125" t="s">
        <v>137</v>
      </c>
      <c r="D94" s="125" t="s">
        <v>1047</v>
      </c>
      <c r="E94" s="125" t="str">
        <f t="shared" si="2"/>
        <v>N/A</v>
      </c>
      <c r="F94" s="113" t="str">
        <f t="shared" si="3"/>
        <v>-</v>
      </c>
      <c r="G94" s="31"/>
    </row>
    <row r="95" spans="1:7" s="8" customFormat="1" ht="25.5" x14ac:dyDescent="0.2">
      <c r="A95" s="124" t="s">
        <v>1471</v>
      </c>
      <c r="B95" s="124" t="s">
        <v>240</v>
      </c>
      <c r="C95" s="125" t="s">
        <v>137</v>
      </c>
      <c r="D95" s="125" t="s">
        <v>1047</v>
      </c>
      <c r="E95" s="125" t="str">
        <f t="shared" si="2"/>
        <v>N/A</v>
      </c>
      <c r="F95" s="113" t="str">
        <f t="shared" si="3"/>
        <v>-</v>
      </c>
      <c r="G95" s="31"/>
    </row>
    <row r="96" spans="1:7" s="8" customFormat="1" ht="25.5" x14ac:dyDescent="0.2">
      <c r="A96" s="124" t="s">
        <v>1472</v>
      </c>
      <c r="B96" s="124" t="s">
        <v>241</v>
      </c>
      <c r="C96" s="125" t="s">
        <v>137</v>
      </c>
      <c r="D96" s="125" t="s">
        <v>1047</v>
      </c>
      <c r="E96" s="125" t="str">
        <f t="shared" si="2"/>
        <v>N/A</v>
      </c>
      <c r="F96" s="113" t="str">
        <f t="shared" si="3"/>
        <v>-</v>
      </c>
      <c r="G96" s="31"/>
    </row>
    <row r="97" spans="1:7" s="8" customFormat="1" ht="51" x14ac:dyDescent="0.2">
      <c r="A97" s="124" t="s">
        <v>1473</v>
      </c>
      <c r="B97" s="124" t="s">
        <v>242</v>
      </c>
      <c r="C97" s="125" t="s">
        <v>137</v>
      </c>
      <c r="D97" s="125" t="s">
        <v>1047</v>
      </c>
      <c r="E97" s="125" t="str">
        <f t="shared" si="2"/>
        <v>N/A</v>
      </c>
      <c r="F97" s="113" t="str">
        <f t="shared" si="3"/>
        <v>-</v>
      </c>
      <c r="G97" s="31"/>
    </row>
    <row r="98" spans="1:7" s="8" customFormat="1" ht="25.5" x14ac:dyDescent="0.2">
      <c r="A98" s="124" t="s">
        <v>1474</v>
      </c>
      <c r="B98" s="124" t="s">
        <v>243</v>
      </c>
      <c r="C98" s="125" t="s">
        <v>137</v>
      </c>
      <c r="D98" s="125" t="s">
        <v>1047</v>
      </c>
      <c r="E98" s="125" t="str">
        <f t="shared" si="2"/>
        <v>N/A</v>
      </c>
      <c r="F98" s="113" t="str">
        <f t="shared" si="3"/>
        <v>-</v>
      </c>
      <c r="G98" s="31"/>
    </row>
    <row r="99" spans="1:7" s="8" customFormat="1" ht="25.5" x14ac:dyDescent="0.2">
      <c r="A99" s="124" t="s">
        <v>1475</v>
      </c>
      <c r="B99" s="124" t="s">
        <v>239</v>
      </c>
      <c r="C99" s="125" t="s">
        <v>137</v>
      </c>
      <c r="D99" s="125" t="s">
        <v>1047</v>
      </c>
      <c r="E99" s="125" t="str">
        <f t="shared" si="2"/>
        <v>N/A</v>
      </c>
      <c r="F99" s="113" t="str">
        <f t="shared" si="3"/>
        <v>-</v>
      </c>
      <c r="G99" s="31"/>
    </row>
    <row r="100" spans="1:7" s="8" customFormat="1" ht="25.5" x14ac:dyDescent="0.2">
      <c r="A100" s="124" t="s">
        <v>1476</v>
      </c>
      <c r="B100" s="124" t="s">
        <v>240</v>
      </c>
      <c r="C100" s="125" t="s">
        <v>137</v>
      </c>
      <c r="D100" s="125" t="s">
        <v>1047</v>
      </c>
      <c r="E100" s="125" t="str">
        <f t="shared" si="2"/>
        <v>N/A</v>
      </c>
      <c r="F100" s="113" t="str">
        <f t="shared" si="3"/>
        <v>-</v>
      </c>
      <c r="G100" s="31"/>
    </row>
    <row r="101" spans="1:7" s="8" customFormat="1" ht="25.5" x14ac:dyDescent="0.2">
      <c r="A101" s="124" t="s">
        <v>1477</v>
      </c>
      <c r="B101" s="124" t="s">
        <v>241</v>
      </c>
      <c r="C101" s="125" t="s">
        <v>137</v>
      </c>
      <c r="D101" s="125" t="s">
        <v>1047</v>
      </c>
      <c r="E101" s="125" t="str">
        <f t="shared" si="2"/>
        <v>N/A</v>
      </c>
      <c r="F101" s="113" t="str">
        <f t="shared" si="3"/>
        <v>-</v>
      </c>
      <c r="G101" s="31"/>
    </row>
    <row r="102" spans="1:7" s="8" customFormat="1" ht="38.25" x14ac:dyDescent="0.2">
      <c r="A102" s="124" t="s">
        <v>1478</v>
      </c>
      <c r="B102" s="124" t="s">
        <v>244</v>
      </c>
      <c r="C102" s="125" t="s">
        <v>137</v>
      </c>
      <c r="D102" s="125" t="s">
        <v>1047</v>
      </c>
      <c r="E102" s="125" t="str">
        <f t="shared" si="2"/>
        <v>N/A</v>
      </c>
      <c r="F102" s="113" t="str">
        <f t="shared" si="3"/>
        <v>-</v>
      </c>
      <c r="G102" s="31"/>
    </row>
    <row r="103" spans="1:7" s="8" customFormat="1" x14ac:dyDescent="0.2">
      <c r="A103" s="124"/>
      <c r="B103" s="124"/>
      <c r="C103" s="125"/>
      <c r="D103" s="125"/>
      <c r="E103" s="125"/>
      <c r="F103" s="113"/>
      <c r="G103" s="31"/>
    </row>
    <row r="104" spans="1:7" s="8" customFormat="1" ht="25.5" x14ac:dyDescent="0.2">
      <c r="A104" s="124"/>
      <c r="B104" s="35" t="s">
        <v>245</v>
      </c>
      <c r="C104" s="125"/>
      <c r="D104" s="125"/>
      <c r="E104" s="125"/>
      <c r="F104" s="113"/>
      <c r="G104" s="31"/>
    </row>
    <row r="105" spans="1:7" s="8" customFormat="1" ht="51" x14ac:dyDescent="0.2">
      <c r="A105" s="124" t="s">
        <v>1479</v>
      </c>
      <c r="B105" s="124" t="s">
        <v>246</v>
      </c>
      <c r="C105" s="125" t="s">
        <v>146</v>
      </c>
      <c r="D105" s="114" t="s">
        <v>1047</v>
      </c>
      <c r="E105" s="125" t="str">
        <f t="shared" si="2"/>
        <v>N/A</v>
      </c>
      <c r="F105" s="113" t="str">
        <f t="shared" si="3"/>
        <v>-</v>
      </c>
      <c r="G105" s="31"/>
    </row>
    <row r="106" spans="1:7" s="8" customFormat="1" ht="25.5" x14ac:dyDescent="0.2">
      <c r="A106" s="124" t="s">
        <v>1480</v>
      </c>
      <c r="B106" s="124" t="s">
        <v>247</v>
      </c>
      <c r="C106" s="125" t="s">
        <v>137</v>
      </c>
      <c r="D106" s="125" t="s">
        <v>1047</v>
      </c>
      <c r="E106" s="125" t="str">
        <f t="shared" si="2"/>
        <v>N/A</v>
      </c>
      <c r="F106" s="113" t="str">
        <f t="shared" si="3"/>
        <v>-</v>
      </c>
      <c r="G106" s="31"/>
    </row>
    <row r="107" spans="1:7" s="8" customFormat="1" ht="25.5" x14ac:dyDescent="0.2">
      <c r="A107" s="124" t="s">
        <v>1481</v>
      </c>
      <c r="B107" s="124" t="s">
        <v>248</v>
      </c>
      <c r="C107" s="125" t="s">
        <v>54</v>
      </c>
      <c r="D107" s="125" t="s">
        <v>1047</v>
      </c>
      <c r="E107" s="125" t="str">
        <f t="shared" si="2"/>
        <v>N/A</v>
      </c>
      <c r="F107" s="113" t="str">
        <f t="shared" si="3"/>
        <v>-</v>
      </c>
      <c r="G107" s="31"/>
    </row>
    <row r="108" spans="1:7" s="8" customFormat="1" ht="76.5" x14ac:dyDescent="0.2">
      <c r="A108" s="124" t="s">
        <v>1482</v>
      </c>
      <c r="B108" s="124" t="s">
        <v>249</v>
      </c>
      <c r="C108" s="125" t="s">
        <v>146</v>
      </c>
      <c r="D108" s="114" t="s">
        <v>1047</v>
      </c>
      <c r="E108" s="125" t="str">
        <f t="shared" si="2"/>
        <v>N/A</v>
      </c>
      <c r="F108" s="113" t="str">
        <f t="shared" si="3"/>
        <v>-</v>
      </c>
      <c r="G108" s="31"/>
    </row>
    <row r="109" spans="1:7" s="8" customFormat="1" ht="76.5" x14ac:dyDescent="0.2">
      <c r="A109" s="124" t="s">
        <v>1483</v>
      </c>
      <c r="B109" s="124" t="s">
        <v>250</v>
      </c>
      <c r="C109" s="125" t="s">
        <v>146</v>
      </c>
      <c r="D109" s="114" t="s">
        <v>1047</v>
      </c>
      <c r="E109" s="125" t="str">
        <f t="shared" si="2"/>
        <v>N/A</v>
      </c>
      <c r="F109" s="113" t="str">
        <f t="shared" si="3"/>
        <v>-</v>
      </c>
      <c r="G109" s="31"/>
    </row>
    <row r="110" spans="1:7" s="8" customFormat="1" x14ac:dyDescent="0.2">
      <c r="A110" s="124"/>
      <c r="B110" s="124"/>
      <c r="C110" s="125"/>
      <c r="D110" s="114"/>
      <c r="E110" s="125"/>
      <c r="F110" s="113"/>
      <c r="G110" s="31"/>
    </row>
    <row r="111" spans="1:7" s="8" customFormat="1" x14ac:dyDescent="0.2">
      <c r="A111" s="124"/>
      <c r="B111" s="35" t="s">
        <v>251</v>
      </c>
      <c r="C111" s="125"/>
      <c r="D111" s="125"/>
      <c r="E111" s="125"/>
      <c r="F111" s="113"/>
      <c r="G111" s="31"/>
    </row>
    <row r="112" spans="1:7" s="8" customFormat="1" ht="38.25" x14ac:dyDescent="0.2">
      <c r="A112" s="124" t="s">
        <v>1484</v>
      </c>
      <c r="B112" s="124" t="s">
        <v>156</v>
      </c>
      <c r="C112" s="125" t="s">
        <v>157</v>
      </c>
      <c r="D112" s="125" t="s">
        <v>1099</v>
      </c>
      <c r="E112" s="125" t="str">
        <f t="shared" si="2"/>
        <v>N/A</v>
      </c>
      <c r="F112" s="113" t="str">
        <f t="shared" si="3"/>
        <v>-</v>
      </c>
      <c r="G112" s="31"/>
    </row>
    <row r="113" spans="1:9" s="8" customFormat="1" ht="25.5" x14ac:dyDescent="0.2">
      <c r="A113" s="124" t="s">
        <v>1485</v>
      </c>
      <c r="B113" s="124" t="s">
        <v>158</v>
      </c>
      <c r="C113" s="125" t="s">
        <v>157</v>
      </c>
      <c r="D113" s="125" t="s">
        <v>1097</v>
      </c>
      <c r="E113" s="125" t="str">
        <f t="shared" si="2"/>
        <v>N/A</v>
      </c>
      <c r="F113" s="113" t="str">
        <f t="shared" si="3"/>
        <v>-</v>
      </c>
      <c r="G113" s="31"/>
    </row>
    <row r="114" spans="1:9" s="8" customFormat="1" ht="38.25" x14ac:dyDescent="0.2">
      <c r="A114" s="124" t="s">
        <v>1486</v>
      </c>
      <c r="B114" s="124" t="s">
        <v>159</v>
      </c>
      <c r="C114" s="125" t="s">
        <v>157</v>
      </c>
      <c r="D114" s="125" t="s">
        <v>1099</v>
      </c>
      <c r="E114" s="125" t="str">
        <f t="shared" si="2"/>
        <v>N/A</v>
      </c>
      <c r="F114" s="113" t="str">
        <f t="shared" si="3"/>
        <v>-</v>
      </c>
      <c r="G114" s="31"/>
    </row>
    <row r="115" spans="1:9" s="8" customFormat="1" ht="25.5" x14ac:dyDescent="0.2">
      <c r="A115" s="124" t="s">
        <v>1487</v>
      </c>
      <c r="B115" s="124" t="s">
        <v>252</v>
      </c>
      <c r="C115" s="125" t="s">
        <v>137</v>
      </c>
      <c r="D115" s="125" t="s">
        <v>1047</v>
      </c>
      <c r="E115" s="125" t="str">
        <f t="shared" si="2"/>
        <v>N/A</v>
      </c>
      <c r="F115" s="113" t="str">
        <f t="shared" si="3"/>
        <v>-</v>
      </c>
      <c r="G115" s="31"/>
    </row>
    <row r="116" spans="1:9" s="8" customFormat="1" ht="48" customHeight="1" x14ac:dyDescent="0.2">
      <c r="A116" s="124" t="s">
        <v>1488</v>
      </c>
      <c r="B116" s="124" t="s">
        <v>1220</v>
      </c>
      <c r="C116" s="125" t="s">
        <v>146</v>
      </c>
      <c r="D116" s="125" t="s">
        <v>1099</v>
      </c>
      <c r="E116" s="125" t="str">
        <f t="shared" si="2"/>
        <v>N/A</v>
      </c>
      <c r="F116" s="113" t="str">
        <f t="shared" si="3"/>
        <v>-</v>
      </c>
      <c r="G116" s="31"/>
      <c r="I116" s="31"/>
    </row>
    <row r="117" spans="1:9" ht="25.5" x14ac:dyDescent="0.2">
      <c r="A117" s="124" t="s">
        <v>1489</v>
      </c>
      <c r="B117" s="124" t="s">
        <v>1022</v>
      </c>
      <c r="C117" s="125" t="s">
        <v>146</v>
      </c>
      <c r="D117" s="125">
        <v>25</v>
      </c>
      <c r="E117" s="47"/>
      <c r="F117" s="116"/>
      <c r="G117" s="49"/>
    </row>
    <row r="118" spans="1:9" ht="13.5" thickBot="1" x14ac:dyDescent="0.25">
      <c r="A118" s="155"/>
      <c r="B118" s="147" t="s">
        <v>253</v>
      </c>
      <c r="C118" s="147"/>
      <c r="D118" s="147"/>
      <c r="E118" s="147"/>
      <c r="F118" s="148"/>
    </row>
    <row r="119" spans="1:9" x14ac:dyDescent="0.2">
      <c r="B119" s="51"/>
    </row>
  </sheetData>
  <pageMargins left="0.70866141732283472" right="0.70866141732283472" top="0.74803149606299213" bottom="0.74803149606299213" header="0.31496062992125984" footer="0.31496062992125984"/>
  <pageSetup paperSize="9" scale="75" fitToHeight="0" orientation="portrait" r:id="rId1"/>
  <headerFooter>
    <oddHeader>&amp;L&amp;G&amp;R&amp;G</oddHeader>
    <oddFooter>&amp;L&amp;F&amp;R03/12/2020</oddFooter>
    <firstHeader>&amp;L&amp;G&amp;C&amp;F&amp;R&amp;G</firstHeader>
  </headerFooter>
  <rowBreaks count="2" manualBreakCount="2">
    <brk id="59" max="5" man="1"/>
    <brk id="88" max="5"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749E0-C843-47B5-AEBE-DF47482A7D99}">
  <dimension ref="A2:I119"/>
  <sheetViews>
    <sheetView view="pageLayout" topLeftCell="A112"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23" customWidth="1"/>
    <col min="7" max="7" width="1.5703125" style="21" customWidth="1"/>
    <col min="8" max="16384" width="9.140625" style="16"/>
  </cols>
  <sheetData>
    <row r="2" spans="1:7" x14ac:dyDescent="0.2">
      <c r="A2" s="1" t="s">
        <v>0</v>
      </c>
      <c r="B2" s="1" t="s">
        <v>1</v>
      </c>
      <c r="C2" s="1" t="s">
        <v>2</v>
      </c>
      <c r="D2" s="1" t="s">
        <v>3</v>
      </c>
      <c r="E2" s="1" t="s">
        <v>4</v>
      </c>
      <c r="F2" s="3" t="s">
        <v>5</v>
      </c>
      <c r="G2" s="25"/>
    </row>
    <row r="3" spans="1:7" ht="18" x14ac:dyDescent="0.25">
      <c r="A3" s="40"/>
      <c r="B3" s="140" t="s">
        <v>1058</v>
      </c>
      <c r="C3" s="41"/>
      <c r="D3" s="41"/>
      <c r="E3" s="41" t="s">
        <v>6</v>
      </c>
      <c r="F3" s="20" t="s">
        <v>6</v>
      </c>
    </row>
    <row r="4" spans="1:7" x14ac:dyDescent="0.2">
      <c r="A4" s="45" t="s">
        <v>163</v>
      </c>
      <c r="B4" s="46" t="s">
        <v>164</v>
      </c>
      <c r="C4" s="47"/>
      <c r="D4" s="47"/>
      <c r="E4" s="47"/>
      <c r="F4" s="48"/>
      <c r="G4" s="49"/>
    </row>
    <row r="5" spans="1:7" x14ac:dyDescent="0.2">
      <c r="A5" s="45"/>
      <c r="B5" s="46" t="s">
        <v>165</v>
      </c>
      <c r="C5" s="47"/>
      <c r="D5" s="47"/>
      <c r="E5" s="47"/>
      <c r="F5" s="48"/>
      <c r="G5" s="49"/>
    </row>
    <row r="6" spans="1:7" s="8" customFormat="1" ht="25.5" x14ac:dyDescent="0.2">
      <c r="A6" s="124" t="s">
        <v>1302</v>
      </c>
      <c r="B6" s="124" t="s">
        <v>166</v>
      </c>
      <c r="C6" s="125" t="s">
        <v>54</v>
      </c>
      <c r="D6" s="125" t="s">
        <v>1047</v>
      </c>
      <c r="E6" s="125" t="str">
        <f>IF(ISNUMBER(D6),"","N/A")</f>
        <v>N/A</v>
      </c>
      <c r="F6" s="113" t="str">
        <f>IFERROR(IF(ISNUMBER(D6),D6*E6,"-"),"")</f>
        <v>-</v>
      </c>
      <c r="G6" s="31"/>
    </row>
    <row r="7" spans="1:7" s="8" customFormat="1" ht="25.5" x14ac:dyDescent="0.2">
      <c r="A7" s="124" t="s">
        <v>1303</v>
      </c>
      <c r="B7" s="124" t="s">
        <v>167</v>
      </c>
      <c r="C7" s="125" t="s">
        <v>137</v>
      </c>
      <c r="D7" s="125" t="s">
        <v>1047</v>
      </c>
      <c r="E7" s="125" t="str">
        <f t="shared" ref="E7:E75" si="0">IF(ISNUMBER(D7),"","N/A")</f>
        <v>N/A</v>
      </c>
      <c r="F7" s="113" t="str">
        <f t="shared" ref="F7:F75" si="1">IFERROR(IF(ISNUMBER(D7),D7*E7,"-"),"")</f>
        <v>-</v>
      </c>
      <c r="G7" s="31"/>
    </row>
    <row r="8" spans="1:7" s="8" customFormat="1" ht="25.5" x14ac:dyDescent="0.2">
      <c r="A8" s="124" t="s">
        <v>1304</v>
      </c>
      <c r="B8" s="124" t="s">
        <v>168</v>
      </c>
      <c r="C8" s="125" t="s">
        <v>137</v>
      </c>
      <c r="D8" s="125" t="s">
        <v>1047</v>
      </c>
      <c r="E8" s="125" t="str">
        <f t="shared" si="0"/>
        <v>N/A</v>
      </c>
      <c r="F8" s="113" t="str">
        <f t="shared" si="1"/>
        <v>-</v>
      </c>
      <c r="G8" s="31"/>
    </row>
    <row r="9" spans="1:7" s="8" customFormat="1" ht="38.25" x14ac:dyDescent="0.2">
      <c r="A9" s="124" t="s">
        <v>1305</v>
      </c>
      <c r="B9" s="124" t="s">
        <v>1173</v>
      </c>
      <c r="C9" s="125" t="s">
        <v>143</v>
      </c>
      <c r="D9" s="125" t="s">
        <v>1047</v>
      </c>
      <c r="E9" s="125" t="str">
        <f t="shared" si="0"/>
        <v>N/A</v>
      </c>
      <c r="F9" s="113" t="str">
        <f t="shared" si="1"/>
        <v>-</v>
      </c>
      <c r="G9" s="31"/>
    </row>
    <row r="10" spans="1:7" s="8" customFormat="1" ht="51" x14ac:dyDescent="0.2">
      <c r="A10" s="124" t="s">
        <v>1306</v>
      </c>
      <c r="B10" s="124" t="s">
        <v>169</v>
      </c>
      <c r="C10" s="125" t="s">
        <v>170</v>
      </c>
      <c r="D10" s="125" t="s">
        <v>1047</v>
      </c>
      <c r="E10" s="125" t="str">
        <f t="shared" si="0"/>
        <v>N/A</v>
      </c>
      <c r="F10" s="113" t="str">
        <f t="shared" si="1"/>
        <v>-</v>
      </c>
      <c r="G10" s="31"/>
    </row>
    <row r="11" spans="1:7" s="8" customFormat="1" ht="38.25" x14ac:dyDescent="0.2">
      <c r="A11" s="124" t="s">
        <v>1307</v>
      </c>
      <c r="B11" s="124" t="s">
        <v>171</v>
      </c>
      <c r="C11" s="125" t="s">
        <v>137</v>
      </c>
      <c r="D11" s="125" t="s">
        <v>1047</v>
      </c>
      <c r="E11" s="125" t="str">
        <f t="shared" si="0"/>
        <v>N/A</v>
      </c>
      <c r="F11" s="113" t="str">
        <f t="shared" si="1"/>
        <v>-</v>
      </c>
      <c r="G11" s="31"/>
    </row>
    <row r="12" spans="1:7" s="8" customFormat="1" x14ac:dyDescent="0.2">
      <c r="A12" s="124"/>
      <c r="B12" s="124"/>
      <c r="C12" s="125"/>
      <c r="D12" s="125"/>
      <c r="E12" s="125"/>
      <c r="F12" s="113"/>
      <c r="G12" s="31"/>
    </row>
    <row r="13" spans="1:7" s="8" customFormat="1" ht="25.5" x14ac:dyDescent="0.2">
      <c r="A13" s="124"/>
      <c r="B13" s="35" t="s">
        <v>172</v>
      </c>
      <c r="C13" s="125"/>
      <c r="D13" s="125"/>
      <c r="E13" s="125"/>
      <c r="F13" s="113"/>
      <c r="G13" s="31"/>
    </row>
    <row r="14" spans="1:7" s="8" customFormat="1" ht="38.25" x14ac:dyDescent="0.2">
      <c r="A14" s="124" t="s">
        <v>1308</v>
      </c>
      <c r="B14" s="124" t="s">
        <v>173</v>
      </c>
      <c r="C14" s="125" t="s">
        <v>54</v>
      </c>
      <c r="D14" s="125" t="s">
        <v>1047</v>
      </c>
      <c r="E14" s="125" t="str">
        <f t="shared" si="0"/>
        <v>N/A</v>
      </c>
      <c r="F14" s="113" t="str">
        <f t="shared" si="1"/>
        <v>-</v>
      </c>
      <c r="G14" s="31"/>
    </row>
    <row r="15" spans="1:7" s="8" customFormat="1" ht="63.75" x14ac:dyDescent="0.2">
      <c r="A15" s="124" t="s">
        <v>1309</v>
      </c>
      <c r="B15" s="124" t="s">
        <v>174</v>
      </c>
      <c r="C15" s="125" t="s">
        <v>54</v>
      </c>
      <c r="D15" s="125" t="s">
        <v>1047</v>
      </c>
      <c r="E15" s="125" t="str">
        <f t="shared" si="0"/>
        <v>N/A</v>
      </c>
      <c r="F15" s="113" t="str">
        <f t="shared" si="1"/>
        <v>-</v>
      </c>
      <c r="G15" s="31"/>
    </row>
    <row r="16" spans="1:7" s="8" customFormat="1" ht="25.5" x14ac:dyDescent="0.2">
      <c r="A16" s="124" t="s">
        <v>1310</v>
      </c>
      <c r="B16" s="124" t="s">
        <v>175</v>
      </c>
      <c r="C16" s="125" t="s">
        <v>54</v>
      </c>
      <c r="D16" s="125" t="s">
        <v>1047</v>
      </c>
      <c r="E16" s="125" t="str">
        <f t="shared" si="0"/>
        <v>N/A</v>
      </c>
      <c r="F16" s="113" t="str">
        <f t="shared" si="1"/>
        <v>-</v>
      </c>
      <c r="G16" s="31"/>
    </row>
    <row r="17" spans="1:7" s="8" customFormat="1" ht="38.25" x14ac:dyDescent="0.2">
      <c r="A17" s="124" t="s">
        <v>1311</v>
      </c>
      <c r="B17" s="124" t="s">
        <v>176</v>
      </c>
      <c r="C17" s="125" t="s">
        <v>146</v>
      </c>
      <c r="D17" s="114" t="s">
        <v>1047</v>
      </c>
      <c r="E17" s="125" t="str">
        <f t="shared" si="0"/>
        <v>N/A</v>
      </c>
      <c r="F17" s="113" t="str">
        <f t="shared" si="1"/>
        <v>-</v>
      </c>
      <c r="G17" s="31"/>
    </row>
    <row r="18" spans="1:7" s="8" customFormat="1" ht="38.25" x14ac:dyDescent="0.2">
      <c r="A18" s="124" t="s">
        <v>1312</v>
      </c>
      <c r="B18" s="124" t="s">
        <v>1223</v>
      </c>
      <c r="C18" s="125" t="s">
        <v>143</v>
      </c>
      <c r="D18" s="125" t="s">
        <v>1047</v>
      </c>
      <c r="E18" s="125" t="str">
        <f t="shared" si="0"/>
        <v>N/A</v>
      </c>
      <c r="F18" s="113" t="str">
        <f t="shared" si="1"/>
        <v>-</v>
      </c>
      <c r="G18" s="31"/>
    </row>
    <row r="19" spans="1:7" s="8" customFormat="1" ht="38.25" x14ac:dyDescent="0.2">
      <c r="A19" s="124" t="s">
        <v>1313</v>
      </c>
      <c r="B19" s="124" t="s">
        <v>177</v>
      </c>
      <c r="C19" s="125" t="s">
        <v>137</v>
      </c>
      <c r="D19" s="125" t="s">
        <v>1047</v>
      </c>
      <c r="E19" s="125" t="str">
        <f t="shared" si="0"/>
        <v>N/A</v>
      </c>
      <c r="F19" s="113" t="str">
        <f t="shared" si="1"/>
        <v>-</v>
      </c>
      <c r="G19" s="31"/>
    </row>
    <row r="20" spans="1:7" s="8" customFormat="1" ht="25.5" x14ac:dyDescent="0.2">
      <c r="A20" s="124" t="s">
        <v>1314</v>
      </c>
      <c r="B20" s="124" t="s">
        <v>178</v>
      </c>
      <c r="C20" s="125" t="s">
        <v>137</v>
      </c>
      <c r="D20" s="125" t="s">
        <v>1047</v>
      </c>
      <c r="E20" s="125" t="str">
        <f t="shared" si="0"/>
        <v>N/A</v>
      </c>
      <c r="F20" s="113" t="str">
        <f t="shared" si="1"/>
        <v>-</v>
      </c>
      <c r="G20" s="31"/>
    </row>
    <row r="21" spans="1:7" s="8" customFormat="1" ht="25.5" x14ac:dyDescent="0.2">
      <c r="A21" s="124" t="s">
        <v>1315</v>
      </c>
      <c r="B21" s="124" t="s">
        <v>179</v>
      </c>
      <c r="C21" s="125" t="s">
        <v>137</v>
      </c>
      <c r="D21" s="125" t="s">
        <v>1047</v>
      </c>
      <c r="E21" s="125" t="str">
        <f t="shared" si="0"/>
        <v>N/A</v>
      </c>
      <c r="F21" s="113" t="str">
        <f t="shared" si="1"/>
        <v>-</v>
      </c>
      <c r="G21" s="31"/>
    </row>
    <row r="22" spans="1:7" s="8" customFormat="1" ht="38.25" x14ac:dyDescent="0.2">
      <c r="A22" s="124" t="s">
        <v>1316</v>
      </c>
      <c r="B22" s="124" t="s">
        <v>1210</v>
      </c>
      <c r="C22" s="125" t="s">
        <v>137</v>
      </c>
      <c r="D22" s="125" t="s">
        <v>1047</v>
      </c>
      <c r="E22" s="125" t="str">
        <f t="shared" si="0"/>
        <v>N/A</v>
      </c>
      <c r="F22" s="113" t="str">
        <f t="shared" si="1"/>
        <v>-</v>
      </c>
      <c r="G22" s="31"/>
    </row>
    <row r="23" spans="1:7" s="8" customFormat="1" x14ac:dyDescent="0.2">
      <c r="A23" s="124"/>
      <c r="B23" s="124"/>
      <c r="C23" s="125"/>
      <c r="D23" s="125"/>
      <c r="E23" s="125"/>
      <c r="F23" s="113"/>
      <c r="G23" s="31"/>
    </row>
    <row r="24" spans="1:7" s="8" customFormat="1" ht="25.5" x14ac:dyDescent="0.2">
      <c r="A24" s="124"/>
      <c r="B24" s="35" t="s">
        <v>180</v>
      </c>
      <c r="C24" s="125"/>
      <c r="D24" s="125"/>
      <c r="E24" s="125"/>
      <c r="F24" s="113"/>
      <c r="G24" s="31"/>
    </row>
    <row r="25" spans="1:7" s="8" customFormat="1" ht="51" x14ac:dyDescent="0.2">
      <c r="A25" s="124" t="s">
        <v>1317</v>
      </c>
      <c r="B25" s="124" t="s">
        <v>181</v>
      </c>
      <c r="C25" s="125" t="s">
        <v>54</v>
      </c>
      <c r="D25" s="125" t="s">
        <v>1098</v>
      </c>
      <c r="E25" s="125" t="str">
        <f t="shared" si="0"/>
        <v>N/A</v>
      </c>
      <c r="F25" s="113" t="str">
        <f t="shared" si="1"/>
        <v>-</v>
      </c>
      <c r="G25" s="31"/>
    </row>
    <row r="26" spans="1:7" s="8" customFormat="1" ht="51" x14ac:dyDescent="0.2">
      <c r="A26" s="124" t="s">
        <v>1318</v>
      </c>
      <c r="B26" s="124" t="s">
        <v>1109</v>
      </c>
      <c r="C26" s="125" t="s">
        <v>54</v>
      </c>
      <c r="D26" s="125">
        <v>2</v>
      </c>
      <c r="E26" s="125"/>
      <c r="F26" s="113"/>
      <c r="G26" s="31"/>
    </row>
    <row r="27" spans="1:7" s="8" customFormat="1" ht="63.75" x14ac:dyDescent="0.2">
      <c r="A27" s="124" t="s">
        <v>1319</v>
      </c>
      <c r="B27" s="124" t="s">
        <v>182</v>
      </c>
      <c r="C27" s="125" t="s">
        <v>54</v>
      </c>
      <c r="D27" s="125" t="s">
        <v>1047</v>
      </c>
      <c r="E27" s="125" t="str">
        <f t="shared" si="0"/>
        <v>N/A</v>
      </c>
      <c r="F27" s="113" t="str">
        <f t="shared" si="1"/>
        <v>-</v>
      </c>
      <c r="G27" s="31"/>
    </row>
    <row r="28" spans="1:7" s="8" customFormat="1" ht="51" x14ac:dyDescent="0.2">
      <c r="A28" s="124" t="s">
        <v>1320</v>
      </c>
      <c r="B28" s="124" t="s">
        <v>183</v>
      </c>
      <c r="C28" s="125" t="s">
        <v>54</v>
      </c>
      <c r="D28" s="125" t="s">
        <v>1047</v>
      </c>
      <c r="E28" s="125" t="str">
        <f>IF(ISNUMBER(D28),"","N/A")</f>
        <v>N/A</v>
      </c>
      <c r="F28" s="113" t="str">
        <f t="shared" si="1"/>
        <v>-</v>
      </c>
      <c r="G28" s="31"/>
    </row>
    <row r="29" spans="1:7" s="8" customFormat="1" ht="63.75" x14ac:dyDescent="0.2">
      <c r="A29" s="124" t="s">
        <v>1321</v>
      </c>
      <c r="B29" s="124" t="s">
        <v>184</v>
      </c>
      <c r="C29" s="125" t="s">
        <v>54</v>
      </c>
      <c r="D29" s="125" t="s">
        <v>1047</v>
      </c>
      <c r="E29" s="125" t="str">
        <f t="shared" si="0"/>
        <v>N/A</v>
      </c>
      <c r="F29" s="113" t="str">
        <f t="shared" si="1"/>
        <v>-</v>
      </c>
      <c r="G29" s="31"/>
    </row>
    <row r="30" spans="1:7" s="8" customFormat="1" ht="76.5" x14ac:dyDescent="0.2">
      <c r="A30" s="124" t="s">
        <v>1322</v>
      </c>
      <c r="B30" s="124" t="s">
        <v>185</v>
      </c>
      <c r="C30" s="125" t="s">
        <v>54</v>
      </c>
      <c r="D30" s="125" t="s">
        <v>1047</v>
      </c>
      <c r="E30" s="125" t="str">
        <f>IF(ISNUMBER(D30),"","N/A")</f>
        <v>N/A</v>
      </c>
      <c r="F30" s="113" t="str">
        <f t="shared" si="1"/>
        <v>-</v>
      </c>
      <c r="G30" s="31"/>
    </row>
    <row r="31" spans="1:7" s="8" customFormat="1" ht="35.1" customHeight="1" x14ac:dyDescent="0.2">
      <c r="A31" s="124" t="s">
        <v>1323</v>
      </c>
      <c r="B31" s="124" t="s">
        <v>186</v>
      </c>
      <c r="C31" s="125" t="s">
        <v>54</v>
      </c>
      <c r="D31" s="125" t="s">
        <v>1047</v>
      </c>
      <c r="E31" s="125" t="str">
        <f t="shared" si="0"/>
        <v>N/A</v>
      </c>
      <c r="F31" s="113" t="str">
        <f t="shared" si="1"/>
        <v>-</v>
      </c>
      <c r="G31" s="31"/>
    </row>
    <row r="32" spans="1:7" s="8" customFormat="1" ht="25.5" x14ac:dyDescent="0.2">
      <c r="A32" s="124" t="s">
        <v>1324</v>
      </c>
      <c r="B32" s="124" t="s">
        <v>187</v>
      </c>
      <c r="C32" s="125" t="s">
        <v>54</v>
      </c>
      <c r="D32" s="125" t="s">
        <v>1047</v>
      </c>
      <c r="E32" s="125" t="str">
        <f t="shared" si="0"/>
        <v>N/A</v>
      </c>
      <c r="F32" s="113" t="str">
        <f t="shared" si="1"/>
        <v>-</v>
      </c>
      <c r="G32" s="31"/>
    </row>
    <row r="33" spans="1:9" s="8" customFormat="1" ht="38.25" x14ac:dyDescent="0.2">
      <c r="A33" s="124" t="s">
        <v>1325</v>
      </c>
      <c r="B33" s="124" t="s">
        <v>188</v>
      </c>
      <c r="C33" s="125" t="s">
        <v>146</v>
      </c>
      <c r="D33" s="114">
        <v>2</v>
      </c>
      <c r="E33" s="125" t="str">
        <f t="shared" si="0"/>
        <v/>
      </c>
      <c r="F33" s="113"/>
      <c r="G33" s="31"/>
      <c r="I33" s="31"/>
    </row>
    <row r="34" spans="1:9" s="8" customFormat="1" ht="38.25" x14ac:dyDescent="0.2">
      <c r="A34" s="124" t="s">
        <v>1326</v>
      </c>
      <c r="B34" s="124" t="s">
        <v>1169</v>
      </c>
      <c r="C34" s="125" t="s">
        <v>143</v>
      </c>
      <c r="D34" s="114">
        <v>2</v>
      </c>
      <c r="E34" s="125" t="str">
        <f t="shared" si="0"/>
        <v/>
      </c>
      <c r="F34" s="113"/>
      <c r="G34" s="31"/>
    </row>
    <row r="35" spans="1:9" s="8" customFormat="1" ht="38.25" x14ac:dyDescent="0.2">
      <c r="A35" s="124" t="s">
        <v>1327</v>
      </c>
      <c r="B35" s="124" t="s">
        <v>189</v>
      </c>
      <c r="C35" s="125" t="s">
        <v>54</v>
      </c>
      <c r="D35" s="125" t="s">
        <v>1047</v>
      </c>
      <c r="E35" s="125" t="str">
        <f t="shared" si="0"/>
        <v>N/A</v>
      </c>
      <c r="F35" s="113" t="str">
        <f t="shared" si="1"/>
        <v>-</v>
      </c>
      <c r="G35" s="31"/>
    </row>
    <row r="36" spans="1:9" s="8" customFormat="1" x14ac:dyDescent="0.2">
      <c r="A36" s="124"/>
      <c r="B36" s="124"/>
      <c r="C36" s="125"/>
      <c r="D36" s="125"/>
      <c r="E36" s="125"/>
      <c r="F36" s="113"/>
      <c r="G36" s="31"/>
    </row>
    <row r="37" spans="1:9" s="8" customFormat="1" x14ac:dyDescent="0.2">
      <c r="A37" s="124"/>
      <c r="B37" s="35" t="s">
        <v>190</v>
      </c>
      <c r="C37" s="151"/>
      <c r="D37" s="125"/>
      <c r="E37" s="125"/>
      <c r="F37" s="113"/>
      <c r="G37" s="31"/>
    </row>
    <row r="38" spans="1:9" s="8" customFormat="1" ht="51" x14ac:dyDescent="0.2">
      <c r="A38" s="124" t="s">
        <v>1328</v>
      </c>
      <c r="B38" s="124" t="s">
        <v>1211</v>
      </c>
      <c r="C38" s="125" t="s">
        <v>137</v>
      </c>
      <c r="D38" s="125" t="s">
        <v>1047</v>
      </c>
      <c r="E38" s="125" t="str">
        <f t="shared" si="0"/>
        <v>N/A</v>
      </c>
      <c r="F38" s="113" t="str">
        <f t="shared" si="1"/>
        <v>-</v>
      </c>
      <c r="G38" s="31"/>
    </row>
    <row r="39" spans="1:9" s="8" customFormat="1" ht="25.5" x14ac:dyDescent="0.2">
      <c r="A39" s="124" t="s">
        <v>1329</v>
      </c>
      <c r="B39" s="124" t="s">
        <v>191</v>
      </c>
      <c r="C39" s="125" t="s">
        <v>137</v>
      </c>
      <c r="D39" s="125" t="s">
        <v>1047</v>
      </c>
      <c r="E39" s="125" t="str">
        <f t="shared" si="0"/>
        <v>N/A</v>
      </c>
      <c r="F39" s="113" t="str">
        <f t="shared" si="1"/>
        <v>-</v>
      </c>
      <c r="G39" s="31"/>
    </row>
    <row r="40" spans="1:9" s="8" customFormat="1" ht="25.5" x14ac:dyDescent="0.2">
      <c r="A40" s="124" t="s">
        <v>1330</v>
      </c>
      <c r="B40" s="124" t="s">
        <v>192</v>
      </c>
      <c r="C40" s="125" t="s">
        <v>137</v>
      </c>
      <c r="D40" s="125" t="s">
        <v>1047</v>
      </c>
      <c r="E40" s="125" t="str">
        <f t="shared" si="0"/>
        <v>N/A</v>
      </c>
      <c r="F40" s="113" t="str">
        <f t="shared" si="1"/>
        <v>-</v>
      </c>
      <c r="G40" s="31"/>
    </row>
    <row r="41" spans="1:9" s="8" customFormat="1" ht="25.5" x14ac:dyDescent="0.2">
      <c r="A41" s="124" t="s">
        <v>1331</v>
      </c>
      <c r="B41" s="124" t="s">
        <v>193</v>
      </c>
      <c r="C41" s="125" t="s">
        <v>137</v>
      </c>
      <c r="D41" s="125" t="s">
        <v>1047</v>
      </c>
      <c r="E41" s="125" t="str">
        <f t="shared" si="0"/>
        <v>N/A</v>
      </c>
      <c r="F41" s="113" t="str">
        <f t="shared" si="1"/>
        <v>-</v>
      </c>
      <c r="G41" s="31"/>
    </row>
    <row r="42" spans="1:9" s="8" customFormat="1" ht="25.5" x14ac:dyDescent="0.2">
      <c r="A42" s="124" t="s">
        <v>1332</v>
      </c>
      <c r="B42" s="124" t="s">
        <v>194</v>
      </c>
      <c r="C42" s="125" t="s">
        <v>137</v>
      </c>
      <c r="D42" s="125" t="s">
        <v>1047</v>
      </c>
      <c r="E42" s="125" t="str">
        <f t="shared" si="0"/>
        <v>N/A</v>
      </c>
      <c r="F42" s="113" t="str">
        <f t="shared" si="1"/>
        <v>-</v>
      </c>
      <c r="G42" s="31"/>
    </row>
    <row r="43" spans="1:9" s="8" customFormat="1" ht="25.5" x14ac:dyDescent="0.2">
      <c r="A43" s="124" t="s">
        <v>1333</v>
      </c>
      <c r="B43" s="124" t="s">
        <v>195</v>
      </c>
      <c r="C43" s="125" t="s">
        <v>137</v>
      </c>
      <c r="D43" s="125" t="s">
        <v>1047</v>
      </c>
      <c r="E43" s="125" t="str">
        <f t="shared" si="0"/>
        <v>N/A</v>
      </c>
      <c r="F43" s="113" t="str">
        <f t="shared" si="1"/>
        <v>-</v>
      </c>
      <c r="G43" s="31"/>
    </row>
    <row r="44" spans="1:9" s="8" customFormat="1" ht="51" x14ac:dyDescent="0.2">
      <c r="A44" s="124" t="s">
        <v>1334</v>
      </c>
      <c r="B44" s="124" t="s">
        <v>196</v>
      </c>
      <c r="C44" s="125" t="s">
        <v>137</v>
      </c>
      <c r="D44" s="125" t="s">
        <v>1047</v>
      </c>
      <c r="E44" s="125" t="str">
        <f t="shared" si="0"/>
        <v>N/A</v>
      </c>
      <c r="F44" s="113" t="str">
        <f t="shared" si="1"/>
        <v>-</v>
      </c>
      <c r="G44" s="31"/>
    </row>
    <row r="45" spans="1:9" s="8" customFormat="1" ht="25.5" x14ac:dyDescent="0.2">
      <c r="A45" s="124" t="s">
        <v>1335</v>
      </c>
      <c r="B45" s="124" t="s">
        <v>197</v>
      </c>
      <c r="C45" s="125" t="s">
        <v>137</v>
      </c>
      <c r="D45" s="125" t="s">
        <v>1047</v>
      </c>
      <c r="E45" s="125" t="str">
        <f t="shared" si="0"/>
        <v>N/A</v>
      </c>
      <c r="F45" s="113" t="str">
        <f t="shared" si="1"/>
        <v>-</v>
      </c>
      <c r="G45" s="31"/>
    </row>
    <row r="46" spans="1:9" s="8" customFormat="1" ht="25.5" x14ac:dyDescent="0.2">
      <c r="A46" s="124" t="s">
        <v>1336</v>
      </c>
      <c r="B46" s="124" t="s">
        <v>198</v>
      </c>
      <c r="C46" s="125" t="s">
        <v>137</v>
      </c>
      <c r="D46" s="125" t="s">
        <v>1047</v>
      </c>
      <c r="E46" s="125" t="str">
        <f t="shared" si="0"/>
        <v>N/A</v>
      </c>
      <c r="F46" s="113" t="str">
        <f t="shared" si="1"/>
        <v>-</v>
      </c>
      <c r="G46" s="31"/>
    </row>
    <row r="47" spans="1:9" s="8" customFormat="1" ht="25.5" x14ac:dyDescent="0.2">
      <c r="A47" s="124" t="s">
        <v>1337</v>
      </c>
      <c r="B47" s="124" t="s">
        <v>199</v>
      </c>
      <c r="C47" s="125" t="s">
        <v>137</v>
      </c>
      <c r="D47" s="125" t="s">
        <v>1047</v>
      </c>
      <c r="E47" s="125" t="str">
        <f t="shared" si="0"/>
        <v>N/A</v>
      </c>
      <c r="F47" s="113" t="str">
        <f t="shared" si="1"/>
        <v>-</v>
      </c>
      <c r="G47" s="31"/>
    </row>
    <row r="48" spans="1:9" s="8" customFormat="1" ht="25.5" x14ac:dyDescent="0.2">
      <c r="A48" s="124" t="s">
        <v>1338</v>
      </c>
      <c r="B48" s="124" t="s">
        <v>200</v>
      </c>
      <c r="C48" s="125" t="s">
        <v>137</v>
      </c>
      <c r="D48" s="125" t="s">
        <v>1047</v>
      </c>
      <c r="E48" s="125" t="str">
        <f t="shared" si="0"/>
        <v>N/A</v>
      </c>
      <c r="F48" s="113" t="str">
        <f t="shared" si="1"/>
        <v>-</v>
      </c>
      <c r="G48" s="31"/>
    </row>
    <row r="49" spans="1:7" s="8" customFormat="1" ht="25.5" x14ac:dyDescent="0.2">
      <c r="A49" s="124" t="s">
        <v>1339</v>
      </c>
      <c r="B49" s="124" t="s">
        <v>201</v>
      </c>
      <c r="C49" s="125" t="s">
        <v>137</v>
      </c>
      <c r="D49" s="125" t="s">
        <v>1047</v>
      </c>
      <c r="E49" s="125" t="str">
        <f t="shared" si="0"/>
        <v>N/A</v>
      </c>
      <c r="F49" s="113" t="str">
        <f t="shared" si="1"/>
        <v>-</v>
      </c>
      <c r="G49" s="31"/>
    </row>
    <row r="50" spans="1:7" s="8" customFormat="1" ht="51" x14ac:dyDescent="0.2">
      <c r="A50" s="124" t="s">
        <v>1340</v>
      </c>
      <c r="B50" s="124" t="s">
        <v>202</v>
      </c>
      <c r="C50" s="125" t="s">
        <v>146</v>
      </c>
      <c r="D50" s="125" t="s">
        <v>1099</v>
      </c>
      <c r="E50" s="125" t="str">
        <f t="shared" si="0"/>
        <v>N/A</v>
      </c>
      <c r="F50" s="113" t="str">
        <f t="shared" si="1"/>
        <v>-</v>
      </c>
      <c r="G50" s="31"/>
    </row>
    <row r="51" spans="1:7" s="8" customFormat="1" x14ac:dyDescent="0.2">
      <c r="A51" s="124"/>
      <c r="B51" s="124"/>
      <c r="C51" s="125"/>
      <c r="D51" s="125"/>
      <c r="E51" s="125"/>
      <c r="F51" s="113"/>
      <c r="G51" s="31"/>
    </row>
    <row r="52" spans="1:7" s="8" customFormat="1" x14ac:dyDescent="0.2">
      <c r="A52" s="124"/>
      <c r="B52" s="35" t="s">
        <v>203</v>
      </c>
      <c r="C52" s="125"/>
      <c r="D52" s="125"/>
      <c r="E52" s="125"/>
      <c r="F52" s="113"/>
      <c r="G52" s="31"/>
    </row>
    <row r="53" spans="1:7" s="8" customFormat="1" ht="56.85" customHeight="1" x14ac:dyDescent="0.2">
      <c r="A53" s="124" t="s">
        <v>1341</v>
      </c>
      <c r="B53" s="124" t="s">
        <v>204</v>
      </c>
      <c r="C53" s="125" t="s">
        <v>137</v>
      </c>
      <c r="D53" s="125" t="s">
        <v>1047</v>
      </c>
      <c r="E53" s="125" t="str">
        <f>IF(ISNUMBER(D53),"","N/A")</f>
        <v>N/A</v>
      </c>
      <c r="F53" s="113" t="str">
        <f>IFERROR(IF(ISNUMBER(D53),D53*E53,"-"),"")</f>
        <v>-</v>
      </c>
      <c r="G53" s="31"/>
    </row>
    <row r="54" spans="1:7" s="8" customFormat="1" ht="25.5" x14ac:dyDescent="0.2">
      <c r="A54" s="124" t="s">
        <v>1342</v>
      </c>
      <c r="B54" s="124" t="s">
        <v>205</v>
      </c>
      <c r="C54" s="125" t="s">
        <v>137</v>
      </c>
      <c r="D54" s="125" t="s">
        <v>1047</v>
      </c>
      <c r="E54" s="125" t="str">
        <f t="shared" si="0"/>
        <v>N/A</v>
      </c>
      <c r="F54" s="113" t="str">
        <f t="shared" si="1"/>
        <v>-</v>
      </c>
      <c r="G54" s="31"/>
    </row>
    <row r="55" spans="1:7" s="8" customFormat="1" ht="25.5" x14ac:dyDescent="0.2">
      <c r="A55" s="124" t="s">
        <v>1343</v>
      </c>
      <c r="B55" s="124" t="s">
        <v>206</v>
      </c>
      <c r="C55" s="125" t="s">
        <v>137</v>
      </c>
      <c r="D55" s="125" t="s">
        <v>1047</v>
      </c>
      <c r="E55" s="125" t="str">
        <f t="shared" si="0"/>
        <v>N/A</v>
      </c>
      <c r="F55" s="113" t="str">
        <f t="shared" si="1"/>
        <v>-</v>
      </c>
      <c r="G55" s="31"/>
    </row>
    <row r="56" spans="1:7" s="8" customFormat="1" ht="25.5" x14ac:dyDescent="0.2">
      <c r="A56" s="124" t="s">
        <v>1344</v>
      </c>
      <c r="B56" s="124" t="s">
        <v>207</v>
      </c>
      <c r="C56" s="125" t="s">
        <v>137</v>
      </c>
      <c r="D56" s="125" t="s">
        <v>1047</v>
      </c>
      <c r="E56" s="125" t="str">
        <f t="shared" si="0"/>
        <v>N/A</v>
      </c>
      <c r="F56" s="113" t="str">
        <f t="shared" si="1"/>
        <v>-</v>
      </c>
      <c r="G56" s="31"/>
    </row>
    <row r="57" spans="1:7" s="8" customFormat="1" ht="25.5" x14ac:dyDescent="0.2">
      <c r="A57" s="124" t="s">
        <v>1345</v>
      </c>
      <c r="B57" s="124" t="s">
        <v>208</v>
      </c>
      <c r="C57" s="125" t="s">
        <v>137</v>
      </c>
      <c r="D57" s="125" t="s">
        <v>1047</v>
      </c>
      <c r="E57" s="125" t="str">
        <f t="shared" si="0"/>
        <v>N/A</v>
      </c>
      <c r="F57" s="113" t="str">
        <f t="shared" si="1"/>
        <v>-</v>
      </c>
      <c r="G57" s="31"/>
    </row>
    <row r="58" spans="1:7" s="8" customFormat="1" ht="25.5" x14ac:dyDescent="0.2">
      <c r="A58" s="124" t="s">
        <v>1346</v>
      </c>
      <c r="B58" s="124" t="s">
        <v>209</v>
      </c>
      <c r="C58" s="125" t="s">
        <v>137</v>
      </c>
      <c r="D58" s="125" t="s">
        <v>1047</v>
      </c>
      <c r="E58" s="125" t="str">
        <f t="shared" si="0"/>
        <v>N/A</v>
      </c>
      <c r="F58" s="113" t="str">
        <f t="shared" si="1"/>
        <v>-</v>
      </c>
      <c r="G58" s="31"/>
    </row>
    <row r="59" spans="1:7" s="8" customFormat="1" ht="25.5" x14ac:dyDescent="0.2">
      <c r="A59" s="124" t="s">
        <v>1347</v>
      </c>
      <c r="B59" s="124" t="s">
        <v>210</v>
      </c>
      <c r="C59" s="125" t="s">
        <v>137</v>
      </c>
      <c r="D59" s="125" t="s">
        <v>1047</v>
      </c>
      <c r="E59" s="125" t="str">
        <f t="shared" si="0"/>
        <v>N/A</v>
      </c>
      <c r="F59" s="113" t="str">
        <f t="shared" si="1"/>
        <v>-</v>
      </c>
      <c r="G59" s="31"/>
    </row>
    <row r="60" spans="1:7" s="8" customFormat="1" ht="54" customHeight="1" x14ac:dyDescent="0.2">
      <c r="A60" s="124" t="s">
        <v>1348</v>
      </c>
      <c r="B60" s="124" t="s">
        <v>211</v>
      </c>
      <c r="C60" s="125" t="s">
        <v>137</v>
      </c>
      <c r="D60" s="125">
        <v>5</v>
      </c>
      <c r="E60" s="125" t="str">
        <f t="shared" si="0"/>
        <v/>
      </c>
      <c r="F60" s="113"/>
      <c r="G60" s="31"/>
    </row>
    <row r="61" spans="1:7" s="8" customFormat="1" ht="25.5" x14ac:dyDescent="0.2">
      <c r="A61" s="124" t="s">
        <v>1349</v>
      </c>
      <c r="B61" s="124" t="s">
        <v>212</v>
      </c>
      <c r="C61" s="125" t="s">
        <v>137</v>
      </c>
      <c r="D61" s="125">
        <v>20</v>
      </c>
      <c r="E61" s="125" t="str">
        <f t="shared" si="0"/>
        <v/>
      </c>
      <c r="F61" s="113"/>
      <c r="G61" s="31"/>
    </row>
    <row r="62" spans="1:7" s="8" customFormat="1" ht="25.5" x14ac:dyDescent="0.2">
      <c r="A62" s="124" t="s">
        <v>1350</v>
      </c>
      <c r="B62" s="124" t="s">
        <v>213</v>
      </c>
      <c r="C62" s="125" t="s">
        <v>137</v>
      </c>
      <c r="D62" s="125">
        <v>10</v>
      </c>
      <c r="E62" s="125" t="str">
        <f t="shared" si="0"/>
        <v/>
      </c>
      <c r="F62" s="113"/>
      <c r="G62" s="31"/>
    </row>
    <row r="63" spans="1:7" s="8" customFormat="1" ht="25.5" x14ac:dyDescent="0.2">
      <c r="A63" s="124" t="s">
        <v>1351</v>
      </c>
      <c r="B63" s="124" t="s">
        <v>214</v>
      </c>
      <c r="C63" s="125" t="s">
        <v>137</v>
      </c>
      <c r="D63" s="125" t="s">
        <v>1047</v>
      </c>
      <c r="E63" s="125" t="str">
        <f t="shared" si="0"/>
        <v>N/A</v>
      </c>
      <c r="F63" s="113" t="str">
        <f t="shared" si="1"/>
        <v>-</v>
      </c>
      <c r="G63" s="31"/>
    </row>
    <row r="64" spans="1:7" s="8" customFormat="1" ht="25.5" x14ac:dyDescent="0.2">
      <c r="A64" s="124" t="s">
        <v>1352</v>
      </c>
      <c r="B64" s="124" t="s">
        <v>215</v>
      </c>
      <c r="C64" s="125" t="s">
        <v>137</v>
      </c>
      <c r="D64" s="125" t="s">
        <v>1047</v>
      </c>
      <c r="E64" s="125" t="str">
        <f t="shared" si="0"/>
        <v>N/A</v>
      </c>
      <c r="F64" s="113" t="str">
        <f t="shared" si="1"/>
        <v>-</v>
      </c>
      <c r="G64" s="31"/>
    </row>
    <row r="65" spans="1:7" s="8" customFormat="1" ht="25.5" x14ac:dyDescent="0.2">
      <c r="A65" s="124" t="s">
        <v>1353</v>
      </c>
      <c r="B65" s="124" t="s">
        <v>216</v>
      </c>
      <c r="C65" s="125" t="s">
        <v>137</v>
      </c>
      <c r="D65" s="125" t="s">
        <v>1047</v>
      </c>
      <c r="E65" s="125" t="str">
        <f t="shared" si="0"/>
        <v>N/A</v>
      </c>
      <c r="F65" s="113" t="str">
        <f t="shared" si="1"/>
        <v>-</v>
      </c>
      <c r="G65" s="31"/>
    </row>
    <row r="66" spans="1:7" s="8" customFormat="1" ht="25.5" x14ac:dyDescent="0.2">
      <c r="A66" s="124" t="s">
        <v>1354</v>
      </c>
      <c r="B66" s="124" t="s">
        <v>217</v>
      </c>
      <c r="C66" s="125" t="s">
        <v>137</v>
      </c>
      <c r="D66" s="125" t="s">
        <v>1047</v>
      </c>
      <c r="E66" s="125" t="str">
        <f t="shared" si="0"/>
        <v>N/A</v>
      </c>
      <c r="F66" s="113" t="str">
        <f t="shared" si="1"/>
        <v>-</v>
      </c>
      <c r="G66" s="31"/>
    </row>
    <row r="67" spans="1:7" s="8" customFormat="1" ht="51" x14ac:dyDescent="0.2">
      <c r="A67" s="124" t="s">
        <v>1355</v>
      </c>
      <c r="B67" s="124" t="s">
        <v>218</v>
      </c>
      <c r="C67" s="125" t="s">
        <v>146</v>
      </c>
      <c r="D67" s="125" t="s">
        <v>1099</v>
      </c>
      <c r="E67" s="125" t="str">
        <f t="shared" si="0"/>
        <v>N/A</v>
      </c>
      <c r="F67" s="113" t="str">
        <f t="shared" si="1"/>
        <v>-</v>
      </c>
      <c r="G67" s="31"/>
    </row>
    <row r="68" spans="1:7" s="8" customFormat="1" ht="25.5" x14ac:dyDescent="0.2">
      <c r="A68" s="124" t="s">
        <v>1356</v>
      </c>
      <c r="B68" s="124" t="s">
        <v>219</v>
      </c>
      <c r="C68" s="125" t="s">
        <v>54</v>
      </c>
      <c r="D68" s="125" t="s">
        <v>1047</v>
      </c>
      <c r="E68" s="125" t="str">
        <f t="shared" si="0"/>
        <v>N/A</v>
      </c>
      <c r="F68" s="113" t="str">
        <f t="shared" si="1"/>
        <v>-</v>
      </c>
      <c r="G68" s="31"/>
    </row>
    <row r="69" spans="1:7" s="8" customFormat="1" x14ac:dyDescent="0.2">
      <c r="A69" s="124"/>
      <c r="B69" s="124"/>
      <c r="C69" s="125"/>
      <c r="D69" s="125"/>
      <c r="E69" s="125"/>
      <c r="F69" s="113"/>
      <c r="G69" s="31"/>
    </row>
    <row r="70" spans="1:7" s="8" customFormat="1" ht="25.5" x14ac:dyDescent="0.2">
      <c r="A70" s="124"/>
      <c r="B70" s="35" t="s">
        <v>220</v>
      </c>
      <c r="C70" s="125"/>
      <c r="D70" s="125"/>
      <c r="E70" s="125"/>
      <c r="F70" s="113"/>
      <c r="G70" s="31"/>
    </row>
    <row r="71" spans="1:7" s="8" customFormat="1" ht="38.25" x14ac:dyDescent="0.2">
      <c r="A71" s="124" t="s">
        <v>1357</v>
      </c>
      <c r="B71" s="124" t="s">
        <v>221</v>
      </c>
      <c r="C71" s="125" t="s">
        <v>54</v>
      </c>
      <c r="D71" s="125" t="s">
        <v>1047</v>
      </c>
      <c r="E71" s="125" t="str">
        <f t="shared" si="0"/>
        <v>N/A</v>
      </c>
      <c r="F71" s="113" t="str">
        <f t="shared" si="1"/>
        <v>-</v>
      </c>
      <c r="G71" s="31"/>
    </row>
    <row r="72" spans="1:7" s="8" customFormat="1" ht="25.5" x14ac:dyDescent="0.2">
      <c r="A72" s="124" t="s">
        <v>1358</v>
      </c>
      <c r="B72" s="124" t="s">
        <v>222</v>
      </c>
      <c r="C72" s="125" t="s">
        <v>54</v>
      </c>
      <c r="D72" s="125" t="s">
        <v>1047</v>
      </c>
      <c r="E72" s="125" t="str">
        <f t="shared" si="0"/>
        <v>N/A</v>
      </c>
      <c r="F72" s="113" t="str">
        <f t="shared" si="1"/>
        <v>-</v>
      </c>
      <c r="G72" s="31"/>
    </row>
    <row r="73" spans="1:7" s="8" customFormat="1" ht="38.25" x14ac:dyDescent="0.2">
      <c r="A73" s="124" t="s">
        <v>1359</v>
      </c>
      <c r="B73" s="124" t="s">
        <v>223</v>
      </c>
      <c r="C73" s="125" t="s">
        <v>137</v>
      </c>
      <c r="D73" s="125" t="s">
        <v>1047</v>
      </c>
      <c r="E73" s="125" t="str">
        <f t="shared" si="0"/>
        <v>N/A</v>
      </c>
      <c r="F73" s="113" t="str">
        <f t="shared" si="1"/>
        <v>-</v>
      </c>
      <c r="G73" s="31"/>
    </row>
    <row r="74" spans="1:7" s="8" customFormat="1" ht="25.5" x14ac:dyDescent="0.2">
      <c r="A74" s="124" t="s">
        <v>1360</v>
      </c>
      <c r="B74" s="124" t="s">
        <v>224</v>
      </c>
      <c r="C74" s="125" t="s">
        <v>137</v>
      </c>
      <c r="D74" s="125" t="s">
        <v>1047</v>
      </c>
      <c r="E74" s="125" t="str">
        <f t="shared" si="0"/>
        <v>N/A</v>
      </c>
      <c r="F74" s="113" t="str">
        <f t="shared" si="1"/>
        <v>-</v>
      </c>
      <c r="G74" s="31"/>
    </row>
    <row r="75" spans="1:7" s="8" customFormat="1" ht="25.5" x14ac:dyDescent="0.2">
      <c r="A75" s="124" t="s">
        <v>1361</v>
      </c>
      <c r="B75" s="124" t="s">
        <v>225</v>
      </c>
      <c r="C75" s="125" t="s">
        <v>137</v>
      </c>
      <c r="D75" s="125" t="s">
        <v>1047</v>
      </c>
      <c r="E75" s="125" t="str">
        <f t="shared" si="0"/>
        <v>N/A</v>
      </c>
      <c r="F75" s="113" t="str">
        <f t="shared" si="1"/>
        <v>-</v>
      </c>
      <c r="G75" s="31"/>
    </row>
    <row r="76" spans="1:7" s="8" customFormat="1" ht="25.5" x14ac:dyDescent="0.2">
      <c r="A76" s="124" t="s">
        <v>1362</v>
      </c>
      <c r="B76" s="124" t="s">
        <v>226</v>
      </c>
      <c r="C76" s="125" t="s">
        <v>137</v>
      </c>
      <c r="D76" s="125" t="s">
        <v>1047</v>
      </c>
      <c r="E76" s="125" t="str">
        <f t="shared" ref="E76:E115" si="2">IF(ISNUMBER(D76),"","N/A")</f>
        <v>N/A</v>
      </c>
      <c r="F76" s="113" t="str">
        <f t="shared" ref="F76:F115" si="3">IFERROR(IF(ISNUMBER(D76),D76*E76,"-"),"")</f>
        <v>-</v>
      </c>
      <c r="G76" s="31"/>
    </row>
    <row r="77" spans="1:7" s="8" customFormat="1" ht="25.5" x14ac:dyDescent="0.2">
      <c r="A77" s="124" t="s">
        <v>1363</v>
      </c>
      <c r="B77" s="124" t="s">
        <v>227</v>
      </c>
      <c r="C77" s="125" t="s">
        <v>137</v>
      </c>
      <c r="D77" s="125" t="s">
        <v>1047</v>
      </c>
      <c r="E77" s="125" t="str">
        <f t="shared" si="2"/>
        <v>N/A</v>
      </c>
      <c r="F77" s="113" t="str">
        <f t="shared" si="3"/>
        <v>-</v>
      </c>
      <c r="G77" s="31"/>
    </row>
    <row r="78" spans="1:7" s="8" customFormat="1" ht="51" x14ac:dyDescent="0.2">
      <c r="A78" s="124" t="s">
        <v>1364</v>
      </c>
      <c r="B78" s="124" t="s">
        <v>1170</v>
      </c>
      <c r="C78" s="125" t="s">
        <v>143</v>
      </c>
      <c r="D78" s="125" t="s">
        <v>1047</v>
      </c>
      <c r="E78" s="125" t="str">
        <f t="shared" si="2"/>
        <v>N/A</v>
      </c>
      <c r="F78" s="113" t="str">
        <f t="shared" si="3"/>
        <v>-</v>
      </c>
      <c r="G78" s="31"/>
    </row>
    <row r="79" spans="1:7" s="8" customFormat="1" ht="53.1" customHeight="1" x14ac:dyDescent="0.2">
      <c r="A79" s="124" t="s">
        <v>1365</v>
      </c>
      <c r="B79" s="124" t="s">
        <v>228</v>
      </c>
      <c r="C79" s="125" t="s">
        <v>137</v>
      </c>
      <c r="D79" s="125" t="s">
        <v>1047</v>
      </c>
      <c r="E79" s="125" t="str">
        <f t="shared" si="2"/>
        <v>N/A</v>
      </c>
      <c r="F79" s="113" t="str">
        <f t="shared" si="3"/>
        <v>-</v>
      </c>
      <c r="G79" s="31"/>
    </row>
    <row r="80" spans="1:7" s="8" customFormat="1" ht="19.5" customHeight="1" x14ac:dyDescent="0.2">
      <c r="A80" s="124"/>
      <c r="B80" s="124"/>
      <c r="C80" s="125"/>
      <c r="D80" s="125"/>
      <c r="E80" s="125"/>
      <c r="F80" s="113"/>
      <c r="G80" s="31"/>
    </row>
    <row r="81" spans="1:7" s="8" customFormat="1" x14ac:dyDescent="0.2">
      <c r="A81" s="124"/>
      <c r="B81" s="35" t="s">
        <v>229</v>
      </c>
      <c r="C81" s="125"/>
      <c r="D81" s="125"/>
      <c r="E81" s="125"/>
      <c r="F81" s="113"/>
      <c r="G81" s="31"/>
    </row>
    <row r="82" spans="1:7" s="8" customFormat="1" ht="63.75" x14ac:dyDescent="0.2">
      <c r="A82" s="124" t="s">
        <v>1366</v>
      </c>
      <c r="B82" s="124" t="s">
        <v>230</v>
      </c>
      <c r="C82" s="125" t="s">
        <v>54</v>
      </c>
      <c r="D82" s="125" t="s">
        <v>1047</v>
      </c>
      <c r="E82" s="125" t="str">
        <f t="shared" si="2"/>
        <v>N/A</v>
      </c>
      <c r="F82" s="113" t="str">
        <f t="shared" si="3"/>
        <v>-</v>
      </c>
      <c r="G82" s="31"/>
    </row>
    <row r="83" spans="1:7" s="8" customFormat="1" ht="76.5" x14ac:dyDescent="0.2">
      <c r="A83" s="124" t="s">
        <v>1367</v>
      </c>
      <c r="B83" s="124" t="s">
        <v>231</v>
      </c>
      <c r="C83" s="125" t="s">
        <v>54</v>
      </c>
      <c r="D83" s="125" t="s">
        <v>1047</v>
      </c>
      <c r="E83" s="125" t="str">
        <f t="shared" si="2"/>
        <v>N/A</v>
      </c>
      <c r="F83" s="113" t="str">
        <f t="shared" si="3"/>
        <v>-</v>
      </c>
      <c r="G83" s="31"/>
    </row>
    <row r="84" spans="1:7" s="8" customFormat="1" ht="63.75" x14ac:dyDescent="0.2">
      <c r="A84" s="124" t="s">
        <v>1368</v>
      </c>
      <c r="B84" s="124" t="s">
        <v>232</v>
      </c>
      <c r="C84" s="125" t="s">
        <v>54</v>
      </c>
      <c r="D84" s="125" t="s">
        <v>1047</v>
      </c>
      <c r="E84" s="125" t="str">
        <f t="shared" si="2"/>
        <v>N/A</v>
      </c>
      <c r="F84" s="113" t="str">
        <f t="shared" si="3"/>
        <v>-</v>
      </c>
      <c r="G84" s="31"/>
    </row>
    <row r="85" spans="1:7" s="8" customFormat="1" ht="25.5" x14ac:dyDescent="0.2">
      <c r="A85" s="124" t="s">
        <v>1369</v>
      </c>
      <c r="B85" s="124" t="s">
        <v>233</v>
      </c>
      <c r="C85" s="125" t="s">
        <v>11</v>
      </c>
      <c r="D85" s="125" t="s">
        <v>1047</v>
      </c>
      <c r="E85" s="125" t="str">
        <f t="shared" si="2"/>
        <v>N/A</v>
      </c>
      <c r="F85" s="113" t="str">
        <f t="shared" si="3"/>
        <v>-</v>
      </c>
      <c r="G85" s="31"/>
    </row>
    <row r="86" spans="1:7" s="8" customFormat="1" ht="39" customHeight="1" x14ac:dyDescent="0.2">
      <c r="A86" s="124" t="s">
        <v>1370</v>
      </c>
      <c r="B86" s="124" t="s">
        <v>234</v>
      </c>
      <c r="C86" s="125" t="s">
        <v>146</v>
      </c>
      <c r="D86" s="114" t="s">
        <v>1047</v>
      </c>
      <c r="E86" s="125" t="str">
        <f t="shared" si="2"/>
        <v>N/A</v>
      </c>
      <c r="F86" s="113" t="str">
        <f t="shared" si="3"/>
        <v>-</v>
      </c>
      <c r="G86" s="31"/>
    </row>
    <row r="87" spans="1:7" s="8" customFormat="1" ht="38.25" x14ac:dyDescent="0.2">
      <c r="A87" s="124" t="s">
        <v>1371</v>
      </c>
      <c r="B87" s="124" t="s">
        <v>1171</v>
      </c>
      <c r="C87" s="125" t="s">
        <v>143</v>
      </c>
      <c r="D87" s="125" t="s">
        <v>1047</v>
      </c>
      <c r="E87" s="125" t="str">
        <f t="shared" si="2"/>
        <v>N/A</v>
      </c>
      <c r="F87" s="113" t="str">
        <f t="shared" si="3"/>
        <v>-</v>
      </c>
      <c r="G87" s="31"/>
    </row>
    <row r="88" spans="1:7" s="8" customFormat="1" x14ac:dyDescent="0.2">
      <c r="A88" s="124"/>
      <c r="B88" s="124"/>
      <c r="C88" s="125"/>
      <c r="D88" s="125"/>
      <c r="E88" s="125"/>
      <c r="F88" s="113"/>
      <c r="G88" s="31"/>
    </row>
    <row r="89" spans="1:7" s="8" customFormat="1" ht="25.5" x14ac:dyDescent="0.2">
      <c r="A89" s="124"/>
      <c r="B89" s="35" t="s">
        <v>235</v>
      </c>
      <c r="C89" s="125"/>
      <c r="D89" s="125"/>
      <c r="E89" s="125" t="str">
        <f t="shared" si="2"/>
        <v>N/A</v>
      </c>
      <c r="F89" s="113" t="str">
        <f t="shared" si="3"/>
        <v>-</v>
      </c>
      <c r="G89" s="31"/>
    </row>
    <row r="90" spans="1:7" s="8" customFormat="1" ht="38.25" x14ac:dyDescent="0.2">
      <c r="A90" s="124" t="s">
        <v>1372</v>
      </c>
      <c r="B90" s="124" t="s">
        <v>236</v>
      </c>
      <c r="C90" s="125" t="s">
        <v>137</v>
      </c>
      <c r="D90" s="125" t="s">
        <v>1047</v>
      </c>
      <c r="E90" s="125" t="str">
        <f t="shared" si="2"/>
        <v>N/A</v>
      </c>
      <c r="F90" s="113" t="str">
        <f t="shared" si="3"/>
        <v>-</v>
      </c>
      <c r="G90" s="31"/>
    </row>
    <row r="91" spans="1:7" s="8" customFormat="1" ht="51" x14ac:dyDescent="0.2">
      <c r="A91" s="124" t="s">
        <v>1373</v>
      </c>
      <c r="B91" s="124" t="s">
        <v>237</v>
      </c>
      <c r="C91" s="125" t="s">
        <v>137</v>
      </c>
      <c r="D91" s="125" t="s">
        <v>1047</v>
      </c>
      <c r="E91" s="125" t="str">
        <f t="shared" si="2"/>
        <v>N/A</v>
      </c>
      <c r="F91" s="113" t="str">
        <f t="shared" si="3"/>
        <v>-</v>
      </c>
      <c r="G91" s="31"/>
    </row>
    <row r="92" spans="1:7" s="8" customFormat="1" ht="25.5" x14ac:dyDescent="0.2">
      <c r="A92" s="124" t="s">
        <v>1374</v>
      </c>
      <c r="B92" s="124" t="s">
        <v>238</v>
      </c>
      <c r="C92" s="125" t="s">
        <v>137</v>
      </c>
      <c r="D92" s="125" t="s">
        <v>1047</v>
      </c>
      <c r="E92" s="125" t="str">
        <f t="shared" si="2"/>
        <v>N/A</v>
      </c>
      <c r="F92" s="113" t="str">
        <f t="shared" si="3"/>
        <v>-</v>
      </c>
      <c r="G92" s="31"/>
    </row>
    <row r="93" spans="1:7" s="8" customFormat="1" ht="25.5" x14ac:dyDescent="0.2">
      <c r="A93" s="124" t="s">
        <v>1375</v>
      </c>
      <c r="B93" s="124" t="s">
        <v>239</v>
      </c>
      <c r="C93" s="125" t="s">
        <v>137</v>
      </c>
      <c r="D93" s="125" t="s">
        <v>1047</v>
      </c>
      <c r="E93" s="125" t="str">
        <f t="shared" si="2"/>
        <v>N/A</v>
      </c>
      <c r="F93" s="113" t="str">
        <f t="shared" si="3"/>
        <v>-</v>
      </c>
      <c r="G93" s="31"/>
    </row>
    <row r="94" spans="1:7" s="8" customFormat="1" ht="25.5" x14ac:dyDescent="0.2">
      <c r="A94" s="124" t="s">
        <v>1376</v>
      </c>
      <c r="B94" s="124" t="s">
        <v>240</v>
      </c>
      <c r="C94" s="125" t="s">
        <v>137</v>
      </c>
      <c r="D94" s="125" t="s">
        <v>1047</v>
      </c>
      <c r="E94" s="125" t="str">
        <f t="shared" si="2"/>
        <v>N/A</v>
      </c>
      <c r="F94" s="113" t="str">
        <f t="shared" si="3"/>
        <v>-</v>
      </c>
      <c r="G94" s="31"/>
    </row>
    <row r="95" spans="1:7" s="8" customFormat="1" ht="25.5" x14ac:dyDescent="0.2">
      <c r="A95" s="124" t="s">
        <v>1377</v>
      </c>
      <c r="B95" s="124" t="s">
        <v>241</v>
      </c>
      <c r="C95" s="125" t="s">
        <v>137</v>
      </c>
      <c r="D95" s="125" t="s">
        <v>1047</v>
      </c>
      <c r="E95" s="125" t="str">
        <f t="shared" si="2"/>
        <v>N/A</v>
      </c>
      <c r="F95" s="113" t="str">
        <f t="shared" si="3"/>
        <v>-</v>
      </c>
      <c r="G95" s="31"/>
    </row>
    <row r="96" spans="1:7" s="8" customFormat="1" ht="51" x14ac:dyDescent="0.2">
      <c r="A96" s="124" t="s">
        <v>1378</v>
      </c>
      <c r="B96" s="124" t="s">
        <v>242</v>
      </c>
      <c r="C96" s="125" t="s">
        <v>137</v>
      </c>
      <c r="D96" s="125" t="s">
        <v>1047</v>
      </c>
      <c r="E96" s="125" t="str">
        <f t="shared" si="2"/>
        <v>N/A</v>
      </c>
      <c r="F96" s="113" t="str">
        <f t="shared" si="3"/>
        <v>-</v>
      </c>
      <c r="G96" s="31"/>
    </row>
    <row r="97" spans="1:7" s="8" customFormat="1" ht="25.5" x14ac:dyDescent="0.2">
      <c r="A97" s="124" t="s">
        <v>1379</v>
      </c>
      <c r="B97" s="124" t="s">
        <v>243</v>
      </c>
      <c r="C97" s="125" t="s">
        <v>137</v>
      </c>
      <c r="D97" s="125" t="s">
        <v>1047</v>
      </c>
      <c r="E97" s="125" t="str">
        <f t="shared" si="2"/>
        <v>N/A</v>
      </c>
      <c r="F97" s="113" t="str">
        <f t="shared" si="3"/>
        <v>-</v>
      </c>
      <c r="G97" s="31"/>
    </row>
    <row r="98" spans="1:7" s="8" customFormat="1" ht="25.5" x14ac:dyDescent="0.2">
      <c r="A98" s="124" t="s">
        <v>1380</v>
      </c>
      <c r="B98" s="124" t="s">
        <v>239</v>
      </c>
      <c r="C98" s="125" t="s">
        <v>137</v>
      </c>
      <c r="D98" s="125" t="s">
        <v>1047</v>
      </c>
      <c r="E98" s="125" t="str">
        <f t="shared" si="2"/>
        <v>N/A</v>
      </c>
      <c r="F98" s="113" t="str">
        <f t="shared" si="3"/>
        <v>-</v>
      </c>
      <c r="G98" s="31"/>
    </row>
    <row r="99" spans="1:7" s="8" customFormat="1" ht="25.5" x14ac:dyDescent="0.2">
      <c r="A99" s="124" t="s">
        <v>1381</v>
      </c>
      <c r="B99" s="124" t="s">
        <v>240</v>
      </c>
      <c r="C99" s="125" t="s">
        <v>137</v>
      </c>
      <c r="D99" s="125" t="s">
        <v>1047</v>
      </c>
      <c r="E99" s="125" t="str">
        <f t="shared" si="2"/>
        <v>N/A</v>
      </c>
      <c r="F99" s="113" t="str">
        <f t="shared" si="3"/>
        <v>-</v>
      </c>
      <c r="G99" s="31"/>
    </row>
    <row r="100" spans="1:7" s="8" customFormat="1" ht="25.5" x14ac:dyDescent="0.2">
      <c r="A100" s="124" t="s">
        <v>1382</v>
      </c>
      <c r="B100" s="124" t="s">
        <v>241</v>
      </c>
      <c r="C100" s="125" t="s">
        <v>137</v>
      </c>
      <c r="D100" s="125" t="s">
        <v>1047</v>
      </c>
      <c r="E100" s="125" t="str">
        <f t="shared" si="2"/>
        <v>N/A</v>
      </c>
      <c r="F100" s="113" t="str">
        <f t="shared" si="3"/>
        <v>-</v>
      </c>
      <c r="G100" s="31"/>
    </row>
    <row r="101" spans="1:7" s="8" customFormat="1" ht="38.25" x14ac:dyDescent="0.2">
      <c r="A101" s="124" t="s">
        <v>1383</v>
      </c>
      <c r="B101" s="124" t="s">
        <v>244</v>
      </c>
      <c r="C101" s="125" t="s">
        <v>137</v>
      </c>
      <c r="D101" s="125" t="s">
        <v>1047</v>
      </c>
      <c r="E101" s="125" t="str">
        <f t="shared" si="2"/>
        <v>N/A</v>
      </c>
      <c r="F101" s="113" t="str">
        <f t="shared" si="3"/>
        <v>-</v>
      </c>
      <c r="G101" s="31"/>
    </row>
    <row r="102" spans="1:7" s="8" customFormat="1" x14ac:dyDescent="0.2">
      <c r="A102" s="124"/>
      <c r="B102" s="124"/>
      <c r="C102" s="125"/>
      <c r="D102" s="125"/>
      <c r="E102" s="125"/>
      <c r="F102" s="113"/>
      <c r="G102" s="31"/>
    </row>
    <row r="103" spans="1:7" s="8" customFormat="1" ht="25.5" x14ac:dyDescent="0.2">
      <c r="A103" s="124"/>
      <c r="B103" s="35" t="s">
        <v>245</v>
      </c>
      <c r="C103" s="125"/>
      <c r="D103" s="125"/>
      <c r="E103" s="125"/>
      <c r="F103" s="113"/>
      <c r="G103" s="31"/>
    </row>
    <row r="104" spans="1:7" s="8" customFormat="1" ht="51" x14ac:dyDescent="0.2">
      <c r="A104" s="124" t="s">
        <v>1384</v>
      </c>
      <c r="B104" s="124" t="s">
        <v>246</v>
      </c>
      <c r="C104" s="125" t="s">
        <v>146</v>
      </c>
      <c r="D104" s="114" t="s">
        <v>1047</v>
      </c>
      <c r="E104" s="125" t="str">
        <f t="shared" si="2"/>
        <v>N/A</v>
      </c>
      <c r="F104" s="113" t="str">
        <f t="shared" si="3"/>
        <v>-</v>
      </c>
      <c r="G104" s="31"/>
    </row>
    <row r="105" spans="1:7" s="8" customFormat="1" ht="25.5" x14ac:dyDescent="0.2">
      <c r="A105" s="124" t="s">
        <v>1385</v>
      </c>
      <c r="B105" s="124" t="s">
        <v>247</v>
      </c>
      <c r="C105" s="125" t="s">
        <v>137</v>
      </c>
      <c r="D105" s="125" t="s">
        <v>1047</v>
      </c>
      <c r="E105" s="125" t="str">
        <f t="shared" si="2"/>
        <v>N/A</v>
      </c>
      <c r="F105" s="113" t="str">
        <f t="shared" si="3"/>
        <v>-</v>
      </c>
      <c r="G105" s="31"/>
    </row>
    <row r="106" spans="1:7" s="8" customFormat="1" ht="25.5" x14ac:dyDescent="0.2">
      <c r="A106" s="124" t="s">
        <v>1386</v>
      </c>
      <c r="B106" s="124" t="s">
        <v>248</v>
      </c>
      <c r="C106" s="125" t="s">
        <v>54</v>
      </c>
      <c r="D106" s="125" t="s">
        <v>1047</v>
      </c>
      <c r="E106" s="125" t="str">
        <f t="shared" si="2"/>
        <v>N/A</v>
      </c>
      <c r="F106" s="113" t="str">
        <f t="shared" si="3"/>
        <v>-</v>
      </c>
      <c r="G106" s="31"/>
    </row>
    <row r="107" spans="1:7" s="8" customFormat="1" ht="76.5" x14ac:dyDescent="0.2">
      <c r="A107" s="124" t="s">
        <v>1387</v>
      </c>
      <c r="B107" s="124" t="s">
        <v>249</v>
      </c>
      <c r="C107" s="125" t="s">
        <v>146</v>
      </c>
      <c r="D107" s="114" t="s">
        <v>1047</v>
      </c>
      <c r="E107" s="125" t="str">
        <f t="shared" si="2"/>
        <v>N/A</v>
      </c>
      <c r="F107" s="113" t="str">
        <f t="shared" si="3"/>
        <v>-</v>
      </c>
      <c r="G107" s="31"/>
    </row>
    <row r="108" spans="1:7" s="8" customFormat="1" ht="76.5" x14ac:dyDescent="0.2">
      <c r="A108" s="124" t="s">
        <v>1388</v>
      </c>
      <c r="B108" s="124" t="s">
        <v>250</v>
      </c>
      <c r="C108" s="125" t="s">
        <v>146</v>
      </c>
      <c r="D108" s="114" t="s">
        <v>1047</v>
      </c>
      <c r="E108" s="125" t="str">
        <f t="shared" si="2"/>
        <v>N/A</v>
      </c>
      <c r="F108" s="113" t="str">
        <f t="shared" si="3"/>
        <v>-</v>
      </c>
      <c r="G108" s="31"/>
    </row>
    <row r="109" spans="1:7" s="8" customFormat="1" x14ac:dyDescent="0.2">
      <c r="A109" s="124"/>
      <c r="B109" s="124"/>
      <c r="C109" s="125"/>
      <c r="D109" s="114"/>
      <c r="E109" s="125"/>
      <c r="F109" s="113"/>
      <c r="G109" s="31"/>
    </row>
    <row r="110" spans="1:7" s="8" customFormat="1" x14ac:dyDescent="0.2">
      <c r="A110" s="124"/>
      <c r="B110" s="35" t="s">
        <v>251</v>
      </c>
      <c r="C110" s="125"/>
      <c r="D110" s="125"/>
      <c r="E110" s="125"/>
      <c r="F110" s="113"/>
      <c r="G110" s="31"/>
    </row>
    <row r="111" spans="1:7" s="8" customFormat="1" ht="38.25" x14ac:dyDescent="0.2">
      <c r="A111" s="124" t="s">
        <v>1389</v>
      </c>
      <c r="B111" s="124" t="s">
        <v>156</v>
      </c>
      <c r="C111" s="125" t="s">
        <v>157</v>
      </c>
      <c r="D111" s="125" t="s">
        <v>1099</v>
      </c>
      <c r="E111" s="125" t="str">
        <f t="shared" si="2"/>
        <v>N/A</v>
      </c>
      <c r="F111" s="113" t="str">
        <f t="shared" si="3"/>
        <v>-</v>
      </c>
      <c r="G111" s="31"/>
    </row>
    <row r="112" spans="1:7" s="8" customFormat="1" ht="25.5" x14ac:dyDescent="0.2">
      <c r="A112" s="124" t="s">
        <v>1390</v>
      </c>
      <c r="B112" s="124" t="s">
        <v>158</v>
      </c>
      <c r="C112" s="125" t="s">
        <v>157</v>
      </c>
      <c r="D112" s="125" t="s">
        <v>1097</v>
      </c>
      <c r="E112" s="125" t="str">
        <f t="shared" si="2"/>
        <v>N/A</v>
      </c>
      <c r="F112" s="113" t="str">
        <f t="shared" si="3"/>
        <v>-</v>
      </c>
      <c r="G112" s="31"/>
    </row>
    <row r="113" spans="1:9" s="8" customFormat="1" ht="38.25" x14ac:dyDescent="0.2">
      <c r="A113" s="124" t="s">
        <v>1391</v>
      </c>
      <c r="B113" s="124" t="s">
        <v>159</v>
      </c>
      <c r="C113" s="125" t="s">
        <v>157</v>
      </c>
      <c r="D113" s="125" t="s">
        <v>1099</v>
      </c>
      <c r="E113" s="125" t="str">
        <f t="shared" si="2"/>
        <v>N/A</v>
      </c>
      <c r="F113" s="113" t="str">
        <f t="shared" si="3"/>
        <v>-</v>
      </c>
      <c r="G113" s="31"/>
    </row>
    <row r="114" spans="1:9" s="8" customFormat="1" ht="25.5" x14ac:dyDescent="0.2">
      <c r="A114" s="124" t="s">
        <v>1392</v>
      </c>
      <c r="B114" s="124" t="s">
        <v>252</v>
      </c>
      <c r="C114" s="125" t="s">
        <v>137</v>
      </c>
      <c r="D114" s="125" t="s">
        <v>1047</v>
      </c>
      <c r="E114" s="125" t="str">
        <f t="shared" si="2"/>
        <v>N/A</v>
      </c>
      <c r="F114" s="113" t="str">
        <f t="shared" si="3"/>
        <v>-</v>
      </c>
      <c r="G114" s="31"/>
    </row>
    <row r="115" spans="1:9" s="8" customFormat="1" ht="48" customHeight="1" x14ac:dyDescent="0.2">
      <c r="A115" s="124" t="s">
        <v>1393</v>
      </c>
      <c r="B115" s="124" t="s">
        <v>1110</v>
      </c>
      <c r="C115" s="125" t="s">
        <v>146</v>
      </c>
      <c r="D115" s="125" t="s">
        <v>1099</v>
      </c>
      <c r="E115" s="125" t="str">
        <f t="shared" si="2"/>
        <v>N/A</v>
      </c>
      <c r="F115" s="113" t="str">
        <f t="shared" si="3"/>
        <v>-</v>
      </c>
      <c r="G115" s="31"/>
      <c r="I115" s="31"/>
    </row>
    <row r="116" spans="1:9" ht="25.5" x14ac:dyDescent="0.2">
      <c r="A116" s="124" t="s">
        <v>1394</v>
      </c>
      <c r="B116" s="124" t="s">
        <v>1022</v>
      </c>
      <c r="C116" s="125" t="s">
        <v>146</v>
      </c>
      <c r="D116" s="125">
        <v>5</v>
      </c>
      <c r="E116" s="47"/>
      <c r="F116" s="113"/>
      <c r="G116" s="49"/>
    </row>
    <row r="117" spans="1:9" ht="63.75" x14ac:dyDescent="0.2">
      <c r="A117" s="124" t="s">
        <v>1395</v>
      </c>
      <c r="B117" s="124" t="s">
        <v>1205</v>
      </c>
      <c r="C117" s="125" t="s">
        <v>54</v>
      </c>
      <c r="D117" s="125">
        <v>2</v>
      </c>
      <c r="E117" s="47"/>
      <c r="F117" s="113"/>
      <c r="G117" s="49"/>
    </row>
    <row r="118" spans="1:9" x14ac:dyDescent="0.2">
      <c r="A118" s="17"/>
      <c r="B118" s="158" t="s">
        <v>253</v>
      </c>
      <c r="C118" s="159"/>
      <c r="D118" s="159"/>
      <c r="E118" s="157"/>
      <c r="F118" s="116"/>
    </row>
    <row r="119" spans="1:9" x14ac:dyDescent="0.2">
      <c r="A119" s="17"/>
      <c r="B119" s="156"/>
      <c r="C119" s="18"/>
      <c r="D119" s="18"/>
      <c r="E119" s="18"/>
      <c r="F119" s="42"/>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rowBreaks count="2" manualBreakCount="2">
    <brk id="62" max="5" man="1"/>
    <brk id="90" max="5"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CC0D-1443-45E7-8DFC-8AE268FCF1C8}">
  <dimension ref="A2:U128"/>
  <sheetViews>
    <sheetView view="pageLayout" topLeftCell="A29" zoomScaleNormal="100" zoomScaleSheetLayoutView="100" workbookViewId="0">
      <selection activeCell="H27" sqref="H27"/>
    </sheetView>
  </sheetViews>
  <sheetFormatPr defaultColWidth="9.140625" defaultRowHeight="12.75" x14ac:dyDescent="0.2"/>
  <cols>
    <col min="1" max="1" width="9.140625" style="16"/>
    <col min="2" max="2" width="38.5703125" style="16" customWidth="1"/>
    <col min="3" max="3" width="10.28515625" style="21" customWidth="1"/>
    <col min="4" max="4" width="11.5703125" style="21" customWidth="1"/>
    <col min="5" max="5" width="11.42578125" style="22" customWidth="1"/>
    <col min="6" max="6" width="11.42578125" style="23" customWidth="1"/>
    <col min="7" max="7" width="11.85546875" style="21" customWidth="1"/>
    <col min="8" max="16384" width="9.140625" style="16"/>
  </cols>
  <sheetData>
    <row r="2" spans="1:7" x14ac:dyDescent="0.2">
      <c r="A2" s="1" t="s">
        <v>0</v>
      </c>
      <c r="B2" s="1" t="s">
        <v>1</v>
      </c>
      <c r="C2" s="1" t="s">
        <v>2</v>
      </c>
      <c r="D2" s="1" t="s">
        <v>3</v>
      </c>
      <c r="E2" s="2" t="s">
        <v>4</v>
      </c>
      <c r="F2" s="3" t="s">
        <v>5</v>
      </c>
      <c r="G2" s="25"/>
    </row>
    <row r="3" spans="1:7" ht="18" x14ac:dyDescent="0.25">
      <c r="A3" s="40"/>
      <c r="B3" s="140" t="s">
        <v>1059</v>
      </c>
      <c r="C3" s="41"/>
      <c r="D3" s="41"/>
      <c r="E3" s="61" t="s">
        <v>6</v>
      </c>
      <c r="F3" s="42" t="s">
        <v>6</v>
      </c>
    </row>
    <row r="4" spans="1:7" s="8" customFormat="1" ht="15" x14ac:dyDescent="0.2">
      <c r="A4" s="4" t="s">
        <v>254</v>
      </c>
      <c r="B4" s="52" t="s">
        <v>255</v>
      </c>
      <c r="C4" s="53"/>
      <c r="D4" s="125"/>
      <c r="E4" s="12"/>
      <c r="F4" s="36"/>
      <c r="G4" s="31"/>
    </row>
    <row r="5" spans="1:7" s="8" customFormat="1" ht="51" x14ac:dyDescent="0.2">
      <c r="A5" s="54"/>
      <c r="B5" s="55" t="s">
        <v>256</v>
      </c>
      <c r="C5" s="24"/>
      <c r="D5" s="138"/>
      <c r="E5" s="56"/>
      <c r="F5" s="7"/>
      <c r="G5" s="31"/>
    </row>
    <row r="6" spans="1:7" s="8" customFormat="1" ht="25.5" x14ac:dyDescent="0.2">
      <c r="A6" s="9" t="s">
        <v>257</v>
      </c>
      <c r="B6" s="124" t="s">
        <v>258</v>
      </c>
      <c r="C6" s="125" t="s">
        <v>54</v>
      </c>
      <c r="D6" s="133" t="s">
        <v>1047</v>
      </c>
      <c r="E6" s="11" t="str">
        <f>IF(ISNUMBER(D6),"","N/A")</f>
        <v>N/A</v>
      </c>
      <c r="F6" s="113" t="str">
        <f>IFERROR(IF(ISNUMBER(D6),D6*E6,"-"),"")</f>
        <v>-</v>
      </c>
      <c r="G6" s="31"/>
    </row>
    <row r="7" spans="1:7" s="8" customFormat="1" ht="25.5" x14ac:dyDescent="0.2">
      <c r="A7" s="9" t="s">
        <v>259</v>
      </c>
      <c r="B7" s="124" t="s">
        <v>260</v>
      </c>
      <c r="C7" s="125" t="s">
        <v>146</v>
      </c>
      <c r="D7" s="133" t="s">
        <v>1047</v>
      </c>
      <c r="E7" s="125" t="str">
        <f>IF(ISNUMBER(D7),"","N/A")</f>
        <v>N/A</v>
      </c>
      <c r="F7" s="113" t="str">
        <f>IFERROR(IF(ISNUMBER(D7),D7*E7,"-"),"")</f>
        <v>-</v>
      </c>
      <c r="G7" s="31"/>
    </row>
    <row r="8" spans="1:7" s="8" customFormat="1" x14ac:dyDescent="0.2">
      <c r="A8" s="124"/>
      <c r="B8" s="124"/>
      <c r="C8" s="125"/>
      <c r="D8" s="133"/>
      <c r="E8" s="125"/>
      <c r="F8" s="113"/>
      <c r="G8" s="31"/>
    </row>
    <row r="9" spans="1:7" s="8" customFormat="1" ht="25.5" x14ac:dyDescent="0.2">
      <c r="A9" s="9"/>
      <c r="B9" s="35" t="s">
        <v>261</v>
      </c>
      <c r="C9" s="125"/>
      <c r="D9" s="138"/>
      <c r="E9" s="11"/>
      <c r="F9" s="113"/>
      <c r="G9" s="31"/>
    </row>
    <row r="10" spans="1:7" s="8" customFormat="1" ht="38.25" x14ac:dyDescent="0.2">
      <c r="A10" s="9" t="s">
        <v>262</v>
      </c>
      <c r="B10" s="124" t="s">
        <v>263</v>
      </c>
      <c r="C10" s="125" t="s">
        <v>54</v>
      </c>
      <c r="D10" s="133" t="s">
        <v>1047</v>
      </c>
      <c r="E10" s="11" t="str">
        <f t="shared" ref="E10:E74" si="0">IF(ISNUMBER(D10),"","N/A")</f>
        <v>N/A</v>
      </c>
      <c r="F10" s="113" t="str">
        <f t="shared" ref="F10:F74" si="1">IFERROR(IF(ISNUMBER(D10),D10*E10,"-"),"")</f>
        <v>-</v>
      </c>
      <c r="G10" s="31"/>
    </row>
    <row r="11" spans="1:7" s="8" customFormat="1" ht="51" x14ac:dyDescent="0.2">
      <c r="A11" s="9" t="s">
        <v>264</v>
      </c>
      <c r="B11" s="124" t="s">
        <v>265</v>
      </c>
      <c r="C11" s="125" t="s">
        <v>54</v>
      </c>
      <c r="D11" s="133" t="s">
        <v>1047</v>
      </c>
      <c r="E11" s="11" t="str">
        <f t="shared" si="0"/>
        <v>N/A</v>
      </c>
      <c r="F11" s="113" t="str">
        <f t="shared" si="1"/>
        <v>-</v>
      </c>
      <c r="G11" s="31"/>
    </row>
    <row r="12" spans="1:7" s="8" customFormat="1" ht="25.5" x14ac:dyDescent="0.2">
      <c r="A12" s="9" t="s">
        <v>266</v>
      </c>
      <c r="B12" s="124" t="s">
        <v>267</v>
      </c>
      <c r="C12" s="125" t="s">
        <v>54</v>
      </c>
      <c r="D12" s="133" t="s">
        <v>1047</v>
      </c>
      <c r="E12" s="11" t="str">
        <f t="shared" si="0"/>
        <v>N/A</v>
      </c>
      <c r="F12" s="113" t="str">
        <f t="shared" si="1"/>
        <v>-</v>
      </c>
      <c r="G12" s="31"/>
    </row>
    <row r="13" spans="1:7" s="8" customFormat="1" ht="25.5" x14ac:dyDescent="0.2">
      <c r="A13" s="9" t="s">
        <v>268</v>
      </c>
      <c r="B13" s="124" t="s">
        <v>269</v>
      </c>
      <c r="C13" s="125" t="s">
        <v>54</v>
      </c>
      <c r="D13" s="133" t="s">
        <v>1047</v>
      </c>
      <c r="E13" s="11" t="str">
        <f t="shared" si="0"/>
        <v>N/A</v>
      </c>
      <c r="F13" s="113" t="str">
        <f t="shared" si="1"/>
        <v>-</v>
      </c>
      <c r="G13" s="31"/>
    </row>
    <row r="14" spans="1:7" s="8" customFormat="1" ht="38.25" customHeight="1" x14ac:dyDescent="0.2">
      <c r="A14" s="9" t="s">
        <v>270</v>
      </c>
      <c r="B14" s="124" t="s">
        <v>271</v>
      </c>
      <c r="C14" s="125" t="s">
        <v>1216</v>
      </c>
      <c r="D14" s="133" t="s">
        <v>1047</v>
      </c>
      <c r="E14" s="11" t="str">
        <f t="shared" si="0"/>
        <v>N/A</v>
      </c>
      <c r="F14" s="113" t="str">
        <f t="shared" si="1"/>
        <v>-</v>
      </c>
      <c r="G14" s="31"/>
    </row>
    <row r="15" spans="1:7" s="8" customFormat="1" ht="25.5" x14ac:dyDescent="0.2">
      <c r="A15" s="9" t="s">
        <v>272</v>
      </c>
      <c r="B15" s="124" t="s">
        <v>273</v>
      </c>
      <c r="C15" s="125" t="s">
        <v>137</v>
      </c>
      <c r="D15" s="133" t="s">
        <v>1047</v>
      </c>
      <c r="E15" s="11" t="str">
        <f t="shared" si="0"/>
        <v>N/A</v>
      </c>
      <c r="F15" s="113" t="str">
        <f t="shared" si="1"/>
        <v>-</v>
      </c>
      <c r="G15" s="31"/>
    </row>
    <row r="16" spans="1:7" s="8" customFormat="1" ht="25.5" customHeight="1" x14ac:dyDescent="0.2">
      <c r="A16" s="9" t="s">
        <v>274</v>
      </c>
      <c r="B16" s="124" t="s">
        <v>275</v>
      </c>
      <c r="C16" s="125" t="s">
        <v>137</v>
      </c>
      <c r="D16" s="133" t="s">
        <v>1047</v>
      </c>
      <c r="E16" s="11" t="str">
        <f t="shared" si="0"/>
        <v>N/A</v>
      </c>
      <c r="F16" s="113" t="str">
        <f t="shared" si="1"/>
        <v>-</v>
      </c>
      <c r="G16" s="31"/>
    </row>
    <row r="17" spans="1:8" s="8" customFormat="1" ht="25.5" x14ac:dyDescent="0.2">
      <c r="A17" s="9" t="s">
        <v>276</v>
      </c>
      <c r="B17" s="124" t="s">
        <v>277</v>
      </c>
      <c r="C17" s="125" t="s">
        <v>146</v>
      </c>
      <c r="D17" s="114" t="s">
        <v>1047</v>
      </c>
      <c r="E17" s="11" t="str">
        <f t="shared" si="0"/>
        <v>N/A</v>
      </c>
      <c r="F17" s="113" t="str">
        <f t="shared" si="1"/>
        <v>-</v>
      </c>
      <c r="G17" s="31"/>
    </row>
    <row r="18" spans="1:8" s="8" customFormat="1" ht="25.5" customHeight="1" x14ac:dyDescent="0.2">
      <c r="A18" s="9" t="s">
        <v>278</v>
      </c>
      <c r="B18" s="124" t="s">
        <v>279</v>
      </c>
      <c r="C18" s="125" t="s">
        <v>146</v>
      </c>
      <c r="D18" s="114" t="s">
        <v>1047</v>
      </c>
      <c r="E18" s="11" t="str">
        <f t="shared" si="0"/>
        <v>N/A</v>
      </c>
      <c r="F18" s="113" t="str">
        <f t="shared" si="1"/>
        <v>-</v>
      </c>
      <c r="G18" s="31"/>
    </row>
    <row r="19" spans="1:8" s="8" customFormat="1" ht="25.5" x14ac:dyDescent="0.2">
      <c r="A19" s="9" t="s">
        <v>280</v>
      </c>
      <c r="B19" s="124" t="s">
        <v>281</v>
      </c>
      <c r="C19" s="125" t="s">
        <v>146</v>
      </c>
      <c r="D19" s="114" t="s">
        <v>1047</v>
      </c>
      <c r="E19" s="11" t="str">
        <f t="shared" si="0"/>
        <v>N/A</v>
      </c>
      <c r="F19" s="113" t="str">
        <f t="shared" si="1"/>
        <v>-</v>
      </c>
      <c r="G19" s="31"/>
      <c r="H19" s="31"/>
    </row>
    <row r="20" spans="1:8" s="8" customFormat="1" x14ac:dyDescent="0.2">
      <c r="A20" s="124"/>
      <c r="B20" s="124"/>
      <c r="C20" s="125"/>
      <c r="D20" s="114"/>
      <c r="E20" s="125"/>
      <c r="F20" s="113"/>
      <c r="G20" s="31"/>
      <c r="H20" s="31"/>
    </row>
    <row r="21" spans="1:8" s="8" customFormat="1" ht="15" x14ac:dyDescent="0.2">
      <c r="A21" s="9"/>
      <c r="B21" s="35" t="s">
        <v>282</v>
      </c>
      <c r="C21" s="125"/>
      <c r="D21" s="138"/>
      <c r="E21" s="11"/>
      <c r="F21" s="113"/>
      <c r="G21" s="31"/>
    </row>
    <row r="22" spans="1:8" s="8" customFormat="1" ht="63.75" x14ac:dyDescent="0.2">
      <c r="A22" s="9" t="s">
        <v>283</v>
      </c>
      <c r="B22" s="124" t="s">
        <v>284</v>
      </c>
      <c r="C22" s="125" t="s">
        <v>54</v>
      </c>
      <c r="D22" s="133" t="s">
        <v>1047</v>
      </c>
      <c r="E22" s="11" t="str">
        <f t="shared" si="0"/>
        <v>N/A</v>
      </c>
      <c r="F22" s="113" t="str">
        <f t="shared" si="1"/>
        <v>-</v>
      </c>
      <c r="G22" s="31"/>
    </row>
    <row r="23" spans="1:8" s="8" customFormat="1" ht="62.85" customHeight="1" x14ac:dyDescent="0.2">
      <c r="A23" s="9" t="s">
        <v>285</v>
      </c>
      <c r="B23" s="124" t="s">
        <v>286</v>
      </c>
      <c r="C23" s="125" t="s">
        <v>54</v>
      </c>
      <c r="D23" s="133" t="s">
        <v>1047</v>
      </c>
      <c r="E23" s="11" t="str">
        <f t="shared" si="0"/>
        <v>N/A</v>
      </c>
      <c r="F23" s="113" t="str">
        <f t="shared" si="1"/>
        <v>-</v>
      </c>
      <c r="G23" s="31"/>
    </row>
    <row r="24" spans="1:8" s="8" customFormat="1" ht="25.5" x14ac:dyDescent="0.2">
      <c r="A24" s="9" t="s">
        <v>287</v>
      </c>
      <c r="B24" s="124" t="s">
        <v>288</v>
      </c>
      <c r="C24" s="125" t="s">
        <v>289</v>
      </c>
      <c r="D24" s="133" t="s">
        <v>1047</v>
      </c>
      <c r="E24" s="11" t="str">
        <f t="shared" si="0"/>
        <v>N/A</v>
      </c>
      <c r="F24" s="113" t="str">
        <f t="shared" si="1"/>
        <v>-</v>
      </c>
      <c r="G24" s="31"/>
    </row>
    <row r="25" spans="1:8" s="8" customFormat="1" ht="25.5" x14ac:dyDescent="0.2">
      <c r="A25" s="9" t="s">
        <v>290</v>
      </c>
      <c r="B25" s="124" t="s">
        <v>291</v>
      </c>
      <c r="C25" s="125" t="s">
        <v>146</v>
      </c>
      <c r="D25" s="133" t="s">
        <v>1047</v>
      </c>
      <c r="E25" s="11" t="str">
        <f t="shared" si="0"/>
        <v>N/A</v>
      </c>
      <c r="F25" s="113" t="str">
        <f t="shared" si="1"/>
        <v>-</v>
      </c>
      <c r="G25" s="31"/>
    </row>
    <row r="26" spans="1:8" s="8" customFormat="1" ht="51" x14ac:dyDescent="0.2">
      <c r="A26" s="9" t="s">
        <v>292</v>
      </c>
      <c r="B26" s="124" t="s">
        <v>293</v>
      </c>
      <c r="C26" s="125" t="s">
        <v>1216</v>
      </c>
      <c r="D26" s="133" t="s">
        <v>1047</v>
      </c>
      <c r="E26" s="11" t="str">
        <f t="shared" si="0"/>
        <v>N/A</v>
      </c>
      <c r="F26" s="113" t="str">
        <f t="shared" si="1"/>
        <v>-</v>
      </c>
      <c r="G26" s="31"/>
    </row>
    <row r="27" spans="1:8" s="8" customFormat="1" ht="25.5" x14ac:dyDescent="0.2">
      <c r="A27" s="9" t="s">
        <v>294</v>
      </c>
      <c r="B27" s="124" t="s">
        <v>295</v>
      </c>
      <c r="C27" s="125" t="s">
        <v>289</v>
      </c>
      <c r="D27" s="133" t="s">
        <v>1047</v>
      </c>
      <c r="E27" s="11" t="str">
        <f t="shared" si="0"/>
        <v>N/A</v>
      </c>
      <c r="F27" s="113" t="str">
        <f t="shared" si="1"/>
        <v>-</v>
      </c>
      <c r="G27" s="31"/>
    </row>
    <row r="28" spans="1:8" s="8" customFormat="1" ht="51" x14ac:dyDescent="0.2">
      <c r="A28" s="9" t="s">
        <v>296</v>
      </c>
      <c r="B28" s="124" t="s">
        <v>297</v>
      </c>
      <c r="C28" s="125" t="s">
        <v>146</v>
      </c>
      <c r="D28" s="114" t="s">
        <v>1047</v>
      </c>
      <c r="E28" s="11" t="str">
        <f t="shared" si="0"/>
        <v>N/A</v>
      </c>
      <c r="F28" s="113" t="str">
        <f t="shared" si="1"/>
        <v>-</v>
      </c>
      <c r="G28" s="31"/>
    </row>
    <row r="29" spans="1:8" s="8" customFormat="1" ht="51" x14ac:dyDescent="0.2">
      <c r="A29" s="9" t="s">
        <v>298</v>
      </c>
      <c r="B29" s="124" t="s">
        <v>299</v>
      </c>
      <c r="C29" s="125" t="s">
        <v>146</v>
      </c>
      <c r="D29" s="114" t="s">
        <v>1047</v>
      </c>
      <c r="E29" s="11" t="str">
        <f t="shared" si="0"/>
        <v>N/A</v>
      </c>
      <c r="F29" s="113" t="str">
        <f t="shared" si="1"/>
        <v>-</v>
      </c>
      <c r="G29" s="31"/>
    </row>
    <row r="30" spans="1:8" s="8" customFormat="1" ht="51" x14ac:dyDescent="0.2">
      <c r="A30" s="9" t="s">
        <v>300</v>
      </c>
      <c r="B30" s="124" t="s">
        <v>1174</v>
      </c>
      <c r="C30" s="125" t="s">
        <v>143</v>
      </c>
      <c r="D30" s="133" t="s">
        <v>1047</v>
      </c>
      <c r="E30" s="11" t="str">
        <f t="shared" si="0"/>
        <v>N/A</v>
      </c>
      <c r="F30" s="113" t="str">
        <f t="shared" si="1"/>
        <v>-</v>
      </c>
      <c r="G30" s="31"/>
    </row>
    <row r="31" spans="1:8" s="8" customFormat="1" x14ac:dyDescent="0.2">
      <c r="A31" s="124"/>
      <c r="B31" s="124"/>
      <c r="C31" s="125"/>
      <c r="D31" s="133"/>
      <c r="E31" s="125"/>
      <c r="F31" s="113"/>
      <c r="G31" s="31"/>
    </row>
    <row r="32" spans="1:8" s="8" customFormat="1" ht="15" x14ac:dyDescent="0.2">
      <c r="A32" s="9"/>
      <c r="B32" s="35" t="s">
        <v>301</v>
      </c>
      <c r="C32" s="125"/>
      <c r="D32" s="138"/>
      <c r="E32" s="11"/>
      <c r="F32" s="113"/>
      <c r="G32" s="31"/>
    </row>
    <row r="33" spans="1:7" s="8" customFormat="1" ht="38.25" x14ac:dyDescent="0.2">
      <c r="A33" s="9" t="s">
        <v>302</v>
      </c>
      <c r="B33" s="124" t="s">
        <v>303</v>
      </c>
      <c r="C33" s="125" t="s">
        <v>54</v>
      </c>
      <c r="D33" s="133" t="s">
        <v>1047</v>
      </c>
      <c r="E33" s="11" t="str">
        <f t="shared" si="0"/>
        <v>N/A</v>
      </c>
      <c r="F33" s="113" t="str">
        <f t="shared" si="1"/>
        <v>-</v>
      </c>
      <c r="G33" s="31"/>
    </row>
    <row r="34" spans="1:7" s="8" customFormat="1" ht="25.5" x14ac:dyDescent="0.2">
      <c r="A34" s="9" t="s">
        <v>304</v>
      </c>
      <c r="B34" s="124" t="s">
        <v>305</v>
      </c>
      <c r="C34" s="125" t="s">
        <v>54</v>
      </c>
      <c r="D34" s="133" t="s">
        <v>1047</v>
      </c>
      <c r="E34" s="11" t="str">
        <f t="shared" si="0"/>
        <v>N/A</v>
      </c>
      <c r="F34" s="113" t="str">
        <f t="shared" si="1"/>
        <v>-</v>
      </c>
      <c r="G34" s="31"/>
    </row>
    <row r="35" spans="1:7" s="8" customFormat="1" ht="25.5" x14ac:dyDescent="0.2">
      <c r="A35" s="9" t="s">
        <v>306</v>
      </c>
      <c r="B35" s="124" t="s">
        <v>307</v>
      </c>
      <c r="C35" s="125" t="s">
        <v>54</v>
      </c>
      <c r="D35" s="133" t="s">
        <v>1047</v>
      </c>
      <c r="E35" s="11" t="str">
        <f t="shared" si="0"/>
        <v>N/A</v>
      </c>
      <c r="F35" s="113" t="str">
        <f t="shared" si="1"/>
        <v>-</v>
      </c>
      <c r="G35" s="31"/>
    </row>
    <row r="36" spans="1:7" s="8" customFormat="1" ht="25.5" x14ac:dyDescent="0.2">
      <c r="A36" s="9" t="s">
        <v>308</v>
      </c>
      <c r="B36" s="124" t="s">
        <v>309</v>
      </c>
      <c r="C36" s="125" t="s">
        <v>137</v>
      </c>
      <c r="D36" s="133" t="s">
        <v>1047</v>
      </c>
      <c r="E36" s="11" t="str">
        <f t="shared" si="0"/>
        <v>N/A</v>
      </c>
      <c r="F36" s="113" t="str">
        <f t="shared" si="1"/>
        <v>-</v>
      </c>
      <c r="G36" s="31"/>
    </row>
    <row r="37" spans="1:7" s="8" customFormat="1" ht="25.5" x14ac:dyDescent="0.2">
      <c r="A37" s="9" t="s">
        <v>310</v>
      </c>
      <c r="B37" s="124" t="s">
        <v>311</v>
      </c>
      <c r="C37" s="125" t="s">
        <v>137</v>
      </c>
      <c r="D37" s="133" t="s">
        <v>1047</v>
      </c>
      <c r="E37" s="11" t="str">
        <f t="shared" si="0"/>
        <v>N/A</v>
      </c>
      <c r="F37" s="113" t="str">
        <f t="shared" si="1"/>
        <v>-</v>
      </c>
      <c r="G37" s="31"/>
    </row>
    <row r="38" spans="1:7" s="8" customFormat="1" ht="25.5" x14ac:dyDescent="0.2">
      <c r="A38" s="9" t="s">
        <v>312</v>
      </c>
      <c r="B38" s="124" t="s">
        <v>313</v>
      </c>
      <c r="C38" s="125" t="s">
        <v>137</v>
      </c>
      <c r="D38" s="133" t="s">
        <v>1047</v>
      </c>
      <c r="E38" s="11" t="str">
        <f t="shared" si="0"/>
        <v>N/A</v>
      </c>
      <c r="F38" s="113" t="str">
        <f t="shared" si="1"/>
        <v>-</v>
      </c>
      <c r="G38" s="31"/>
    </row>
    <row r="39" spans="1:7" s="8" customFormat="1" ht="25.5" x14ac:dyDescent="0.2">
      <c r="A39" s="9" t="s">
        <v>314</v>
      </c>
      <c r="B39" s="124" t="s">
        <v>315</v>
      </c>
      <c r="C39" s="125" t="s">
        <v>137</v>
      </c>
      <c r="D39" s="133" t="s">
        <v>1047</v>
      </c>
      <c r="E39" s="11" t="str">
        <f t="shared" si="0"/>
        <v>N/A</v>
      </c>
      <c r="F39" s="113" t="str">
        <f t="shared" si="1"/>
        <v>-</v>
      </c>
      <c r="G39" s="31"/>
    </row>
    <row r="40" spans="1:7" s="8" customFormat="1" ht="25.5" x14ac:dyDescent="0.2">
      <c r="A40" s="9" t="s">
        <v>316</v>
      </c>
      <c r="B40" s="124" t="s">
        <v>317</v>
      </c>
      <c r="C40" s="125" t="s">
        <v>146</v>
      </c>
      <c r="D40" s="114" t="s">
        <v>1047</v>
      </c>
      <c r="E40" s="11" t="str">
        <f t="shared" si="0"/>
        <v>N/A</v>
      </c>
      <c r="F40" s="113" t="str">
        <f t="shared" si="1"/>
        <v>-</v>
      </c>
      <c r="G40" s="31"/>
    </row>
    <row r="41" spans="1:7" s="8" customFormat="1" ht="25.5" x14ac:dyDescent="0.2">
      <c r="A41" s="9" t="s">
        <v>318</v>
      </c>
      <c r="B41" s="124" t="s">
        <v>319</v>
      </c>
      <c r="C41" s="125" t="s">
        <v>146</v>
      </c>
      <c r="D41" s="114" t="s">
        <v>1047</v>
      </c>
      <c r="E41" s="11" t="str">
        <f t="shared" si="0"/>
        <v>N/A</v>
      </c>
      <c r="F41" s="113" t="str">
        <f t="shared" si="1"/>
        <v>-</v>
      </c>
      <c r="G41" s="31"/>
    </row>
    <row r="42" spans="1:7" s="8" customFormat="1" ht="25.5" x14ac:dyDescent="0.2">
      <c r="A42" s="9" t="s">
        <v>320</v>
      </c>
      <c r="B42" s="124" t="s">
        <v>321</v>
      </c>
      <c r="C42" s="125" t="s">
        <v>146</v>
      </c>
      <c r="D42" s="114" t="s">
        <v>1047</v>
      </c>
      <c r="E42" s="11" t="str">
        <f t="shared" si="0"/>
        <v>N/A</v>
      </c>
      <c r="F42" s="113" t="str">
        <f t="shared" si="1"/>
        <v>-</v>
      </c>
      <c r="G42" s="31"/>
    </row>
    <row r="43" spans="1:7" s="8" customFormat="1" ht="25.5" x14ac:dyDescent="0.2">
      <c r="A43" s="9" t="s">
        <v>322</v>
      </c>
      <c r="B43" s="124" t="s">
        <v>323</v>
      </c>
      <c r="C43" s="125" t="s">
        <v>146</v>
      </c>
      <c r="D43" s="114" t="s">
        <v>1047</v>
      </c>
      <c r="E43" s="11" t="str">
        <f t="shared" si="0"/>
        <v>N/A</v>
      </c>
      <c r="F43" s="113" t="str">
        <f t="shared" si="1"/>
        <v>-</v>
      </c>
      <c r="G43" s="31"/>
    </row>
    <row r="44" spans="1:7" s="8" customFormat="1" ht="25.5" x14ac:dyDescent="0.2">
      <c r="A44" s="9" t="s">
        <v>324</v>
      </c>
      <c r="B44" s="124" t="s">
        <v>325</v>
      </c>
      <c r="C44" s="125" t="s">
        <v>143</v>
      </c>
      <c r="D44" s="133" t="s">
        <v>1047</v>
      </c>
      <c r="E44" s="11" t="str">
        <f t="shared" si="0"/>
        <v>N/A</v>
      </c>
      <c r="F44" s="113" t="str">
        <f t="shared" si="1"/>
        <v>-</v>
      </c>
      <c r="G44" s="31"/>
    </row>
    <row r="45" spans="1:7" s="8" customFormat="1" ht="25.5" x14ac:dyDescent="0.2">
      <c r="A45" s="9" t="s">
        <v>326</v>
      </c>
      <c r="B45" s="124" t="s">
        <v>327</v>
      </c>
      <c r="C45" s="125" t="s">
        <v>143</v>
      </c>
      <c r="D45" s="133" t="s">
        <v>1047</v>
      </c>
      <c r="E45" s="11" t="str">
        <f t="shared" si="0"/>
        <v>N/A</v>
      </c>
      <c r="F45" s="113" t="str">
        <f t="shared" si="1"/>
        <v>-</v>
      </c>
      <c r="G45" s="31"/>
    </row>
    <row r="46" spans="1:7" s="8" customFormat="1" ht="51" x14ac:dyDescent="0.2">
      <c r="A46" s="9" t="s">
        <v>328</v>
      </c>
      <c r="B46" s="124" t="s">
        <v>1224</v>
      </c>
      <c r="C46" s="125" t="s">
        <v>143</v>
      </c>
      <c r="D46" s="133" t="s">
        <v>1047</v>
      </c>
      <c r="E46" s="11" t="str">
        <f t="shared" si="0"/>
        <v>N/A</v>
      </c>
      <c r="F46" s="113" t="str">
        <f t="shared" si="1"/>
        <v>-</v>
      </c>
      <c r="G46" s="31"/>
    </row>
    <row r="47" spans="1:7" s="8" customFormat="1" ht="51" x14ac:dyDescent="0.2">
      <c r="A47" s="9" t="s">
        <v>329</v>
      </c>
      <c r="B47" s="124" t="s">
        <v>1175</v>
      </c>
      <c r="C47" s="125" t="s">
        <v>143</v>
      </c>
      <c r="D47" s="133" t="s">
        <v>1047</v>
      </c>
      <c r="E47" s="11" t="str">
        <f t="shared" si="0"/>
        <v>N/A</v>
      </c>
      <c r="F47" s="113" t="str">
        <f t="shared" si="1"/>
        <v>-</v>
      </c>
      <c r="G47" s="31"/>
    </row>
    <row r="48" spans="1:7" s="8" customFormat="1" x14ac:dyDescent="0.2">
      <c r="A48" s="124"/>
      <c r="B48" s="124"/>
      <c r="C48" s="125"/>
      <c r="D48" s="133"/>
      <c r="E48" s="125"/>
      <c r="F48" s="113"/>
      <c r="G48" s="31"/>
    </row>
    <row r="49" spans="1:7" s="8" customFormat="1" ht="25.5" customHeight="1" x14ac:dyDescent="0.2">
      <c r="A49" s="9"/>
      <c r="B49" s="35" t="s">
        <v>330</v>
      </c>
      <c r="C49" s="125"/>
      <c r="D49" s="138"/>
      <c r="E49" s="11"/>
      <c r="F49" s="113"/>
      <c r="G49" s="31"/>
    </row>
    <row r="50" spans="1:7" s="8" customFormat="1" ht="51" x14ac:dyDescent="0.2">
      <c r="A50" s="9" t="s">
        <v>331</v>
      </c>
      <c r="B50" s="124" t="s">
        <v>332</v>
      </c>
      <c r="C50" s="125" t="s">
        <v>170</v>
      </c>
      <c r="D50" s="133" t="s">
        <v>1100</v>
      </c>
      <c r="E50" s="11" t="str">
        <f t="shared" si="0"/>
        <v>N/A</v>
      </c>
      <c r="F50" s="113" t="str">
        <f t="shared" si="1"/>
        <v>-</v>
      </c>
      <c r="G50" s="31"/>
    </row>
    <row r="51" spans="1:7" s="8" customFormat="1" ht="24" customHeight="1" x14ac:dyDescent="0.2">
      <c r="A51" s="9" t="s">
        <v>333</v>
      </c>
      <c r="B51" s="124" t="s">
        <v>334</v>
      </c>
      <c r="C51" s="125" t="s">
        <v>170</v>
      </c>
      <c r="D51" s="133" t="s">
        <v>1047</v>
      </c>
      <c r="E51" s="11" t="str">
        <f t="shared" si="0"/>
        <v>N/A</v>
      </c>
      <c r="F51" s="113" t="str">
        <f t="shared" si="1"/>
        <v>-</v>
      </c>
      <c r="G51" s="31"/>
    </row>
    <row r="52" spans="1:7" s="8" customFormat="1" ht="24" customHeight="1" x14ac:dyDescent="0.2">
      <c r="A52" s="9" t="s">
        <v>335</v>
      </c>
      <c r="B52" s="124" t="s">
        <v>336</v>
      </c>
      <c r="C52" s="125" t="s">
        <v>170</v>
      </c>
      <c r="D52" s="133" t="s">
        <v>1047</v>
      </c>
      <c r="E52" s="11" t="str">
        <f t="shared" si="0"/>
        <v>N/A</v>
      </c>
      <c r="F52" s="113" t="str">
        <f t="shared" si="1"/>
        <v>-</v>
      </c>
      <c r="G52" s="31"/>
    </row>
    <row r="53" spans="1:7" s="8" customFormat="1" ht="51" x14ac:dyDescent="0.2">
      <c r="A53" s="9" t="s">
        <v>337</v>
      </c>
      <c r="B53" s="124" t="s">
        <v>338</v>
      </c>
      <c r="C53" s="125" t="s">
        <v>170</v>
      </c>
      <c r="D53" s="133" t="s">
        <v>1047</v>
      </c>
      <c r="E53" s="11" t="str">
        <f t="shared" si="0"/>
        <v>N/A</v>
      </c>
      <c r="F53" s="113" t="str">
        <f t="shared" si="1"/>
        <v>-</v>
      </c>
      <c r="G53" s="31"/>
    </row>
    <row r="54" spans="1:7" s="8" customFormat="1" ht="29.1" customHeight="1" x14ac:dyDescent="0.2">
      <c r="A54" s="9" t="s">
        <v>339</v>
      </c>
      <c r="B54" s="124" t="s">
        <v>340</v>
      </c>
      <c r="C54" s="125" t="s">
        <v>170</v>
      </c>
      <c r="D54" s="133" t="s">
        <v>1047</v>
      </c>
      <c r="E54" s="11" t="str">
        <f t="shared" si="0"/>
        <v>N/A</v>
      </c>
      <c r="F54" s="113" t="str">
        <f t="shared" si="1"/>
        <v>-</v>
      </c>
      <c r="G54" s="31"/>
    </row>
    <row r="55" spans="1:7" s="8" customFormat="1" ht="29.1" customHeight="1" x14ac:dyDescent="0.2">
      <c r="A55" s="9" t="s">
        <v>341</v>
      </c>
      <c r="B55" s="124" t="s">
        <v>342</v>
      </c>
      <c r="C55" s="125" t="s">
        <v>170</v>
      </c>
      <c r="D55" s="133" t="s">
        <v>1047</v>
      </c>
      <c r="E55" s="11" t="str">
        <f t="shared" si="0"/>
        <v>N/A</v>
      </c>
      <c r="F55" s="113" t="str">
        <f t="shared" si="1"/>
        <v>-</v>
      </c>
      <c r="G55" s="31"/>
    </row>
    <row r="56" spans="1:7" s="8" customFormat="1" ht="29.1" customHeight="1" x14ac:dyDescent="0.2">
      <c r="A56" s="9" t="s">
        <v>343</v>
      </c>
      <c r="B56" s="124" t="s">
        <v>344</v>
      </c>
      <c r="C56" s="125" t="s">
        <v>170</v>
      </c>
      <c r="D56" s="133" t="s">
        <v>1047</v>
      </c>
      <c r="E56" s="11" t="str">
        <f t="shared" si="0"/>
        <v>N/A</v>
      </c>
      <c r="F56" s="113" t="str">
        <f t="shared" si="1"/>
        <v>-</v>
      </c>
      <c r="G56" s="31"/>
    </row>
    <row r="57" spans="1:7" s="8" customFormat="1" ht="51" x14ac:dyDescent="0.2">
      <c r="A57" s="9" t="s">
        <v>345</v>
      </c>
      <c r="B57" s="124" t="s">
        <v>346</v>
      </c>
      <c r="C57" s="125" t="s">
        <v>170</v>
      </c>
      <c r="D57" s="133" t="s">
        <v>1101</v>
      </c>
      <c r="E57" s="11" t="str">
        <f t="shared" si="0"/>
        <v>N/A</v>
      </c>
      <c r="F57" s="113" t="str">
        <f t="shared" si="1"/>
        <v>-</v>
      </c>
      <c r="G57" s="31"/>
    </row>
    <row r="58" spans="1:7" s="8" customFormat="1" x14ac:dyDescent="0.2">
      <c r="A58" s="124"/>
      <c r="B58" s="124"/>
      <c r="C58" s="125"/>
      <c r="D58" s="133"/>
      <c r="E58" s="125"/>
      <c r="F58" s="113"/>
      <c r="G58" s="31"/>
    </row>
    <row r="59" spans="1:7" s="8" customFormat="1" ht="15" x14ac:dyDescent="0.2">
      <c r="A59" s="9"/>
      <c r="B59" s="35" t="s">
        <v>347</v>
      </c>
      <c r="C59" s="125"/>
      <c r="D59" s="138"/>
      <c r="E59" s="11"/>
      <c r="F59" s="113"/>
      <c r="G59" s="31"/>
    </row>
    <row r="60" spans="1:7" s="8" customFormat="1" ht="25.5" x14ac:dyDescent="0.2">
      <c r="A60" s="9" t="s">
        <v>348</v>
      </c>
      <c r="B60" s="124" t="s">
        <v>349</v>
      </c>
      <c r="C60" s="125" t="s">
        <v>54</v>
      </c>
      <c r="D60" s="133" t="s">
        <v>1047</v>
      </c>
      <c r="E60" s="11" t="str">
        <f t="shared" si="0"/>
        <v>N/A</v>
      </c>
      <c r="F60" s="113" t="str">
        <f t="shared" si="1"/>
        <v>-</v>
      </c>
      <c r="G60" s="31"/>
    </row>
    <row r="61" spans="1:7" s="8" customFormat="1" ht="25.5" x14ac:dyDescent="0.2">
      <c r="A61" s="9" t="s">
        <v>350</v>
      </c>
      <c r="B61" s="124" t="s">
        <v>351</v>
      </c>
      <c r="C61" s="125" t="s">
        <v>143</v>
      </c>
      <c r="D61" s="133" t="s">
        <v>1047</v>
      </c>
      <c r="E61" s="11" t="str">
        <f t="shared" si="0"/>
        <v>N/A</v>
      </c>
      <c r="F61" s="113" t="str">
        <f t="shared" si="1"/>
        <v>-</v>
      </c>
      <c r="G61" s="31"/>
    </row>
    <row r="62" spans="1:7" s="8" customFormat="1" ht="38.25" x14ac:dyDescent="0.2">
      <c r="A62" s="9" t="s">
        <v>352</v>
      </c>
      <c r="B62" s="124" t="s">
        <v>353</v>
      </c>
      <c r="C62" s="125" t="s">
        <v>354</v>
      </c>
      <c r="D62" s="133" t="s">
        <v>1047</v>
      </c>
      <c r="E62" s="11" t="str">
        <f t="shared" si="0"/>
        <v>N/A</v>
      </c>
      <c r="F62" s="113" t="str">
        <f t="shared" si="1"/>
        <v>-</v>
      </c>
      <c r="G62" s="31"/>
    </row>
    <row r="63" spans="1:7" s="8" customFormat="1" ht="25.5" x14ac:dyDescent="0.2">
      <c r="A63" s="9" t="s">
        <v>355</v>
      </c>
      <c r="B63" s="124" t="s">
        <v>356</v>
      </c>
      <c r="C63" s="125" t="s">
        <v>170</v>
      </c>
      <c r="D63" s="133" t="s">
        <v>1047</v>
      </c>
      <c r="E63" s="11" t="str">
        <f t="shared" si="0"/>
        <v>N/A</v>
      </c>
      <c r="F63" s="113" t="str">
        <f t="shared" si="1"/>
        <v>-</v>
      </c>
      <c r="G63" s="31"/>
    </row>
    <row r="64" spans="1:7" s="8" customFormat="1" ht="25.5" x14ac:dyDescent="0.2">
      <c r="A64" s="9" t="s">
        <v>357</v>
      </c>
      <c r="B64" s="124" t="s">
        <v>358</v>
      </c>
      <c r="C64" s="125" t="s">
        <v>170</v>
      </c>
      <c r="D64" s="133" t="s">
        <v>1047</v>
      </c>
      <c r="E64" s="11" t="str">
        <f t="shared" si="0"/>
        <v>N/A</v>
      </c>
      <c r="F64" s="113" t="str">
        <f t="shared" si="1"/>
        <v>-</v>
      </c>
      <c r="G64" s="31"/>
    </row>
    <row r="65" spans="1:13" s="8" customFormat="1" x14ac:dyDescent="0.2">
      <c r="A65" s="124"/>
      <c r="B65" s="124"/>
      <c r="C65" s="125"/>
      <c r="D65" s="133"/>
      <c r="E65" s="125"/>
      <c r="F65" s="113"/>
      <c r="G65" s="31"/>
    </row>
    <row r="66" spans="1:13" s="8" customFormat="1" ht="25.5" x14ac:dyDescent="0.2">
      <c r="A66" s="9"/>
      <c r="B66" s="35" t="s">
        <v>1217</v>
      </c>
      <c r="C66" s="125"/>
      <c r="D66" s="138"/>
      <c r="E66" s="11"/>
      <c r="F66" s="113"/>
      <c r="G66" s="31"/>
    </row>
    <row r="67" spans="1:13" s="8" customFormat="1" ht="25.5" x14ac:dyDescent="0.2">
      <c r="A67" s="9" t="s">
        <v>359</v>
      </c>
      <c r="B67" s="124" t="s">
        <v>360</v>
      </c>
      <c r="C67" s="125" t="s">
        <v>54</v>
      </c>
      <c r="D67" s="133" t="s">
        <v>1047</v>
      </c>
      <c r="E67" s="11" t="str">
        <f t="shared" si="0"/>
        <v>N/A</v>
      </c>
      <c r="F67" s="113" t="str">
        <f t="shared" si="1"/>
        <v>-</v>
      </c>
      <c r="G67" s="31"/>
    </row>
    <row r="68" spans="1:13" s="8" customFormat="1" ht="38.25" x14ac:dyDescent="0.2">
      <c r="A68" s="9" t="s">
        <v>361</v>
      </c>
      <c r="B68" s="124" t="s">
        <v>362</v>
      </c>
      <c r="C68" s="125" t="s">
        <v>157</v>
      </c>
      <c r="D68" s="133" t="s">
        <v>1102</v>
      </c>
      <c r="E68" s="11" t="str">
        <f t="shared" si="0"/>
        <v>N/A</v>
      </c>
      <c r="F68" s="113" t="str">
        <f t="shared" si="1"/>
        <v>-</v>
      </c>
      <c r="G68" s="31"/>
    </row>
    <row r="69" spans="1:13" s="8" customFormat="1" ht="38.25" x14ac:dyDescent="0.2">
      <c r="A69" s="9" t="s">
        <v>363</v>
      </c>
      <c r="B69" s="124" t="s">
        <v>364</v>
      </c>
      <c r="C69" s="125" t="s">
        <v>157</v>
      </c>
      <c r="D69" s="133" t="s">
        <v>1102</v>
      </c>
      <c r="E69" s="11" t="str">
        <f t="shared" si="0"/>
        <v>N/A</v>
      </c>
      <c r="F69" s="113" t="str">
        <f t="shared" si="1"/>
        <v>-</v>
      </c>
      <c r="G69" s="57"/>
    </row>
    <row r="70" spans="1:13" s="8" customFormat="1" ht="51" x14ac:dyDescent="0.2">
      <c r="A70" s="9" t="s">
        <v>365</v>
      </c>
      <c r="B70" s="124" t="s">
        <v>366</v>
      </c>
      <c r="C70" s="125" t="s">
        <v>146</v>
      </c>
      <c r="D70" s="114" t="s">
        <v>1047</v>
      </c>
      <c r="E70" s="11" t="str">
        <f t="shared" si="0"/>
        <v>N/A</v>
      </c>
      <c r="F70" s="113" t="str">
        <f t="shared" si="1"/>
        <v>-</v>
      </c>
      <c r="G70" s="31"/>
    </row>
    <row r="71" spans="1:13" s="8" customFormat="1" ht="51" x14ac:dyDescent="0.2">
      <c r="A71" s="9" t="s">
        <v>367</v>
      </c>
      <c r="B71" s="124" t="s">
        <v>368</v>
      </c>
      <c r="C71" s="125" t="s">
        <v>146</v>
      </c>
      <c r="D71" s="114" t="s">
        <v>1047</v>
      </c>
      <c r="E71" s="11" t="str">
        <f t="shared" si="0"/>
        <v>N/A</v>
      </c>
      <c r="F71" s="113" t="str">
        <f t="shared" si="1"/>
        <v>-</v>
      </c>
      <c r="G71" s="31"/>
    </row>
    <row r="72" spans="1:13" s="8" customFormat="1" ht="51.6" customHeight="1" x14ac:dyDescent="0.2">
      <c r="A72" s="9" t="s">
        <v>369</v>
      </c>
      <c r="B72" s="124" t="s">
        <v>370</v>
      </c>
      <c r="C72" s="125" t="s">
        <v>157</v>
      </c>
      <c r="D72" s="114" t="s">
        <v>1047</v>
      </c>
      <c r="E72" s="11" t="str">
        <f t="shared" si="0"/>
        <v>N/A</v>
      </c>
      <c r="F72" s="113" t="str">
        <f t="shared" si="1"/>
        <v>-</v>
      </c>
      <c r="G72" s="31"/>
    </row>
    <row r="73" spans="1:13" s="8" customFormat="1" ht="25.5" x14ac:dyDescent="0.2">
      <c r="A73" s="9" t="s">
        <v>371</v>
      </c>
      <c r="B73" s="124" t="s">
        <v>372</v>
      </c>
      <c r="C73" s="125" t="s">
        <v>289</v>
      </c>
      <c r="D73" s="133" t="s">
        <v>1047</v>
      </c>
      <c r="E73" s="11" t="str">
        <f t="shared" si="0"/>
        <v>N/A</v>
      </c>
      <c r="F73" s="113" t="str">
        <f t="shared" si="1"/>
        <v>-</v>
      </c>
      <c r="G73" s="31"/>
    </row>
    <row r="74" spans="1:13" s="8" customFormat="1" ht="51" x14ac:dyDescent="0.2">
      <c r="A74" s="9" t="s">
        <v>373</v>
      </c>
      <c r="B74" s="124" t="s">
        <v>374</v>
      </c>
      <c r="C74" s="125" t="s">
        <v>146</v>
      </c>
      <c r="D74" s="133" t="s">
        <v>1103</v>
      </c>
      <c r="E74" s="11" t="str">
        <f t="shared" si="0"/>
        <v>N/A</v>
      </c>
      <c r="F74" s="113" t="str">
        <f t="shared" si="1"/>
        <v>-</v>
      </c>
      <c r="G74" s="31"/>
    </row>
    <row r="75" spans="1:13" s="8" customFormat="1" x14ac:dyDescent="0.2">
      <c r="A75" s="136"/>
      <c r="B75" s="124"/>
      <c r="C75" s="119"/>
      <c r="D75" s="139"/>
      <c r="E75" s="119"/>
      <c r="F75" s="113"/>
      <c r="G75" s="31"/>
    </row>
    <row r="76" spans="1:13" s="8" customFormat="1" x14ac:dyDescent="0.2">
      <c r="A76" s="120"/>
      <c r="B76" s="35" t="s">
        <v>1023</v>
      </c>
      <c r="C76" s="152"/>
      <c r="D76" s="139"/>
      <c r="E76" s="119"/>
      <c r="F76" s="113"/>
      <c r="G76" s="31"/>
    </row>
    <row r="77" spans="1:13" s="8" customFormat="1" ht="38.25" x14ac:dyDescent="0.2">
      <c r="A77" s="118" t="s">
        <v>1024</v>
      </c>
      <c r="B77" s="124" t="s">
        <v>1054</v>
      </c>
      <c r="C77" s="122" t="s">
        <v>54</v>
      </c>
      <c r="D77" s="133">
        <v>225</v>
      </c>
      <c r="E77" s="44"/>
      <c r="F77" s="113"/>
      <c r="G77" s="31"/>
    </row>
    <row r="78" spans="1:13" s="8" customFormat="1" ht="51" x14ac:dyDescent="0.2">
      <c r="A78" s="118" t="s">
        <v>1025</v>
      </c>
      <c r="B78" s="124" t="s">
        <v>1026</v>
      </c>
      <c r="C78" s="122" t="s">
        <v>54</v>
      </c>
      <c r="D78" s="133" t="s">
        <v>1047</v>
      </c>
      <c r="E78" s="119"/>
      <c r="F78" s="113"/>
      <c r="G78" s="31"/>
    </row>
    <row r="79" spans="1:13" s="8" customFormat="1" ht="25.5" x14ac:dyDescent="0.2">
      <c r="A79" s="118" t="s">
        <v>1027</v>
      </c>
      <c r="B79" s="124" t="s">
        <v>1028</v>
      </c>
      <c r="C79" s="122" t="s">
        <v>54</v>
      </c>
      <c r="D79" s="133" t="s">
        <v>1047</v>
      </c>
      <c r="E79" s="44"/>
      <c r="F79" s="113"/>
      <c r="G79" s="31"/>
    </row>
    <row r="80" spans="1:13" s="8" customFormat="1" ht="69" customHeight="1" x14ac:dyDescent="0.2">
      <c r="A80" s="124" t="s">
        <v>1029</v>
      </c>
      <c r="B80" s="124" t="s">
        <v>1206</v>
      </c>
      <c r="C80" s="125" t="s">
        <v>137</v>
      </c>
      <c r="D80" s="133">
        <v>269.99999999999886</v>
      </c>
      <c r="E80" s="44"/>
      <c r="F80" s="113"/>
      <c r="G80" s="164"/>
      <c r="H80" s="165"/>
      <c r="I80" s="165"/>
      <c r="J80" s="165"/>
      <c r="K80" s="165"/>
      <c r="L80" s="165"/>
      <c r="M80" s="165"/>
    </row>
    <row r="81" spans="1:12" s="8" customFormat="1" ht="25.5" x14ac:dyDescent="0.2">
      <c r="A81" s="118" t="s">
        <v>1030</v>
      </c>
      <c r="B81" s="124" t="s">
        <v>1031</v>
      </c>
      <c r="C81" s="122" t="s">
        <v>137</v>
      </c>
      <c r="D81" s="133" t="s">
        <v>1047</v>
      </c>
      <c r="E81" s="135"/>
      <c r="F81" s="113"/>
      <c r="G81" s="31"/>
    </row>
    <row r="82" spans="1:12" s="8" customFormat="1" ht="76.5" x14ac:dyDescent="0.2">
      <c r="A82" s="124" t="s">
        <v>1032</v>
      </c>
      <c r="B82" s="124" t="s">
        <v>1495</v>
      </c>
      <c r="C82" s="125" t="s">
        <v>54</v>
      </c>
      <c r="D82" s="133">
        <v>225</v>
      </c>
      <c r="E82" s="119"/>
      <c r="F82" s="113"/>
      <c r="G82" s="31"/>
    </row>
    <row r="83" spans="1:12" s="8" customFormat="1" ht="51" x14ac:dyDescent="0.2">
      <c r="A83" s="124" t="s">
        <v>1111</v>
      </c>
      <c r="B83" s="124" t="s">
        <v>1176</v>
      </c>
      <c r="C83" s="125" t="s">
        <v>153</v>
      </c>
      <c r="D83" s="133">
        <v>10</v>
      </c>
      <c r="E83" s="119"/>
      <c r="F83" s="113"/>
      <c r="G83" s="31"/>
    </row>
    <row r="84" spans="1:12" s="8" customFormat="1" ht="25.5" x14ac:dyDescent="0.2">
      <c r="A84" s="124"/>
      <c r="B84" s="35" t="s">
        <v>1087</v>
      </c>
      <c r="C84" s="149"/>
      <c r="D84" s="133"/>
      <c r="E84" s="125"/>
      <c r="F84" s="116"/>
      <c r="G84" s="31"/>
    </row>
    <row r="85" spans="1:12" s="8" customFormat="1" ht="51" x14ac:dyDescent="0.2">
      <c r="A85" s="124" t="s">
        <v>1112</v>
      </c>
      <c r="B85" s="124" t="s">
        <v>1088</v>
      </c>
      <c r="C85" s="149" t="s">
        <v>1089</v>
      </c>
      <c r="D85" s="133" t="s">
        <v>1070</v>
      </c>
      <c r="E85" s="125"/>
      <c r="F85" s="116"/>
      <c r="G85" s="31"/>
    </row>
    <row r="86" spans="1:12" s="8" customFormat="1" ht="25.5" x14ac:dyDescent="0.2">
      <c r="A86" s="124" t="s">
        <v>1113</v>
      </c>
      <c r="B86" s="124" t="s">
        <v>1178</v>
      </c>
      <c r="C86" s="149" t="s">
        <v>1089</v>
      </c>
      <c r="D86" s="133" t="s">
        <v>1070</v>
      </c>
      <c r="E86" s="125"/>
      <c r="F86" s="116"/>
      <c r="G86" s="31"/>
    </row>
    <row r="87" spans="1:12" s="8" customFormat="1" ht="25.5" x14ac:dyDescent="0.2">
      <c r="A87" s="124" t="s">
        <v>1114</v>
      </c>
      <c r="B87" s="124" t="s">
        <v>1179</v>
      </c>
      <c r="C87" s="149" t="s">
        <v>1089</v>
      </c>
      <c r="D87" s="133" t="s">
        <v>1070</v>
      </c>
      <c r="E87" s="125"/>
      <c r="F87" s="116"/>
      <c r="G87" s="31"/>
    </row>
    <row r="88" spans="1:12" s="8" customFormat="1" ht="51" x14ac:dyDescent="0.2">
      <c r="A88" s="124" t="s">
        <v>1115</v>
      </c>
      <c r="B88" s="124" t="s">
        <v>1090</v>
      </c>
      <c r="C88" s="149" t="s">
        <v>1089</v>
      </c>
      <c r="D88" s="133" t="s">
        <v>1070</v>
      </c>
      <c r="E88" s="125"/>
      <c r="F88" s="116"/>
      <c r="G88" s="31"/>
    </row>
    <row r="89" spans="1:12" s="8" customFormat="1" x14ac:dyDescent="0.2">
      <c r="A89" s="124" t="s">
        <v>1116</v>
      </c>
      <c r="B89" s="124" t="s">
        <v>1180</v>
      </c>
      <c r="C89" s="149" t="s">
        <v>1089</v>
      </c>
      <c r="D89" s="133" t="s">
        <v>1070</v>
      </c>
      <c r="E89" s="125"/>
      <c r="F89" s="116"/>
      <c r="G89" s="31"/>
    </row>
    <row r="90" spans="1:12" s="8" customFormat="1" ht="25.5" x14ac:dyDescent="0.2">
      <c r="A90" s="124" t="s">
        <v>1117</v>
      </c>
      <c r="B90" s="124" t="s">
        <v>1181</v>
      </c>
      <c r="C90" s="149" t="s">
        <v>1089</v>
      </c>
      <c r="D90" s="133" t="s">
        <v>1070</v>
      </c>
      <c r="E90" s="125"/>
      <c r="F90" s="116"/>
      <c r="G90" s="31"/>
    </row>
    <row r="91" spans="1:12" s="8" customFormat="1" ht="25.5" x14ac:dyDescent="0.2">
      <c r="A91" s="124" t="s">
        <v>1118</v>
      </c>
      <c r="B91" s="124" t="s">
        <v>1182</v>
      </c>
      <c r="C91" s="149" t="s">
        <v>1089</v>
      </c>
      <c r="D91" s="133" t="s">
        <v>1070</v>
      </c>
      <c r="E91" s="125"/>
      <c r="F91" s="116"/>
      <c r="G91" s="31"/>
    </row>
    <row r="92" spans="1:12" s="8" customFormat="1" ht="25.5" x14ac:dyDescent="0.2">
      <c r="A92" s="124" t="s">
        <v>1119</v>
      </c>
      <c r="B92" s="124" t="s">
        <v>1207</v>
      </c>
      <c r="C92" s="149" t="s">
        <v>1089</v>
      </c>
      <c r="D92" s="133" t="s">
        <v>1070</v>
      </c>
      <c r="E92" s="125"/>
      <c r="F92" s="116"/>
      <c r="G92" s="166"/>
      <c r="H92" s="167"/>
      <c r="I92" s="167"/>
      <c r="J92" s="167"/>
      <c r="K92" s="167"/>
      <c r="L92" s="167"/>
    </row>
    <row r="93" spans="1:12" s="8" customFormat="1" ht="25.5" x14ac:dyDescent="0.2">
      <c r="A93" s="124" t="s">
        <v>1120</v>
      </c>
      <c r="B93" s="124" t="s">
        <v>1208</v>
      </c>
      <c r="C93" s="149" t="s">
        <v>1089</v>
      </c>
      <c r="D93" s="133" t="s">
        <v>1070</v>
      </c>
      <c r="E93" s="125"/>
      <c r="F93" s="116"/>
      <c r="G93" s="166"/>
      <c r="H93" s="167"/>
      <c r="I93" s="167"/>
      <c r="J93" s="167"/>
      <c r="K93" s="167"/>
      <c r="L93" s="167"/>
    </row>
    <row r="94" spans="1:12" s="8" customFormat="1" x14ac:dyDescent="0.2">
      <c r="A94" s="124" t="s">
        <v>1121</v>
      </c>
      <c r="B94" s="124" t="s">
        <v>1183</v>
      </c>
      <c r="C94" s="149" t="s">
        <v>1089</v>
      </c>
      <c r="D94" s="133" t="s">
        <v>1070</v>
      </c>
      <c r="E94" s="125"/>
      <c r="F94" s="116"/>
      <c r="G94" s="31"/>
    </row>
    <row r="95" spans="1:12" s="8" customFormat="1" ht="25.5" x14ac:dyDescent="0.2">
      <c r="A95" s="124" t="s">
        <v>1122</v>
      </c>
      <c r="B95" s="124" t="s">
        <v>1184</v>
      </c>
      <c r="C95" s="149" t="s">
        <v>1089</v>
      </c>
      <c r="D95" s="133" t="s">
        <v>1070</v>
      </c>
      <c r="E95" s="125"/>
      <c r="F95" s="116"/>
      <c r="G95" s="31"/>
    </row>
    <row r="96" spans="1:12" s="8" customFormat="1" ht="25.5" x14ac:dyDescent="0.2">
      <c r="A96" s="124" t="s">
        <v>1177</v>
      </c>
      <c r="B96" s="124" t="s">
        <v>1185</v>
      </c>
      <c r="C96" s="149" t="s">
        <v>1089</v>
      </c>
      <c r="D96" s="133" t="s">
        <v>1070</v>
      </c>
      <c r="E96" s="125"/>
      <c r="F96" s="116"/>
      <c r="G96" s="31"/>
    </row>
    <row r="97" spans="1:21" s="8" customFormat="1" x14ac:dyDescent="0.2">
      <c r="A97" s="124"/>
      <c r="B97" s="35" t="s">
        <v>1186</v>
      </c>
      <c r="C97" s="149"/>
      <c r="D97" s="133"/>
      <c r="E97" s="125"/>
      <c r="F97" s="116"/>
      <c r="G97" s="164"/>
      <c r="H97" s="165"/>
      <c r="I97" s="165"/>
      <c r="J97" s="165"/>
      <c r="K97" s="165"/>
      <c r="L97" s="165"/>
      <c r="M97" s="165"/>
      <c r="N97" s="165"/>
      <c r="O97" s="165"/>
      <c r="P97" s="165"/>
      <c r="Q97" s="165"/>
      <c r="R97" s="165"/>
      <c r="S97" s="165"/>
      <c r="T97" s="165"/>
      <c r="U97" s="165"/>
    </row>
    <row r="98" spans="1:21" s="8" customFormat="1" ht="102" x14ac:dyDescent="0.2">
      <c r="A98" s="124" t="s">
        <v>1127</v>
      </c>
      <c r="B98" s="124" t="s">
        <v>1200</v>
      </c>
      <c r="C98" s="149" t="s">
        <v>1089</v>
      </c>
      <c r="D98" s="133" t="s">
        <v>1070</v>
      </c>
      <c r="E98" s="125"/>
      <c r="F98" s="116"/>
      <c r="G98" s="31"/>
    </row>
    <row r="99" spans="1:21" s="8" customFormat="1" ht="51" x14ac:dyDescent="0.2">
      <c r="A99" s="124" t="s">
        <v>1128</v>
      </c>
      <c r="B99" s="124" t="s">
        <v>1191</v>
      </c>
      <c r="C99" s="149" t="s">
        <v>1089</v>
      </c>
      <c r="D99" s="133" t="s">
        <v>1070</v>
      </c>
      <c r="E99" s="125"/>
      <c r="F99" s="116"/>
      <c r="G99" s="31"/>
    </row>
    <row r="100" spans="1:21" s="8" customFormat="1" ht="25.5" x14ac:dyDescent="0.2">
      <c r="A100" s="124" t="s">
        <v>1129</v>
      </c>
      <c r="B100" s="124" t="s">
        <v>1192</v>
      </c>
      <c r="C100" s="149" t="s">
        <v>1089</v>
      </c>
      <c r="D100" s="133" t="s">
        <v>1070</v>
      </c>
      <c r="E100" s="125"/>
      <c r="F100" s="116"/>
      <c r="G100" s="31"/>
    </row>
    <row r="101" spans="1:21" s="8" customFormat="1" ht="51" x14ac:dyDescent="0.2">
      <c r="A101" s="124" t="s">
        <v>1130</v>
      </c>
      <c r="B101" s="124" t="s">
        <v>1193</v>
      </c>
      <c r="C101" s="149" t="s">
        <v>1089</v>
      </c>
      <c r="D101" s="133" t="s">
        <v>1070</v>
      </c>
      <c r="E101" s="125"/>
      <c r="F101" s="116"/>
      <c r="G101" s="31"/>
    </row>
    <row r="102" spans="1:21" s="8" customFormat="1" ht="89.25" x14ac:dyDescent="0.2">
      <c r="A102" s="124" t="s">
        <v>1131</v>
      </c>
      <c r="B102" s="124" t="s">
        <v>1201</v>
      </c>
      <c r="C102" s="149" t="s">
        <v>1089</v>
      </c>
      <c r="D102" s="133" t="s">
        <v>1070</v>
      </c>
      <c r="E102" s="125"/>
      <c r="F102" s="116"/>
      <c r="G102" s="31"/>
    </row>
    <row r="103" spans="1:21" s="8" customFormat="1" ht="51" x14ac:dyDescent="0.2">
      <c r="A103" s="124" t="s">
        <v>1187</v>
      </c>
      <c r="B103" s="124" t="s">
        <v>1194</v>
      </c>
      <c r="C103" s="149" t="s">
        <v>1089</v>
      </c>
      <c r="D103" s="133" t="s">
        <v>1070</v>
      </c>
      <c r="E103" s="125"/>
      <c r="F103" s="116"/>
      <c r="G103" s="31"/>
    </row>
    <row r="104" spans="1:21" s="8" customFormat="1" ht="25.5" x14ac:dyDescent="0.2">
      <c r="A104" s="124" t="s">
        <v>1188</v>
      </c>
      <c r="B104" s="124" t="s">
        <v>1195</v>
      </c>
      <c r="C104" s="149" t="s">
        <v>1089</v>
      </c>
      <c r="D104" s="133" t="s">
        <v>1070</v>
      </c>
      <c r="E104" s="125"/>
      <c r="F104" s="116"/>
      <c r="G104" s="31"/>
    </row>
    <row r="105" spans="1:21" s="8" customFormat="1" ht="51" x14ac:dyDescent="0.2">
      <c r="A105" s="124" t="s">
        <v>1189</v>
      </c>
      <c r="B105" s="124" t="s">
        <v>1196</v>
      </c>
      <c r="C105" s="149" t="s">
        <v>1089</v>
      </c>
      <c r="D105" s="133" t="s">
        <v>1070</v>
      </c>
      <c r="E105" s="125"/>
      <c r="F105" s="116"/>
      <c r="G105" s="31"/>
    </row>
    <row r="106" spans="1:21" x14ac:dyDescent="0.2">
      <c r="A106" s="124"/>
      <c r="B106" s="35" t="s">
        <v>347</v>
      </c>
      <c r="C106" s="149"/>
      <c r="D106" s="133"/>
      <c r="E106" s="19"/>
      <c r="F106" s="20"/>
    </row>
    <row r="107" spans="1:21" ht="25.5" x14ac:dyDescent="0.2">
      <c r="A107" s="124" t="s">
        <v>1190</v>
      </c>
      <c r="B107" s="124" t="s">
        <v>349</v>
      </c>
      <c r="C107" s="149" t="s">
        <v>1123</v>
      </c>
      <c r="D107" s="133" t="s">
        <v>1070</v>
      </c>
      <c r="E107" s="19"/>
      <c r="F107" s="20"/>
    </row>
    <row r="108" spans="1:21" x14ac:dyDescent="0.2">
      <c r="A108" s="124" t="s">
        <v>1128</v>
      </c>
      <c r="B108" s="124" t="s">
        <v>351</v>
      </c>
      <c r="C108" s="149" t="s">
        <v>143</v>
      </c>
      <c r="D108" s="133" t="s">
        <v>1070</v>
      </c>
      <c r="E108" s="19"/>
      <c r="F108" s="20"/>
    </row>
    <row r="109" spans="1:21" ht="38.25" x14ac:dyDescent="0.2">
      <c r="A109" s="124" t="s">
        <v>1129</v>
      </c>
      <c r="B109" s="124" t="s">
        <v>1124</v>
      </c>
      <c r="C109" s="149" t="s">
        <v>11</v>
      </c>
      <c r="D109" s="133" t="s">
        <v>1070</v>
      </c>
      <c r="E109" s="19"/>
      <c r="F109" s="20"/>
    </row>
    <row r="110" spans="1:21" ht="25.5" x14ac:dyDescent="0.2">
      <c r="A110" s="124" t="s">
        <v>1130</v>
      </c>
      <c r="B110" s="124" t="s">
        <v>1125</v>
      </c>
      <c r="C110" s="149" t="s">
        <v>170</v>
      </c>
      <c r="D110" s="133" t="s">
        <v>1070</v>
      </c>
      <c r="E110" s="19"/>
      <c r="F110" s="20"/>
    </row>
    <row r="111" spans="1:21" ht="25.5" x14ac:dyDescent="0.2">
      <c r="A111" s="124" t="s">
        <v>1131</v>
      </c>
      <c r="B111" s="124" t="s">
        <v>1126</v>
      </c>
      <c r="C111" s="149" t="s">
        <v>170</v>
      </c>
      <c r="D111" s="133" t="s">
        <v>1070</v>
      </c>
      <c r="E111" s="19"/>
      <c r="F111" s="20"/>
    </row>
    <row r="112" spans="1:21" ht="12.75" customHeight="1" x14ac:dyDescent="0.2">
      <c r="A112" s="17"/>
      <c r="B112" s="58" t="s">
        <v>375</v>
      </c>
      <c r="C112" s="59"/>
      <c r="D112" s="59"/>
      <c r="E112" s="115"/>
      <c r="F112" s="116"/>
    </row>
    <row r="115" spans="3:3" x14ac:dyDescent="0.2">
      <c r="C115" s="16"/>
    </row>
    <row r="116" spans="3:3" x14ac:dyDescent="0.2">
      <c r="C116" s="16"/>
    </row>
    <row r="117" spans="3:3" x14ac:dyDescent="0.2">
      <c r="C117" s="16"/>
    </row>
    <row r="118" spans="3:3" x14ac:dyDescent="0.2">
      <c r="C118" s="16"/>
    </row>
    <row r="119" spans="3:3" x14ac:dyDescent="0.2">
      <c r="C119" s="16"/>
    </row>
    <row r="120" spans="3:3" x14ac:dyDescent="0.2">
      <c r="C120" s="16"/>
    </row>
    <row r="121" spans="3:3" x14ac:dyDescent="0.2">
      <c r="C121" s="16"/>
    </row>
    <row r="122" spans="3:3" x14ac:dyDescent="0.2">
      <c r="C122" s="16"/>
    </row>
    <row r="123" spans="3:3" x14ac:dyDescent="0.2">
      <c r="C123" s="16"/>
    </row>
    <row r="124" spans="3:3" x14ac:dyDescent="0.2">
      <c r="C124" s="16"/>
    </row>
    <row r="125" spans="3:3" x14ac:dyDescent="0.2">
      <c r="C125" s="16"/>
    </row>
    <row r="126" spans="3:3" x14ac:dyDescent="0.2">
      <c r="C126" s="16"/>
    </row>
    <row r="127" spans="3:3" x14ac:dyDescent="0.2">
      <c r="C127" s="16"/>
    </row>
    <row r="128" spans="3:3" x14ac:dyDescent="0.2">
      <c r="C128" s="16"/>
    </row>
  </sheetData>
  <mergeCells count="4">
    <mergeCell ref="G97:U97"/>
    <mergeCell ref="G80:M80"/>
    <mergeCell ref="G92:L92"/>
    <mergeCell ref="G93:L93"/>
  </mergeCells>
  <phoneticPr fontId="25" type="noConversion"/>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rowBreaks count="2" manualBreakCount="2">
    <brk id="31" max="5" man="1"/>
    <brk id="96" max="5"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7ACF-6EC2-4628-B3E8-4D62483184D7}">
  <dimension ref="A2:I28"/>
  <sheetViews>
    <sheetView view="pageLayout" topLeftCell="A32"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4" width="11.42578125" style="21" customWidth="1"/>
    <col min="5" max="5" width="11.42578125" style="22" customWidth="1"/>
    <col min="6" max="6" width="11.42578125" style="23" customWidth="1"/>
    <col min="7" max="7" width="2.140625" style="21" customWidth="1"/>
    <col min="8" max="16384" width="9.140625" style="16"/>
  </cols>
  <sheetData>
    <row r="2" spans="1:9" x14ac:dyDescent="0.2">
      <c r="A2" s="1" t="s">
        <v>0</v>
      </c>
      <c r="B2" s="1" t="s">
        <v>1</v>
      </c>
      <c r="C2" s="1" t="s">
        <v>2</v>
      </c>
      <c r="D2" s="1" t="s">
        <v>3</v>
      </c>
      <c r="E2" s="2" t="s">
        <v>4</v>
      </c>
      <c r="F2" s="3" t="s">
        <v>5</v>
      </c>
      <c r="G2" s="25"/>
    </row>
    <row r="3" spans="1:9" x14ac:dyDescent="0.2">
      <c r="A3" s="40"/>
      <c r="B3" s="40"/>
      <c r="C3" s="41"/>
      <c r="D3" s="41"/>
      <c r="E3" s="61" t="s">
        <v>6</v>
      </c>
      <c r="F3" s="42" t="s">
        <v>6</v>
      </c>
    </row>
    <row r="4" spans="1:9" s="8" customFormat="1" ht="25.5" x14ac:dyDescent="0.2">
      <c r="A4" s="4" t="s">
        <v>376</v>
      </c>
      <c r="B4" s="4" t="s">
        <v>377</v>
      </c>
      <c r="C4" s="4"/>
      <c r="D4" s="53"/>
      <c r="E4" s="62"/>
      <c r="F4" s="63"/>
      <c r="G4" s="64"/>
    </row>
    <row r="5" spans="1:9" s="8" customFormat="1" ht="15" x14ac:dyDescent="0.2">
      <c r="A5" s="54"/>
      <c r="B5" s="65" t="s">
        <v>378</v>
      </c>
      <c r="C5" s="24"/>
      <c r="D5" s="138"/>
      <c r="E5" s="56"/>
      <c r="F5" s="63"/>
      <c r="G5" s="66"/>
    </row>
    <row r="6" spans="1:9" s="8" customFormat="1" ht="25.5" x14ac:dyDescent="0.2">
      <c r="A6" s="9" t="s">
        <v>379</v>
      </c>
      <c r="B6" s="9" t="s">
        <v>380</v>
      </c>
      <c r="C6" s="11" t="s">
        <v>54</v>
      </c>
      <c r="D6" s="133" t="s">
        <v>1047</v>
      </c>
      <c r="E6" s="12" t="str">
        <f>IF(ISNUMBER(D6),"","N/A")</f>
        <v>N/A</v>
      </c>
      <c r="F6" s="113" t="str">
        <f>IFERROR(IF(ISNUMBER(D6),D6*E6,"-"),"")</f>
        <v>-</v>
      </c>
      <c r="G6" s="31"/>
    </row>
    <row r="7" spans="1:9" s="8" customFormat="1" x14ac:dyDescent="0.2">
      <c r="A7" s="9" t="s">
        <v>381</v>
      </c>
      <c r="B7" s="9" t="s">
        <v>382</v>
      </c>
      <c r="C7" s="11" t="s">
        <v>54</v>
      </c>
      <c r="D7" s="134">
        <v>1976</v>
      </c>
      <c r="E7" s="12" t="str">
        <f t="shared" ref="E7:E25" si="0">IF(ISNUMBER(D7),"","N/A")</f>
        <v/>
      </c>
      <c r="F7" s="113"/>
      <c r="G7" s="31"/>
    </row>
    <row r="8" spans="1:9" s="8" customFormat="1" x14ac:dyDescent="0.2">
      <c r="A8" s="9" t="s">
        <v>383</v>
      </c>
      <c r="B8" s="9" t="s">
        <v>384</v>
      </c>
      <c r="C8" s="11" t="s">
        <v>54</v>
      </c>
      <c r="D8" s="134">
        <f>D7</f>
        <v>1976</v>
      </c>
      <c r="E8" s="12" t="str">
        <f t="shared" si="0"/>
        <v/>
      </c>
      <c r="F8" s="113"/>
      <c r="G8" s="31"/>
    </row>
    <row r="9" spans="1:9" s="8" customFormat="1" x14ac:dyDescent="0.2">
      <c r="A9" s="9" t="s">
        <v>385</v>
      </c>
      <c r="B9" s="9" t="s">
        <v>386</v>
      </c>
      <c r="C9" s="11" t="s">
        <v>54</v>
      </c>
      <c r="D9" s="134">
        <v>50</v>
      </c>
      <c r="E9" s="12"/>
      <c r="F9" s="113"/>
      <c r="G9" s="31"/>
    </row>
    <row r="10" spans="1:9" s="8" customFormat="1" ht="25.5" x14ac:dyDescent="0.2">
      <c r="A10" s="9" t="s">
        <v>387</v>
      </c>
      <c r="B10" s="9" t="s">
        <v>388</v>
      </c>
      <c r="C10" s="11" t="s">
        <v>54</v>
      </c>
      <c r="D10" s="134">
        <v>158.19999999999999</v>
      </c>
      <c r="E10" s="12" t="str">
        <f t="shared" si="0"/>
        <v/>
      </c>
      <c r="F10" s="113"/>
      <c r="G10" s="31"/>
    </row>
    <row r="11" spans="1:9" s="8" customFormat="1" ht="25.5" x14ac:dyDescent="0.2">
      <c r="A11" s="9" t="s">
        <v>389</v>
      </c>
      <c r="B11" s="9" t="s">
        <v>390</v>
      </c>
      <c r="C11" s="11" t="s">
        <v>54</v>
      </c>
      <c r="D11" s="134">
        <v>79.099999999999994</v>
      </c>
      <c r="E11" s="12" t="str">
        <f t="shared" si="0"/>
        <v/>
      </c>
      <c r="F11" s="113"/>
      <c r="G11" s="31"/>
    </row>
    <row r="12" spans="1:9" s="8" customFormat="1" x14ac:dyDescent="0.2">
      <c r="A12" s="9" t="s">
        <v>391</v>
      </c>
      <c r="B12" s="9" t="s">
        <v>392</v>
      </c>
      <c r="C12" s="11" t="s">
        <v>54</v>
      </c>
      <c r="D12" s="133">
        <v>40</v>
      </c>
      <c r="E12" s="12"/>
      <c r="F12" s="113"/>
      <c r="G12" s="31"/>
    </row>
    <row r="13" spans="1:9" s="8" customFormat="1" ht="25.5" x14ac:dyDescent="0.2">
      <c r="A13" s="9" t="s">
        <v>393</v>
      </c>
      <c r="B13" s="9" t="s">
        <v>394</v>
      </c>
      <c r="C13" s="11" t="s">
        <v>11</v>
      </c>
      <c r="D13" s="134">
        <v>10</v>
      </c>
      <c r="E13" s="12" t="str">
        <f t="shared" si="0"/>
        <v/>
      </c>
      <c r="F13" s="113"/>
      <c r="G13" s="31"/>
      <c r="I13" s="8" t="s">
        <v>988</v>
      </c>
    </row>
    <row r="14" spans="1:9" s="8" customFormat="1" ht="25.5" x14ac:dyDescent="0.2">
      <c r="A14" s="9" t="s">
        <v>395</v>
      </c>
      <c r="B14" s="9" t="s">
        <v>396</v>
      </c>
      <c r="C14" s="11" t="s">
        <v>11</v>
      </c>
      <c r="D14" s="134">
        <v>10</v>
      </c>
      <c r="E14" s="12" t="str">
        <f t="shared" si="0"/>
        <v/>
      </c>
      <c r="F14" s="113"/>
      <c r="G14" s="31"/>
    </row>
    <row r="15" spans="1:9" s="8" customFormat="1" ht="25.5" x14ac:dyDescent="0.2">
      <c r="A15" s="9" t="s">
        <v>397</v>
      </c>
      <c r="B15" s="9" t="s">
        <v>1045</v>
      </c>
      <c r="C15" s="11" t="s">
        <v>11</v>
      </c>
      <c r="D15" s="134">
        <v>10</v>
      </c>
      <c r="E15" s="12" t="str">
        <f t="shared" si="0"/>
        <v/>
      </c>
      <c r="F15" s="113"/>
      <c r="G15" s="31"/>
    </row>
    <row r="16" spans="1:9" s="8" customFormat="1" x14ac:dyDescent="0.2">
      <c r="A16" s="9" t="s">
        <v>398</v>
      </c>
      <c r="B16" s="9" t="s">
        <v>399</v>
      </c>
      <c r="C16" s="11" t="s">
        <v>54</v>
      </c>
      <c r="D16" s="133">
        <v>50</v>
      </c>
      <c r="E16" s="12" t="str">
        <f t="shared" si="0"/>
        <v/>
      </c>
      <c r="F16" s="113"/>
      <c r="G16" s="31"/>
    </row>
    <row r="17" spans="1:7" s="8" customFormat="1" ht="25.5" x14ac:dyDescent="0.2">
      <c r="A17" s="9" t="s">
        <v>400</v>
      </c>
      <c r="B17" s="9" t="s">
        <v>401</v>
      </c>
      <c r="C17" s="11" t="s">
        <v>54</v>
      </c>
      <c r="D17" s="133" t="s">
        <v>1047</v>
      </c>
      <c r="E17" s="12" t="str">
        <f t="shared" si="0"/>
        <v>N/A</v>
      </c>
      <c r="F17" s="113" t="str">
        <f>IFERROR(IF(ISNUMBER(D17),D17*E17,"-"),"")</f>
        <v>-</v>
      </c>
      <c r="G17" s="31"/>
    </row>
    <row r="18" spans="1:7" s="8" customFormat="1" ht="25.5" x14ac:dyDescent="0.2">
      <c r="A18" s="9" t="s">
        <v>402</v>
      </c>
      <c r="B18" s="9" t="s">
        <v>403</v>
      </c>
      <c r="C18" s="11" t="s">
        <v>54</v>
      </c>
      <c r="D18" s="134">
        <v>50</v>
      </c>
      <c r="E18" s="12"/>
      <c r="F18" s="113"/>
      <c r="G18" s="31"/>
    </row>
    <row r="19" spans="1:7" s="8" customFormat="1" ht="25.5" x14ac:dyDescent="0.2">
      <c r="A19" s="9"/>
      <c r="B19" s="50" t="s">
        <v>404</v>
      </c>
      <c r="C19" s="11"/>
      <c r="D19" s="133"/>
      <c r="E19" s="12"/>
      <c r="F19" s="113"/>
      <c r="G19" s="31"/>
    </row>
    <row r="20" spans="1:7" s="8" customFormat="1" ht="25.5" x14ac:dyDescent="0.2">
      <c r="A20" s="9" t="s">
        <v>405</v>
      </c>
      <c r="B20" s="9" t="s">
        <v>406</v>
      </c>
      <c r="C20" s="11" t="s">
        <v>54</v>
      </c>
      <c r="D20" s="133">
        <v>250</v>
      </c>
      <c r="E20" s="12" t="str">
        <f t="shared" si="0"/>
        <v/>
      </c>
      <c r="F20" s="113"/>
      <c r="G20" s="31"/>
    </row>
    <row r="21" spans="1:7" s="8" customFormat="1" ht="25.5" x14ac:dyDescent="0.2">
      <c r="A21" s="9" t="s">
        <v>407</v>
      </c>
      <c r="B21" s="9" t="s">
        <v>408</v>
      </c>
      <c r="C21" s="11" t="s">
        <v>54</v>
      </c>
      <c r="D21" s="133" t="s">
        <v>1047</v>
      </c>
      <c r="E21" s="12" t="str">
        <f t="shared" si="0"/>
        <v>N/A</v>
      </c>
      <c r="F21" s="113" t="s">
        <v>1035</v>
      </c>
      <c r="G21" s="31"/>
    </row>
    <row r="22" spans="1:7" s="8" customFormat="1" ht="25.5" x14ac:dyDescent="0.2">
      <c r="A22" s="9" t="s">
        <v>409</v>
      </c>
      <c r="B22" s="9" t="s">
        <v>410</v>
      </c>
      <c r="C22" s="11" t="s">
        <v>54</v>
      </c>
      <c r="D22" s="133" t="s">
        <v>1047</v>
      </c>
      <c r="E22" s="12" t="s">
        <v>1215</v>
      </c>
      <c r="F22" s="113" t="s">
        <v>1035</v>
      </c>
      <c r="G22" s="31"/>
    </row>
    <row r="23" spans="1:7" s="8" customFormat="1" ht="25.5" x14ac:dyDescent="0.2">
      <c r="A23" s="9" t="s">
        <v>411</v>
      </c>
      <c r="B23" s="9" t="s">
        <v>1212</v>
      </c>
      <c r="C23" s="11" t="s">
        <v>54</v>
      </c>
      <c r="D23" s="133">
        <v>10</v>
      </c>
      <c r="E23" s="12"/>
      <c r="F23" s="113"/>
      <c r="G23" s="31"/>
    </row>
    <row r="24" spans="1:7" s="8" customFormat="1" ht="25.5" x14ac:dyDescent="0.2">
      <c r="A24" s="9" t="s">
        <v>412</v>
      </c>
      <c r="B24" s="9" t="s">
        <v>413</v>
      </c>
      <c r="C24" s="11" t="s">
        <v>54</v>
      </c>
      <c r="D24" s="133">
        <v>250</v>
      </c>
      <c r="E24" s="12" t="str">
        <f t="shared" si="0"/>
        <v/>
      </c>
      <c r="F24" s="113"/>
      <c r="G24" s="31"/>
    </row>
    <row r="25" spans="1:7" s="8" customFormat="1" ht="38.25" x14ac:dyDescent="0.2">
      <c r="A25" s="9" t="s">
        <v>414</v>
      </c>
      <c r="B25" s="9" t="s">
        <v>415</v>
      </c>
      <c r="C25" s="11" t="s">
        <v>54</v>
      </c>
      <c r="D25" s="133">
        <v>100</v>
      </c>
      <c r="E25" s="12" t="str">
        <f t="shared" si="0"/>
        <v/>
      </c>
      <c r="F25" s="113"/>
      <c r="G25" s="31"/>
    </row>
    <row r="26" spans="1:7" s="8" customFormat="1" x14ac:dyDescent="0.2">
      <c r="A26" s="9"/>
      <c r="B26" s="9"/>
      <c r="C26" s="11"/>
      <c r="D26" s="133"/>
      <c r="E26" s="12"/>
      <c r="F26" s="113"/>
      <c r="G26" s="31"/>
    </row>
    <row r="27" spans="1:7" s="8" customFormat="1" ht="25.5" x14ac:dyDescent="0.2">
      <c r="A27" s="9"/>
      <c r="B27" s="9" t="s">
        <v>416</v>
      </c>
      <c r="C27" s="11"/>
      <c r="D27" s="133"/>
      <c r="E27" s="12"/>
      <c r="F27" s="113"/>
      <c r="G27" s="31"/>
    </row>
    <row r="28" spans="1:7" ht="12.75" customHeight="1" x14ac:dyDescent="0.2">
      <c r="A28" s="17"/>
      <c r="B28" s="58" t="s">
        <v>417</v>
      </c>
      <c r="C28" s="59"/>
      <c r="D28" s="59"/>
      <c r="E28" s="60"/>
      <c r="F28" s="11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ignoredErrors>
    <ignoredError sqref="E6" unlockedFormula="1"/>
  </ignoredError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9E43-FFFF-4808-B325-80B499FF8DC6}">
  <dimension ref="A2:H29"/>
  <sheetViews>
    <sheetView view="pageLayout" topLeftCell="A25"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23" customWidth="1"/>
    <col min="7" max="16384" width="9.140625" style="16"/>
  </cols>
  <sheetData>
    <row r="2" spans="1:8" x14ac:dyDescent="0.2">
      <c r="A2" s="1" t="s">
        <v>0</v>
      </c>
      <c r="B2" s="1" t="s">
        <v>1</v>
      </c>
      <c r="C2" s="1" t="s">
        <v>2</v>
      </c>
      <c r="D2" s="1" t="s">
        <v>3</v>
      </c>
      <c r="E2" s="1" t="s">
        <v>4</v>
      </c>
      <c r="F2" s="3" t="s">
        <v>5</v>
      </c>
    </row>
    <row r="3" spans="1:8" ht="18" x14ac:dyDescent="0.25">
      <c r="A3" s="40"/>
      <c r="B3" s="140" t="s">
        <v>1059</v>
      </c>
      <c r="C3" s="41"/>
      <c r="D3" s="41"/>
      <c r="E3" s="41" t="s">
        <v>6</v>
      </c>
      <c r="F3" s="42" t="s">
        <v>6</v>
      </c>
    </row>
    <row r="4" spans="1:8" s="8" customFormat="1" x14ac:dyDescent="0.2">
      <c r="A4" s="4" t="s">
        <v>418</v>
      </c>
      <c r="B4" s="4" t="s">
        <v>419</v>
      </c>
      <c r="C4" s="68"/>
      <c r="D4" s="68"/>
      <c r="E4" s="68"/>
      <c r="F4" s="36"/>
    </row>
    <row r="5" spans="1:8" s="8" customFormat="1" x14ac:dyDescent="0.2">
      <c r="A5" s="9"/>
      <c r="B5" s="50" t="s">
        <v>420</v>
      </c>
      <c r="C5" s="11"/>
      <c r="D5" s="125"/>
      <c r="E5" s="11"/>
      <c r="F5" s="36"/>
    </row>
    <row r="6" spans="1:8" s="8" customFormat="1" ht="25.5" x14ac:dyDescent="0.2">
      <c r="A6" s="9" t="s">
        <v>421</v>
      </c>
      <c r="B6" s="124" t="s">
        <v>1055</v>
      </c>
      <c r="C6" s="11" t="s">
        <v>54</v>
      </c>
      <c r="D6" s="133">
        <v>97</v>
      </c>
      <c r="E6" s="44" t="str">
        <f>IF(ISNUMBER(D6),"","N/A")</f>
        <v/>
      </c>
      <c r="F6" s="113"/>
    </row>
    <row r="7" spans="1:8" s="8" customFormat="1" ht="25.5" x14ac:dyDescent="0.2">
      <c r="A7" s="9" t="s">
        <v>422</v>
      </c>
      <c r="B7" s="124" t="s">
        <v>423</v>
      </c>
      <c r="C7" s="11" t="s">
        <v>54</v>
      </c>
      <c r="D7" s="133" t="s">
        <v>1047</v>
      </c>
      <c r="E7" s="44" t="str">
        <f t="shared" ref="E7:E28" si="0">IF(ISNUMBER(D7),"","N/A")</f>
        <v>N/A</v>
      </c>
      <c r="F7" s="113" t="str">
        <f t="shared" ref="F7:F28" si="1">IFERROR(IF(ISNUMBER(D7),D7*E7,"-"),"")</f>
        <v>-</v>
      </c>
    </row>
    <row r="8" spans="1:8" s="8" customFormat="1" ht="25.5" x14ac:dyDescent="0.2">
      <c r="A8" s="9" t="s">
        <v>424</v>
      </c>
      <c r="B8" s="124" t="s">
        <v>425</v>
      </c>
      <c r="C8" s="11" t="s">
        <v>137</v>
      </c>
      <c r="D8" s="133">
        <v>485</v>
      </c>
      <c r="E8" s="44" t="str">
        <f>IF(ISNUMBER(D8),"","N/A")</f>
        <v/>
      </c>
      <c r="F8" s="113"/>
    </row>
    <row r="9" spans="1:8" s="8" customFormat="1" ht="25.5" x14ac:dyDescent="0.2">
      <c r="A9" s="9" t="s">
        <v>426</v>
      </c>
      <c r="B9" s="124" t="s">
        <v>427</v>
      </c>
      <c r="C9" s="11" t="s">
        <v>137</v>
      </c>
      <c r="D9" s="133">
        <v>20</v>
      </c>
      <c r="E9" s="44"/>
      <c r="F9" s="113"/>
    </row>
    <row r="10" spans="1:8" s="8" customFormat="1" ht="25.5" x14ac:dyDescent="0.2">
      <c r="A10" s="9" t="s">
        <v>428</v>
      </c>
      <c r="B10" s="124" t="s">
        <v>429</v>
      </c>
      <c r="C10" s="11" t="s">
        <v>137</v>
      </c>
      <c r="D10" s="133" t="s">
        <v>1047</v>
      </c>
      <c r="E10" s="44" t="str">
        <f t="shared" si="0"/>
        <v>N/A</v>
      </c>
      <c r="F10" s="113" t="str">
        <f t="shared" si="1"/>
        <v>-</v>
      </c>
    </row>
    <row r="11" spans="1:8" s="8" customFormat="1" ht="38.25" x14ac:dyDescent="0.2">
      <c r="A11" s="9" t="s">
        <v>430</v>
      </c>
      <c r="B11" s="124" t="s">
        <v>1198</v>
      </c>
      <c r="C11" s="11" t="s">
        <v>143</v>
      </c>
      <c r="D11" s="133">
        <v>10</v>
      </c>
      <c r="E11" s="44"/>
      <c r="F11" s="113"/>
      <c r="H11" s="31"/>
    </row>
    <row r="12" spans="1:8" s="8" customFormat="1" ht="51" x14ac:dyDescent="0.2">
      <c r="A12" s="9" t="s">
        <v>431</v>
      </c>
      <c r="B12" s="124" t="s">
        <v>1039</v>
      </c>
      <c r="C12" s="11" t="s">
        <v>170</v>
      </c>
      <c r="D12" s="133" t="s">
        <v>1047</v>
      </c>
      <c r="E12" s="44" t="str">
        <f t="shared" si="0"/>
        <v>N/A</v>
      </c>
      <c r="F12" s="113" t="str">
        <f t="shared" si="1"/>
        <v>-</v>
      </c>
    </row>
    <row r="13" spans="1:8" s="8" customFormat="1" x14ac:dyDescent="0.2">
      <c r="A13" s="9"/>
      <c r="B13" s="35" t="s">
        <v>432</v>
      </c>
      <c r="C13" s="11"/>
      <c r="D13" s="133"/>
      <c r="E13" s="44"/>
      <c r="F13" s="113"/>
    </row>
    <row r="14" spans="1:8" s="8" customFormat="1" ht="38.25" x14ac:dyDescent="0.2">
      <c r="A14" s="9" t="s">
        <v>433</v>
      </c>
      <c r="B14" s="124" t="s">
        <v>434</v>
      </c>
      <c r="C14" s="11" t="s">
        <v>54</v>
      </c>
      <c r="D14" s="133" t="s">
        <v>1047</v>
      </c>
      <c r="E14" s="44" t="str">
        <f t="shared" si="0"/>
        <v>N/A</v>
      </c>
      <c r="F14" s="113" t="str">
        <f t="shared" si="1"/>
        <v>-</v>
      </c>
    </row>
    <row r="15" spans="1:8" s="8" customFormat="1" ht="25.5" x14ac:dyDescent="0.2">
      <c r="A15" s="9" t="s">
        <v>435</v>
      </c>
      <c r="B15" s="124" t="s">
        <v>436</v>
      </c>
      <c r="C15" s="11" t="s">
        <v>54</v>
      </c>
      <c r="D15" s="133" t="s">
        <v>1047</v>
      </c>
      <c r="E15" s="44" t="str">
        <f t="shared" si="0"/>
        <v>N/A</v>
      </c>
      <c r="F15" s="113" t="str">
        <f t="shared" si="1"/>
        <v>-</v>
      </c>
    </row>
    <row r="16" spans="1:8" s="8" customFormat="1" ht="51" x14ac:dyDescent="0.2">
      <c r="A16" s="9" t="s">
        <v>437</v>
      </c>
      <c r="B16" s="124" t="s">
        <v>438</v>
      </c>
      <c r="C16" s="11" t="s">
        <v>137</v>
      </c>
      <c r="D16" s="133" t="s">
        <v>1047</v>
      </c>
      <c r="E16" s="44" t="str">
        <f t="shared" si="0"/>
        <v>N/A</v>
      </c>
      <c r="F16" s="113" t="str">
        <f t="shared" si="1"/>
        <v>-</v>
      </c>
    </row>
    <row r="17" spans="1:6" s="8" customFormat="1" ht="25.5" x14ac:dyDescent="0.2">
      <c r="A17" s="9" t="s">
        <v>439</v>
      </c>
      <c r="B17" s="124" t="s">
        <v>440</v>
      </c>
      <c r="C17" s="11" t="s">
        <v>137</v>
      </c>
      <c r="D17" s="133" t="s">
        <v>1047</v>
      </c>
      <c r="E17" s="44" t="str">
        <f t="shared" si="0"/>
        <v>N/A</v>
      </c>
      <c r="F17" s="113" t="str">
        <f t="shared" si="1"/>
        <v>-</v>
      </c>
    </row>
    <row r="18" spans="1:6" s="8" customFormat="1" ht="25.5" x14ac:dyDescent="0.2">
      <c r="A18" s="9" t="s">
        <v>441</v>
      </c>
      <c r="B18" s="124" t="s">
        <v>442</v>
      </c>
      <c r="C18" s="11" t="s">
        <v>137</v>
      </c>
      <c r="D18" s="133" t="s">
        <v>1047</v>
      </c>
      <c r="E18" s="44" t="str">
        <f t="shared" si="0"/>
        <v>N/A</v>
      </c>
      <c r="F18" s="113" t="str">
        <f t="shared" si="1"/>
        <v>-</v>
      </c>
    </row>
    <row r="19" spans="1:6" s="8" customFormat="1" ht="25.5" x14ac:dyDescent="0.2">
      <c r="A19" s="9" t="s">
        <v>443</v>
      </c>
      <c r="B19" s="124" t="s">
        <v>444</v>
      </c>
      <c r="C19" s="11" t="s">
        <v>137</v>
      </c>
      <c r="D19" s="133" t="s">
        <v>1047</v>
      </c>
      <c r="E19" s="44" t="str">
        <f t="shared" si="0"/>
        <v>N/A</v>
      </c>
      <c r="F19" s="113" t="str">
        <f t="shared" si="1"/>
        <v>-</v>
      </c>
    </row>
    <row r="20" spans="1:6" s="8" customFormat="1" ht="25.5" x14ac:dyDescent="0.2">
      <c r="A20" s="9" t="s">
        <v>445</v>
      </c>
      <c r="B20" s="124" t="s">
        <v>446</v>
      </c>
      <c r="C20" s="11" t="s">
        <v>137</v>
      </c>
      <c r="D20" s="133" t="s">
        <v>1047</v>
      </c>
      <c r="E20" s="44" t="str">
        <f t="shared" si="0"/>
        <v>N/A</v>
      </c>
      <c r="F20" s="113" t="str">
        <f t="shared" si="1"/>
        <v>-</v>
      </c>
    </row>
    <row r="21" spans="1:6" s="8" customFormat="1" ht="25.5" x14ac:dyDescent="0.2">
      <c r="A21" s="9" t="s">
        <v>447</v>
      </c>
      <c r="B21" s="124" t="s">
        <v>448</v>
      </c>
      <c r="C21" s="11" t="s">
        <v>137</v>
      </c>
      <c r="D21" s="133" t="s">
        <v>1047</v>
      </c>
      <c r="E21" s="44" t="str">
        <f t="shared" si="0"/>
        <v>N/A</v>
      </c>
      <c r="F21" s="113" t="str">
        <f t="shared" si="1"/>
        <v>-</v>
      </c>
    </row>
    <row r="22" spans="1:6" s="8" customFormat="1" ht="25.5" x14ac:dyDescent="0.2">
      <c r="A22" s="9" t="s">
        <v>449</v>
      </c>
      <c r="B22" s="124" t="s">
        <v>450</v>
      </c>
      <c r="C22" s="11" t="s">
        <v>54</v>
      </c>
      <c r="D22" s="133" t="s">
        <v>1047</v>
      </c>
      <c r="E22" s="44" t="str">
        <f t="shared" si="0"/>
        <v>N/A</v>
      </c>
      <c r="F22" s="113" t="str">
        <f t="shared" si="1"/>
        <v>-</v>
      </c>
    </row>
    <row r="23" spans="1:6" s="8" customFormat="1" ht="25.5" x14ac:dyDescent="0.2">
      <c r="A23" s="9" t="s">
        <v>451</v>
      </c>
      <c r="B23" s="124" t="s">
        <v>452</v>
      </c>
      <c r="C23" s="11" t="s">
        <v>143</v>
      </c>
      <c r="D23" s="133" t="s">
        <v>1047</v>
      </c>
      <c r="E23" s="44" t="str">
        <f t="shared" si="0"/>
        <v>N/A</v>
      </c>
      <c r="F23" s="113" t="str">
        <f t="shared" si="1"/>
        <v>-</v>
      </c>
    </row>
    <row r="24" spans="1:6" s="8" customFormat="1" ht="38.25" x14ac:dyDescent="0.2">
      <c r="A24" s="9" t="s">
        <v>453</v>
      </c>
      <c r="B24" s="124" t="s">
        <v>1225</v>
      </c>
      <c r="C24" s="11" t="s">
        <v>143</v>
      </c>
      <c r="D24" s="133" t="s">
        <v>1047</v>
      </c>
      <c r="E24" s="44" t="str">
        <f t="shared" si="0"/>
        <v>N/A</v>
      </c>
      <c r="F24" s="113" t="str">
        <f t="shared" si="1"/>
        <v>-</v>
      </c>
    </row>
    <row r="25" spans="1:6" s="8" customFormat="1" ht="25.5" x14ac:dyDescent="0.2">
      <c r="A25" s="9" t="s">
        <v>454</v>
      </c>
      <c r="B25" s="124" t="s">
        <v>455</v>
      </c>
      <c r="C25" s="11" t="s">
        <v>137</v>
      </c>
      <c r="D25" s="133" t="s">
        <v>1047</v>
      </c>
      <c r="E25" s="44" t="str">
        <f t="shared" si="0"/>
        <v>N/A</v>
      </c>
      <c r="F25" s="113" t="str">
        <f t="shared" si="1"/>
        <v>-</v>
      </c>
    </row>
    <row r="26" spans="1:6" s="8" customFormat="1" ht="25.5" x14ac:dyDescent="0.2">
      <c r="A26" s="9" t="s">
        <v>456</v>
      </c>
      <c r="B26" s="124" t="s">
        <v>457</v>
      </c>
      <c r="C26" s="11" t="s">
        <v>54</v>
      </c>
      <c r="D26" s="133" t="s">
        <v>1047</v>
      </c>
      <c r="E26" s="44" t="str">
        <f t="shared" si="0"/>
        <v>N/A</v>
      </c>
      <c r="F26" s="113" t="str">
        <f t="shared" si="1"/>
        <v>-</v>
      </c>
    </row>
    <row r="27" spans="1:6" s="8" customFormat="1" ht="25.5" x14ac:dyDescent="0.2">
      <c r="A27" s="9" t="s">
        <v>458</v>
      </c>
      <c r="B27" s="124" t="s">
        <v>459</v>
      </c>
      <c r="C27" s="11" t="s">
        <v>54</v>
      </c>
      <c r="D27" s="133" t="s">
        <v>1047</v>
      </c>
      <c r="E27" s="44" t="str">
        <f t="shared" si="0"/>
        <v>N/A</v>
      </c>
      <c r="F27" s="113" t="str">
        <f t="shared" si="1"/>
        <v>-</v>
      </c>
    </row>
    <row r="28" spans="1:6" s="8" customFormat="1" ht="38.25" x14ac:dyDescent="0.2">
      <c r="A28" s="9" t="s">
        <v>460</v>
      </c>
      <c r="B28" s="124" t="s">
        <v>1199</v>
      </c>
      <c r="C28" s="11" t="s">
        <v>143</v>
      </c>
      <c r="D28" s="133" t="s">
        <v>1047</v>
      </c>
      <c r="E28" s="44" t="str">
        <f t="shared" si="0"/>
        <v>N/A</v>
      </c>
      <c r="F28" s="113" t="str">
        <f t="shared" si="1"/>
        <v>-</v>
      </c>
    </row>
    <row r="29" spans="1:6" ht="12.75" customHeight="1" x14ac:dyDescent="0.2">
      <c r="A29" s="45"/>
      <c r="B29" s="38" t="s">
        <v>461</v>
      </c>
      <c r="C29" s="38"/>
      <c r="D29" s="38"/>
      <c r="E29" s="39"/>
      <c r="F29" s="11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2B8C-8B19-4B68-A381-9890DB2C4240}">
  <dimension ref="A2:F22"/>
  <sheetViews>
    <sheetView view="pageLayout" topLeftCell="A39" zoomScaleNormal="100" zoomScaleSheetLayoutView="100" workbookViewId="0">
      <selection activeCell="E34" sqref="E34"/>
    </sheetView>
  </sheetViews>
  <sheetFormatPr defaultColWidth="9.140625" defaultRowHeight="12.75" x14ac:dyDescent="0.2"/>
  <cols>
    <col min="1" max="1" width="9.140625" style="16"/>
    <col min="2" max="2" width="35.5703125" style="16" customWidth="1"/>
    <col min="3" max="3" width="9.28515625" style="21" customWidth="1"/>
    <col min="4" max="4" width="11.42578125" style="21" customWidth="1"/>
    <col min="5" max="5" width="11.42578125" style="22" customWidth="1"/>
    <col min="6" max="6" width="11.42578125" style="23" customWidth="1"/>
    <col min="7" max="16384" width="9.140625" style="16"/>
  </cols>
  <sheetData>
    <row r="2" spans="1:6" x14ac:dyDescent="0.2">
      <c r="A2" s="1" t="s">
        <v>0</v>
      </c>
      <c r="B2" s="1" t="s">
        <v>1</v>
      </c>
      <c r="C2" s="1" t="s">
        <v>2</v>
      </c>
      <c r="D2" s="1" t="s">
        <v>3</v>
      </c>
      <c r="E2" s="2" t="s">
        <v>4</v>
      </c>
      <c r="F2" s="3" t="s">
        <v>5</v>
      </c>
    </row>
    <row r="3" spans="1:6" ht="18" x14ac:dyDescent="0.25">
      <c r="A3" s="40"/>
      <c r="B3" s="140" t="s">
        <v>1059</v>
      </c>
      <c r="C3" s="41"/>
      <c r="D3" s="41"/>
      <c r="E3" s="61" t="s">
        <v>6</v>
      </c>
      <c r="F3" s="42" t="s">
        <v>6</v>
      </c>
    </row>
    <row r="4" spans="1:6" s="8" customFormat="1" x14ac:dyDescent="0.2">
      <c r="A4" s="4" t="s">
        <v>462</v>
      </c>
      <c r="B4" s="4" t="s">
        <v>463</v>
      </c>
      <c r="C4" s="4"/>
      <c r="D4" s="9"/>
      <c r="E4" s="67"/>
      <c r="F4" s="69"/>
    </row>
    <row r="5" spans="1:6" s="8" customFormat="1" x14ac:dyDescent="0.2">
      <c r="A5" s="9"/>
      <c r="B5" s="50" t="s">
        <v>464</v>
      </c>
      <c r="C5" s="9"/>
      <c r="D5" s="9"/>
      <c r="E5" s="67"/>
      <c r="F5" s="69"/>
    </row>
    <row r="6" spans="1:6" s="8" customFormat="1" ht="38.25" x14ac:dyDescent="0.2">
      <c r="A6" s="9" t="s">
        <v>465</v>
      </c>
      <c r="B6" s="9" t="s">
        <v>466</v>
      </c>
      <c r="C6" s="125" t="s">
        <v>157</v>
      </c>
      <c r="D6" s="117" t="s">
        <v>1047</v>
      </c>
      <c r="E6" s="12" t="str">
        <f>IF(ISNUMBER(D6),"","N/A")</f>
        <v>N/A</v>
      </c>
      <c r="F6" s="113" t="str">
        <f>IFERROR(IF(ISNUMBER(D6),D6*E6,"-"),"")</f>
        <v>-</v>
      </c>
    </row>
    <row r="7" spans="1:6" s="8" customFormat="1" ht="25.5" x14ac:dyDescent="0.2">
      <c r="A7" s="9" t="s">
        <v>467</v>
      </c>
      <c r="B7" s="9" t="s">
        <v>468</v>
      </c>
      <c r="C7" s="125" t="s">
        <v>289</v>
      </c>
      <c r="D7" s="117" t="s">
        <v>1047</v>
      </c>
      <c r="E7" s="12" t="str">
        <f t="shared" ref="E7:E19" si="0">IF(ISNUMBER(D7),"","N/A")</f>
        <v>N/A</v>
      </c>
      <c r="F7" s="113" t="str">
        <f t="shared" ref="F7:F19" si="1">IFERROR(IF(ISNUMBER(D7),D7*E7,"-"),"")</f>
        <v>-</v>
      </c>
    </row>
    <row r="8" spans="1:6" s="8" customFormat="1" ht="25.5" x14ac:dyDescent="0.2">
      <c r="A8" s="9" t="s">
        <v>469</v>
      </c>
      <c r="B8" s="9" t="s">
        <v>470</v>
      </c>
      <c r="C8" s="125" t="s">
        <v>289</v>
      </c>
      <c r="D8" s="114">
        <v>750</v>
      </c>
      <c r="E8" s="12" t="str">
        <f t="shared" si="0"/>
        <v/>
      </c>
      <c r="F8" s="113"/>
    </row>
    <row r="9" spans="1:6" s="8" customFormat="1" ht="25.5" x14ac:dyDescent="0.2">
      <c r="A9" s="9" t="s">
        <v>471</v>
      </c>
      <c r="B9" s="9" t="s">
        <v>472</v>
      </c>
      <c r="C9" s="125" t="s">
        <v>289</v>
      </c>
      <c r="D9" s="114">
        <v>750</v>
      </c>
      <c r="E9" s="12" t="str">
        <f t="shared" si="0"/>
        <v/>
      </c>
      <c r="F9" s="113"/>
    </row>
    <row r="10" spans="1:6" s="8" customFormat="1" ht="25.5" x14ac:dyDescent="0.2">
      <c r="A10" s="9" t="s">
        <v>473</v>
      </c>
      <c r="B10" s="9" t="s">
        <v>474</v>
      </c>
      <c r="C10" s="125" t="s">
        <v>289</v>
      </c>
      <c r="D10" s="117" t="s">
        <v>1047</v>
      </c>
      <c r="E10" s="12" t="str">
        <f t="shared" si="0"/>
        <v>N/A</v>
      </c>
      <c r="F10" s="113" t="str">
        <f t="shared" si="1"/>
        <v>-</v>
      </c>
    </row>
    <row r="11" spans="1:6" s="8" customFormat="1" ht="25.5" x14ac:dyDescent="0.2">
      <c r="A11" s="9"/>
      <c r="B11" s="50" t="s">
        <v>475</v>
      </c>
      <c r="C11" s="125"/>
      <c r="D11" s="9" t="s">
        <v>1047</v>
      </c>
      <c r="E11" s="12" t="str">
        <f t="shared" si="0"/>
        <v>N/A</v>
      </c>
      <c r="F11" s="113" t="str">
        <f t="shared" si="1"/>
        <v>-</v>
      </c>
    </row>
    <row r="12" spans="1:6" s="8" customFormat="1" ht="51" x14ac:dyDescent="0.2">
      <c r="A12" s="9" t="s">
        <v>476</v>
      </c>
      <c r="B12" s="9" t="s">
        <v>477</v>
      </c>
      <c r="C12" s="125" t="s">
        <v>11</v>
      </c>
      <c r="D12" s="9" t="s">
        <v>1047</v>
      </c>
      <c r="E12" s="12" t="str">
        <f t="shared" si="0"/>
        <v>N/A</v>
      </c>
      <c r="F12" s="113" t="str">
        <f t="shared" si="1"/>
        <v>-</v>
      </c>
    </row>
    <row r="13" spans="1:6" s="8" customFormat="1" ht="51" x14ac:dyDescent="0.2">
      <c r="A13" s="9" t="s">
        <v>478</v>
      </c>
      <c r="B13" s="9" t="s">
        <v>479</v>
      </c>
      <c r="C13" s="125" t="s">
        <v>137</v>
      </c>
      <c r="D13" s="9" t="s">
        <v>1047</v>
      </c>
      <c r="E13" s="12" t="str">
        <f t="shared" si="0"/>
        <v>N/A</v>
      </c>
      <c r="F13" s="113" t="str">
        <f t="shared" si="1"/>
        <v>-</v>
      </c>
    </row>
    <row r="14" spans="1:6" s="8" customFormat="1" ht="25.5" x14ac:dyDescent="0.2">
      <c r="A14" s="9" t="s">
        <v>480</v>
      </c>
      <c r="B14" s="9" t="s">
        <v>481</v>
      </c>
      <c r="C14" s="125" t="s">
        <v>54</v>
      </c>
      <c r="D14" s="9" t="s">
        <v>1047</v>
      </c>
      <c r="E14" s="12" t="str">
        <f t="shared" si="0"/>
        <v>N/A</v>
      </c>
      <c r="F14" s="113" t="str">
        <f t="shared" si="1"/>
        <v>-</v>
      </c>
    </row>
    <row r="15" spans="1:6" s="8" customFormat="1" x14ac:dyDescent="0.2">
      <c r="A15" s="9"/>
      <c r="B15" s="50" t="s">
        <v>482</v>
      </c>
      <c r="C15" s="125"/>
      <c r="D15" s="9"/>
      <c r="E15" s="12"/>
      <c r="F15" s="113"/>
    </row>
    <row r="16" spans="1:6" s="8" customFormat="1" ht="38.25" x14ac:dyDescent="0.2">
      <c r="A16" s="9" t="s">
        <v>483</v>
      </c>
      <c r="B16" s="9" t="s">
        <v>484</v>
      </c>
      <c r="C16" s="125" t="s">
        <v>11</v>
      </c>
      <c r="D16" s="9" t="s">
        <v>1047</v>
      </c>
      <c r="E16" s="12" t="str">
        <f t="shared" si="0"/>
        <v>N/A</v>
      </c>
      <c r="F16" s="113" t="str">
        <f t="shared" si="1"/>
        <v>-</v>
      </c>
    </row>
    <row r="17" spans="1:6" s="8" customFormat="1" ht="38.25" x14ac:dyDescent="0.2">
      <c r="A17" s="9" t="s">
        <v>485</v>
      </c>
      <c r="B17" s="9" t="s">
        <v>486</v>
      </c>
      <c r="C17" s="125" t="s">
        <v>170</v>
      </c>
      <c r="D17" s="9" t="s">
        <v>1047</v>
      </c>
      <c r="E17" s="12" t="str">
        <f t="shared" si="0"/>
        <v>N/A</v>
      </c>
      <c r="F17" s="113" t="str">
        <f t="shared" si="1"/>
        <v>-</v>
      </c>
    </row>
    <row r="18" spans="1:6" s="8" customFormat="1" x14ac:dyDescent="0.2">
      <c r="A18" s="70"/>
      <c r="B18" s="70" t="s">
        <v>487</v>
      </c>
      <c r="C18" s="53"/>
      <c r="D18" s="9"/>
      <c r="E18" s="12"/>
      <c r="F18" s="113"/>
    </row>
    <row r="19" spans="1:6" s="8" customFormat="1" ht="25.5" x14ac:dyDescent="0.2">
      <c r="A19" s="70"/>
      <c r="B19" s="70"/>
      <c r="C19" s="125" t="s">
        <v>170</v>
      </c>
      <c r="D19" s="9" t="s">
        <v>1047</v>
      </c>
      <c r="E19" s="12" t="str">
        <f t="shared" si="0"/>
        <v>N/A</v>
      </c>
      <c r="F19" s="113" t="str">
        <f t="shared" si="1"/>
        <v>-</v>
      </c>
    </row>
    <row r="20" spans="1:6" ht="12.75" customHeight="1" x14ac:dyDescent="0.2">
      <c r="A20" s="17"/>
      <c r="B20" s="13" t="s">
        <v>488</v>
      </c>
      <c r="C20" s="14"/>
      <c r="D20" s="14"/>
      <c r="E20" s="15"/>
      <c r="F20" s="116"/>
    </row>
    <row r="21" spans="1:6" x14ac:dyDescent="0.2">
      <c r="F21" s="72"/>
    </row>
    <row r="22" spans="1:6" x14ac:dyDescent="0.2">
      <c r="F22" s="71"/>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611E-13E3-4148-913E-9D7940664605}">
  <dimension ref="A2:G64"/>
  <sheetViews>
    <sheetView view="pageLayout" topLeftCell="A51"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4" width="11.42578125" style="21" customWidth="1"/>
    <col min="5" max="5" width="11.42578125" style="22" customWidth="1"/>
    <col min="6" max="6" width="11.42578125" style="23" customWidth="1"/>
    <col min="7" max="7" width="3.140625" style="21" customWidth="1"/>
    <col min="8" max="16384" width="9.140625" style="16"/>
  </cols>
  <sheetData>
    <row r="2" spans="1:7" x14ac:dyDescent="0.2">
      <c r="A2" s="1" t="s">
        <v>0</v>
      </c>
      <c r="B2" s="1" t="s">
        <v>1</v>
      </c>
      <c r="C2" s="1" t="s">
        <v>2</v>
      </c>
      <c r="D2" s="1" t="s">
        <v>3</v>
      </c>
      <c r="E2" s="2" t="s">
        <v>4</v>
      </c>
      <c r="F2" s="3" t="s">
        <v>5</v>
      </c>
      <c r="G2" s="25"/>
    </row>
    <row r="3" spans="1:7" x14ac:dyDescent="0.2">
      <c r="A3" s="40"/>
      <c r="B3" s="40"/>
      <c r="C3" s="41"/>
      <c r="D3" s="41"/>
      <c r="E3" s="61" t="s">
        <v>6</v>
      </c>
      <c r="F3" s="42" t="s">
        <v>6</v>
      </c>
    </row>
    <row r="4" spans="1:7" s="8" customFormat="1" x14ac:dyDescent="0.2">
      <c r="A4" s="73" t="s">
        <v>489</v>
      </c>
      <c r="B4" s="73" t="s">
        <v>490</v>
      </c>
      <c r="C4" s="74"/>
      <c r="D4" s="24"/>
      <c r="E4" s="56"/>
      <c r="F4" s="7"/>
      <c r="G4" s="31"/>
    </row>
    <row r="5" spans="1:7" s="8" customFormat="1" ht="25.5" x14ac:dyDescent="0.2">
      <c r="A5" s="9" t="s">
        <v>491</v>
      </c>
      <c r="B5" s="9" t="s">
        <v>492</v>
      </c>
      <c r="C5" s="125" t="s">
        <v>54</v>
      </c>
      <c r="D5" s="134">
        <v>585</v>
      </c>
      <c r="E5" s="12" t="str">
        <f>IF(ISNUMBER(D5),"","N/A")</f>
        <v/>
      </c>
      <c r="F5" s="113"/>
      <c r="G5" s="31"/>
    </row>
    <row r="6" spans="1:7" s="8" customFormat="1" ht="25.5" x14ac:dyDescent="0.2">
      <c r="A6" s="9" t="s">
        <v>493</v>
      </c>
      <c r="B6" s="9" t="s">
        <v>494</v>
      </c>
      <c r="C6" s="125" t="s">
        <v>54</v>
      </c>
      <c r="D6" s="134">
        <v>221</v>
      </c>
      <c r="E6" s="12" t="str">
        <f t="shared" ref="E6:E61" si="0">IF(ISNUMBER(D6),"","N/A")</f>
        <v/>
      </c>
      <c r="F6" s="113"/>
      <c r="G6" s="31"/>
    </row>
    <row r="7" spans="1:7" s="8" customFormat="1" ht="25.5" x14ac:dyDescent="0.2">
      <c r="A7" s="9" t="s">
        <v>495</v>
      </c>
      <c r="B7" s="9" t="s">
        <v>496</v>
      </c>
      <c r="C7" s="125" t="s">
        <v>54</v>
      </c>
      <c r="D7" s="134">
        <v>55</v>
      </c>
      <c r="E7" s="12" t="str">
        <f t="shared" si="0"/>
        <v/>
      </c>
      <c r="F7" s="113"/>
      <c r="G7" s="31"/>
    </row>
    <row r="8" spans="1:7" s="8" customFormat="1" ht="25.5" x14ac:dyDescent="0.2">
      <c r="A8" s="9" t="s">
        <v>497</v>
      </c>
      <c r="B8" s="9" t="s">
        <v>498</v>
      </c>
      <c r="C8" s="125" t="s">
        <v>54</v>
      </c>
      <c r="D8" s="133" t="s">
        <v>1047</v>
      </c>
      <c r="E8" s="12" t="str">
        <f t="shared" si="0"/>
        <v>N/A</v>
      </c>
      <c r="F8" s="113" t="str">
        <f t="shared" ref="F8:F61" si="1">IFERROR(IF(ISNUMBER(D8),D8*E8,"-"),"")</f>
        <v>-</v>
      </c>
      <c r="G8" s="31"/>
    </row>
    <row r="9" spans="1:7" s="8" customFormat="1" ht="25.5" x14ac:dyDescent="0.2">
      <c r="A9" s="9" t="s">
        <v>499</v>
      </c>
      <c r="B9" s="9" t="s">
        <v>1132</v>
      </c>
      <c r="C9" s="125" t="s">
        <v>54</v>
      </c>
      <c r="D9" s="134">
        <v>35</v>
      </c>
      <c r="E9" s="12"/>
      <c r="F9" s="113"/>
      <c r="G9" s="31"/>
    </row>
    <row r="10" spans="1:7" s="8" customFormat="1" ht="25.5" x14ac:dyDescent="0.2">
      <c r="A10" s="9" t="s">
        <v>500</v>
      </c>
      <c r="B10" s="9" t="s">
        <v>501</v>
      </c>
      <c r="C10" s="125" t="s">
        <v>54</v>
      </c>
      <c r="D10" s="134">
        <v>240</v>
      </c>
      <c r="E10" s="12"/>
      <c r="F10" s="113"/>
      <c r="G10" s="31"/>
    </row>
    <row r="11" spans="1:7" s="8" customFormat="1" ht="25.5" x14ac:dyDescent="0.2">
      <c r="A11" s="9" t="s">
        <v>502</v>
      </c>
      <c r="B11" s="9" t="s">
        <v>503</v>
      </c>
      <c r="C11" s="125" t="s">
        <v>54</v>
      </c>
      <c r="D11" s="134">
        <v>185</v>
      </c>
      <c r="E11" s="12"/>
      <c r="F11" s="113"/>
      <c r="G11" s="31"/>
    </row>
    <row r="12" spans="1:7" s="8" customFormat="1" ht="25.5" x14ac:dyDescent="0.2">
      <c r="A12" s="9" t="s">
        <v>504</v>
      </c>
      <c r="B12" s="9" t="s">
        <v>505</v>
      </c>
      <c r="C12" s="125" t="s">
        <v>54</v>
      </c>
      <c r="D12" s="134">
        <v>10</v>
      </c>
      <c r="E12" s="12"/>
      <c r="F12" s="113"/>
      <c r="G12" s="31"/>
    </row>
    <row r="13" spans="1:7" s="8" customFormat="1" ht="25.5" x14ac:dyDescent="0.2">
      <c r="A13" s="9" t="s">
        <v>506</v>
      </c>
      <c r="B13" s="50" t="s">
        <v>507</v>
      </c>
      <c r="C13" s="125" t="s">
        <v>54</v>
      </c>
      <c r="D13" s="133" t="s">
        <v>1047</v>
      </c>
      <c r="E13" s="12" t="str">
        <f t="shared" si="0"/>
        <v>N/A</v>
      </c>
      <c r="F13" s="113" t="str">
        <f t="shared" si="1"/>
        <v>-</v>
      </c>
      <c r="G13" s="31"/>
    </row>
    <row r="14" spans="1:7" s="8" customFormat="1" ht="25.5" x14ac:dyDescent="0.2">
      <c r="A14" s="9" t="s">
        <v>508</v>
      </c>
      <c r="B14" s="9" t="s">
        <v>509</v>
      </c>
      <c r="C14" s="125" t="s">
        <v>54</v>
      </c>
      <c r="D14" s="133" t="s">
        <v>1047</v>
      </c>
      <c r="E14" s="12" t="str">
        <f t="shared" si="0"/>
        <v>N/A</v>
      </c>
      <c r="F14" s="113" t="str">
        <f t="shared" si="1"/>
        <v>-</v>
      </c>
      <c r="G14" s="31"/>
    </row>
    <row r="15" spans="1:7" s="8" customFormat="1" ht="25.5" x14ac:dyDescent="0.2">
      <c r="A15" s="9" t="s">
        <v>510</v>
      </c>
      <c r="B15" s="9" t="s">
        <v>511</v>
      </c>
      <c r="C15" s="125" t="s">
        <v>54</v>
      </c>
      <c r="D15" s="133" t="s">
        <v>1047</v>
      </c>
      <c r="E15" s="12" t="str">
        <f t="shared" si="0"/>
        <v>N/A</v>
      </c>
      <c r="F15" s="113" t="str">
        <f t="shared" si="1"/>
        <v>-</v>
      </c>
      <c r="G15" s="31"/>
    </row>
    <row r="16" spans="1:7" s="8" customFormat="1" ht="25.5" x14ac:dyDescent="0.2">
      <c r="A16" s="9" t="s">
        <v>512</v>
      </c>
      <c r="B16" s="9" t="s">
        <v>513</v>
      </c>
      <c r="C16" s="125" t="s">
        <v>54</v>
      </c>
      <c r="D16" s="133" t="s">
        <v>1047</v>
      </c>
      <c r="E16" s="12" t="str">
        <f t="shared" si="0"/>
        <v>N/A</v>
      </c>
      <c r="F16" s="113" t="str">
        <f t="shared" si="1"/>
        <v>-</v>
      </c>
      <c r="G16" s="31"/>
    </row>
    <row r="17" spans="1:7" s="8" customFormat="1" ht="25.5" x14ac:dyDescent="0.2">
      <c r="A17" s="9" t="s">
        <v>514</v>
      </c>
      <c r="B17" s="9" t="s">
        <v>515</v>
      </c>
      <c r="C17" s="125" t="s">
        <v>54</v>
      </c>
      <c r="D17" s="133" t="s">
        <v>1047</v>
      </c>
      <c r="E17" s="12" t="str">
        <f t="shared" si="0"/>
        <v>N/A</v>
      </c>
      <c r="F17" s="113" t="str">
        <f t="shared" si="1"/>
        <v>-</v>
      </c>
      <c r="G17" s="31"/>
    </row>
    <row r="18" spans="1:7" s="8" customFormat="1" ht="25.5" x14ac:dyDescent="0.2">
      <c r="A18" s="9" t="s">
        <v>516</v>
      </c>
      <c r="B18" s="9" t="s">
        <v>517</v>
      </c>
      <c r="C18" s="125" t="s">
        <v>170</v>
      </c>
      <c r="D18" s="133" t="s">
        <v>1047</v>
      </c>
      <c r="E18" s="12" t="str">
        <f t="shared" si="0"/>
        <v>N/A</v>
      </c>
      <c r="F18" s="113" t="str">
        <f t="shared" si="1"/>
        <v>-</v>
      </c>
      <c r="G18" s="31"/>
    </row>
    <row r="19" spans="1:7" s="8" customFormat="1" ht="25.5" x14ac:dyDescent="0.2">
      <c r="A19" s="9" t="s">
        <v>518</v>
      </c>
      <c r="B19" s="9" t="s">
        <v>519</v>
      </c>
      <c r="C19" s="125" t="s">
        <v>54</v>
      </c>
      <c r="D19" s="133" t="s">
        <v>1047</v>
      </c>
      <c r="E19" s="12" t="str">
        <f t="shared" si="0"/>
        <v>N/A</v>
      </c>
      <c r="F19" s="113" t="str">
        <f t="shared" si="1"/>
        <v>-</v>
      </c>
      <c r="G19" s="31"/>
    </row>
    <row r="20" spans="1:7" s="8" customFormat="1" ht="25.5" x14ac:dyDescent="0.2">
      <c r="A20" s="9" t="s">
        <v>520</v>
      </c>
      <c r="B20" s="9" t="s">
        <v>1048</v>
      </c>
      <c r="C20" s="125" t="s">
        <v>54</v>
      </c>
      <c r="D20" s="133">
        <v>225</v>
      </c>
      <c r="E20" s="12" t="str">
        <f t="shared" si="0"/>
        <v/>
      </c>
      <c r="F20" s="113"/>
      <c r="G20" s="31"/>
    </row>
    <row r="21" spans="1:7" s="8" customFormat="1" ht="25.5" x14ac:dyDescent="0.2">
      <c r="A21" s="9" t="s">
        <v>521</v>
      </c>
      <c r="B21" s="9" t="s">
        <v>522</v>
      </c>
      <c r="C21" s="125" t="s">
        <v>54</v>
      </c>
      <c r="D21" s="133" t="s">
        <v>1047</v>
      </c>
      <c r="E21" s="12" t="str">
        <f t="shared" si="0"/>
        <v>N/A</v>
      </c>
      <c r="F21" s="113" t="str">
        <f t="shared" si="1"/>
        <v>-</v>
      </c>
      <c r="G21" s="31"/>
    </row>
    <row r="22" spans="1:7" s="8" customFormat="1" ht="25.5" x14ac:dyDescent="0.2">
      <c r="A22" s="9" t="s">
        <v>523</v>
      </c>
      <c r="B22" s="9" t="s">
        <v>524</v>
      </c>
      <c r="C22" s="125" t="s">
        <v>54</v>
      </c>
      <c r="D22" s="133" t="s">
        <v>1047</v>
      </c>
      <c r="E22" s="12" t="str">
        <f t="shared" si="0"/>
        <v>N/A</v>
      </c>
      <c r="F22" s="113" t="str">
        <f t="shared" si="1"/>
        <v>-</v>
      </c>
      <c r="G22" s="31"/>
    </row>
    <row r="23" spans="1:7" s="8" customFormat="1" ht="12.75" customHeight="1" x14ac:dyDescent="0.2">
      <c r="A23" s="54" t="s">
        <v>525</v>
      </c>
      <c r="B23" s="54" t="s">
        <v>526</v>
      </c>
      <c r="C23" s="24" t="s">
        <v>54</v>
      </c>
      <c r="D23" s="133">
        <v>225</v>
      </c>
      <c r="E23" s="12" t="str">
        <f t="shared" si="0"/>
        <v/>
      </c>
      <c r="F23" s="113"/>
      <c r="G23" s="31"/>
    </row>
    <row r="24" spans="1:7" s="8" customFormat="1" x14ac:dyDescent="0.2">
      <c r="A24" s="9"/>
      <c r="B24" s="35" t="s">
        <v>527</v>
      </c>
      <c r="C24" s="125"/>
      <c r="D24" s="133"/>
      <c r="E24" s="12"/>
      <c r="F24" s="113"/>
      <c r="G24" s="31"/>
    </row>
    <row r="25" spans="1:7" s="8" customFormat="1" ht="33" customHeight="1" x14ac:dyDescent="0.2">
      <c r="A25" s="9" t="s">
        <v>528</v>
      </c>
      <c r="B25" s="9" t="s">
        <v>529</v>
      </c>
      <c r="C25" s="125" t="s">
        <v>54</v>
      </c>
      <c r="D25" s="133">
        <v>50</v>
      </c>
      <c r="E25" s="12" t="str">
        <f t="shared" si="0"/>
        <v/>
      </c>
      <c r="F25" s="113" t="str">
        <f t="shared" si="1"/>
        <v/>
      </c>
      <c r="G25" s="31"/>
    </row>
    <row r="26" spans="1:7" s="8" customFormat="1" x14ac:dyDescent="0.2">
      <c r="A26" s="9"/>
      <c r="B26" s="50" t="s">
        <v>530</v>
      </c>
      <c r="C26" s="125"/>
      <c r="D26" s="133"/>
      <c r="E26" s="12"/>
      <c r="F26" s="113"/>
      <c r="G26" s="31"/>
    </row>
    <row r="27" spans="1:7" s="8" customFormat="1" ht="38.25" x14ac:dyDescent="0.2">
      <c r="A27" s="9" t="s">
        <v>531</v>
      </c>
      <c r="B27" s="9" t="s">
        <v>532</v>
      </c>
      <c r="C27" s="125" t="s">
        <v>153</v>
      </c>
      <c r="D27" s="133" t="s">
        <v>1047</v>
      </c>
      <c r="E27" s="12" t="str">
        <f t="shared" si="0"/>
        <v>N/A</v>
      </c>
      <c r="F27" s="113" t="str">
        <f t="shared" si="1"/>
        <v>-</v>
      </c>
      <c r="G27" s="31"/>
    </row>
    <row r="28" spans="1:7" s="8" customFormat="1" ht="38.25" x14ac:dyDescent="0.2">
      <c r="A28" s="9" t="s">
        <v>533</v>
      </c>
      <c r="B28" s="9" t="s">
        <v>534</v>
      </c>
      <c r="C28" s="125" t="s">
        <v>153</v>
      </c>
      <c r="D28" s="133" t="s">
        <v>1047</v>
      </c>
      <c r="E28" s="12" t="str">
        <f t="shared" si="0"/>
        <v>N/A</v>
      </c>
      <c r="F28" s="113" t="str">
        <f t="shared" si="1"/>
        <v>-</v>
      </c>
      <c r="G28" s="31"/>
    </row>
    <row r="29" spans="1:7" s="8" customFormat="1" ht="25.5" x14ac:dyDescent="0.2">
      <c r="A29" s="9" t="s">
        <v>535</v>
      </c>
      <c r="B29" s="9" t="s">
        <v>536</v>
      </c>
      <c r="C29" s="125" t="s">
        <v>153</v>
      </c>
      <c r="D29" s="133" t="s">
        <v>1047</v>
      </c>
      <c r="E29" s="12" t="str">
        <f t="shared" si="0"/>
        <v>N/A</v>
      </c>
      <c r="F29" s="113" t="str">
        <f t="shared" si="1"/>
        <v>-</v>
      </c>
      <c r="G29" s="31"/>
    </row>
    <row r="30" spans="1:7" s="8" customFormat="1" ht="25.5" x14ac:dyDescent="0.2">
      <c r="A30" s="9" t="s">
        <v>537</v>
      </c>
      <c r="B30" s="9" t="s">
        <v>538</v>
      </c>
      <c r="C30" s="125" t="s">
        <v>153</v>
      </c>
      <c r="D30" s="133" t="s">
        <v>1047</v>
      </c>
      <c r="E30" s="12" t="str">
        <f t="shared" si="0"/>
        <v>N/A</v>
      </c>
      <c r="F30" s="113" t="str">
        <f t="shared" si="1"/>
        <v>-</v>
      </c>
      <c r="G30" s="31"/>
    </row>
    <row r="31" spans="1:7" s="8" customFormat="1" ht="51" x14ac:dyDescent="0.2">
      <c r="A31" s="9" t="s">
        <v>539</v>
      </c>
      <c r="B31" s="9" t="s">
        <v>540</v>
      </c>
      <c r="C31" s="125" t="s">
        <v>153</v>
      </c>
      <c r="D31" s="133" t="s">
        <v>1047</v>
      </c>
      <c r="E31" s="12" t="str">
        <f t="shared" si="0"/>
        <v>N/A</v>
      </c>
      <c r="F31" s="113" t="str">
        <f t="shared" si="1"/>
        <v>-</v>
      </c>
      <c r="G31" s="31"/>
    </row>
    <row r="32" spans="1:7" s="8" customFormat="1" ht="38.25" x14ac:dyDescent="0.2">
      <c r="A32" s="9" t="s">
        <v>541</v>
      </c>
      <c r="B32" s="9" t="s">
        <v>542</v>
      </c>
      <c r="C32" s="125" t="s">
        <v>153</v>
      </c>
      <c r="D32" s="133" t="s">
        <v>1047</v>
      </c>
      <c r="E32" s="12" t="str">
        <f t="shared" si="0"/>
        <v>N/A</v>
      </c>
      <c r="F32" s="113" t="str">
        <f t="shared" si="1"/>
        <v>-</v>
      </c>
      <c r="G32" s="31"/>
    </row>
    <row r="33" spans="1:7" s="8" customFormat="1" ht="25.5" x14ac:dyDescent="0.2">
      <c r="A33" s="9" t="s">
        <v>543</v>
      </c>
      <c r="B33" s="9" t="s">
        <v>544</v>
      </c>
      <c r="C33" s="125" t="s">
        <v>153</v>
      </c>
      <c r="D33" s="133" t="s">
        <v>1047</v>
      </c>
      <c r="E33" s="12" t="str">
        <f t="shared" si="0"/>
        <v>N/A</v>
      </c>
      <c r="F33" s="113" t="str">
        <f t="shared" si="1"/>
        <v>-</v>
      </c>
      <c r="G33" s="31"/>
    </row>
    <row r="34" spans="1:7" s="8" customFormat="1" ht="25.5" x14ac:dyDescent="0.2">
      <c r="A34" s="9" t="s">
        <v>545</v>
      </c>
      <c r="B34" s="9" t="s">
        <v>546</v>
      </c>
      <c r="C34" s="125" t="s">
        <v>153</v>
      </c>
      <c r="D34" s="133" t="s">
        <v>1047</v>
      </c>
      <c r="E34" s="12" t="str">
        <f t="shared" si="0"/>
        <v>N/A</v>
      </c>
      <c r="F34" s="113" t="str">
        <f t="shared" si="1"/>
        <v>-</v>
      </c>
      <c r="G34" s="31"/>
    </row>
    <row r="35" spans="1:7" s="8" customFormat="1" ht="76.5" x14ac:dyDescent="0.2">
      <c r="A35" s="9"/>
      <c r="B35" s="9" t="s">
        <v>1226</v>
      </c>
      <c r="C35" s="125"/>
      <c r="D35" s="133"/>
      <c r="E35" s="12"/>
      <c r="F35" s="113"/>
      <c r="G35" s="31"/>
    </row>
    <row r="36" spans="1:7" s="8" customFormat="1" x14ac:dyDescent="0.2">
      <c r="A36" s="9"/>
      <c r="B36" s="50" t="s">
        <v>547</v>
      </c>
      <c r="C36" s="125"/>
      <c r="D36" s="133"/>
      <c r="E36" s="12"/>
      <c r="F36" s="113"/>
      <c r="G36" s="31"/>
    </row>
    <row r="37" spans="1:7" s="8" customFormat="1" ht="25.5" x14ac:dyDescent="0.2">
      <c r="A37" s="9" t="s">
        <v>548</v>
      </c>
      <c r="B37" s="9" t="s">
        <v>549</v>
      </c>
      <c r="C37" s="125" t="s">
        <v>54</v>
      </c>
      <c r="D37" s="133" t="s">
        <v>1047</v>
      </c>
      <c r="E37" s="12" t="str">
        <f t="shared" si="0"/>
        <v>N/A</v>
      </c>
      <c r="F37" s="113" t="str">
        <f t="shared" si="1"/>
        <v>-</v>
      </c>
      <c r="G37" s="31"/>
    </row>
    <row r="38" spans="1:7" s="8" customFormat="1" ht="38.25" x14ac:dyDescent="0.2">
      <c r="A38" s="9" t="s">
        <v>550</v>
      </c>
      <c r="B38" s="9" t="s">
        <v>551</v>
      </c>
      <c r="C38" s="125" t="s">
        <v>146</v>
      </c>
      <c r="D38" s="134" t="s">
        <v>1047</v>
      </c>
      <c r="E38" s="12" t="str">
        <f t="shared" si="0"/>
        <v>N/A</v>
      </c>
      <c r="F38" s="113" t="str">
        <f t="shared" si="1"/>
        <v>-</v>
      </c>
      <c r="G38" s="31"/>
    </row>
    <row r="39" spans="1:7" s="8" customFormat="1" ht="25.5" x14ac:dyDescent="0.2">
      <c r="A39" s="9" t="s">
        <v>552</v>
      </c>
      <c r="B39" s="9" t="s">
        <v>553</v>
      </c>
      <c r="C39" s="125" t="s">
        <v>54</v>
      </c>
      <c r="D39" s="133" t="s">
        <v>1047</v>
      </c>
      <c r="E39" s="12" t="str">
        <f t="shared" si="0"/>
        <v>N/A</v>
      </c>
      <c r="F39" s="113" t="str">
        <f t="shared" si="1"/>
        <v>-</v>
      </c>
      <c r="G39" s="31"/>
    </row>
    <row r="40" spans="1:7" s="8" customFormat="1" ht="25.5" x14ac:dyDescent="0.2">
      <c r="A40" s="9" t="s">
        <v>554</v>
      </c>
      <c r="B40" s="9" t="s">
        <v>555</v>
      </c>
      <c r="C40" s="125" t="s">
        <v>54</v>
      </c>
      <c r="D40" s="133" t="s">
        <v>1047</v>
      </c>
      <c r="E40" s="12" t="str">
        <f t="shared" si="0"/>
        <v>N/A</v>
      </c>
      <c r="F40" s="113" t="str">
        <f t="shared" si="1"/>
        <v>-</v>
      </c>
      <c r="G40" s="31"/>
    </row>
    <row r="41" spans="1:7" s="8" customFormat="1" ht="25.5" x14ac:dyDescent="0.2">
      <c r="A41" s="9" t="s">
        <v>556</v>
      </c>
      <c r="B41" s="9" t="s">
        <v>557</v>
      </c>
      <c r="C41" s="125" t="s">
        <v>54</v>
      </c>
      <c r="D41" s="133" t="s">
        <v>1047</v>
      </c>
      <c r="E41" s="12" t="str">
        <f t="shared" si="0"/>
        <v>N/A</v>
      </c>
      <c r="F41" s="113" t="str">
        <f t="shared" si="1"/>
        <v>-</v>
      </c>
      <c r="G41" s="31"/>
    </row>
    <row r="42" spans="1:7" s="8" customFormat="1" ht="25.5" x14ac:dyDescent="0.2">
      <c r="A42" s="9" t="s">
        <v>558</v>
      </c>
      <c r="B42" s="9" t="s">
        <v>559</v>
      </c>
      <c r="C42" s="125" t="s">
        <v>11</v>
      </c>
      <c r="D42" s="133" t="s">
        <v>1047</v>
      </c>
      <c r="E42" s="12" t="str">
        <f t="shared" si="0"/>
        <v>N/A</v>
      </c>
      <c r="F42" s="113" t="str">
        <f t="shared" si="1"/>
        <v>-</v>
      </c>
      <c r="G42" s="31"/>
    </row>
    <row r="43" spans="1:7" s="8" customFormat="1" ht="38.25" x14ac:dyDescent="0.2">
      <c r="A43" s="9" t="s">
        <v>560</v>
      </c>
      <c r="B43" s="9" t="s">
        <v>561</v>
      </c>
      <c r="C43" s="125" t="s">
        <v>54</v>
      </c>
      <c r="D43" s="133" t="s">
        <v>1047</v>
      </c>
      <c r="E43" s="12" t="str">
        <f t="shared" si="0"/>
        <v>N/A</v>
      </c>
      <c r="F43" s="113" t="str">
        <f t="shared" si="1"/>
        <v>-</v>
      </c>
      <c r="G43" s="31"/>
    </row>
    <row r="44" spans="1:7" s="8" customFormat="1" ht="12.75" customHeight="1" x14ac:dyDescent="0.2">
      <c r="A44" s="9" t="s">
        <v>562</v>
      </c>
      <c r="B44" s="9" t="s">
        <v>563</v>
      </c>
      <c r="C44" s="125" t="s">
        <v>54</v>
      </c>
      <c r="D44" s="133" t="s">
        <v>1047</v>
      </c>
      <c r="E44" s="12" t="str">
        <f t="shared" si="0"/>
        <v>N/A</v>
      </c>
      <c r="F44" s="113" t="str">
        <f t="shared" si="1"/>
        <v>-</v>
      </c>
      <c r="G44" s="31"/>
    </row>
    <row r="45" spans="1:7" s="8" customFormat="1" ht="25.5" x14ac:dyDescent="0.2">
      <c r="A45" s="9"/>
      <c r="B45" s="35" t="s">
        <v>564</v>
      </c>
      <c r="C45" s="125"/>
      <c r="D45" s="133"/>
      <c r="E45" s="12"/>
      <c r="F45" s="113"/>
      <c r="G45" s="31"/>
    </row>
    <row r="46" spans="1:7" s="8" customFormat="1" ht="25.5" x14ac:dyDescent="0.2">
      <c r="A46" s="9" t="s">
        <v>565</v>
      </c>
      <c r="B46" s="9" t="s">
        <v>549</v>
      </c>
      <c r="C46" s="125" t="s">
        <v>54</v>
      </c>
      <c r="D46" s="133" t="s">
        <v>1047</v>
      </c>
      <c r="E46" s="12" t="str">
        <f t="shared" si="0"/>
        <v>N/A</v>
      </c>
      <c r="F46" s="113" t="str">
        <f t="shared" si="1"/>
        <v>-</v>
      </c>
      <c r="G46" s="31"/>
    </row>
    <row r="47" spans="1:7" s="8" customFormat="1" ht="51" x14ac:dyDescent="0.2">
      <c r="A47" s="9" t="s">
        <v>566</v>
      </c>
      <c r="B47" s="9" t="s">
        <v>567</v>
      </c>
      <c r="C47" s="125" t="s">
        <v>54</v>
      </c>
      <c r="D47" s="133" t="s">
        <v>1047</v>
      </c>
      <c r="E47" s="12" t="str">
        <f t="shared" si="0"/>
        <v>N/A</v>
      </c>
      <c r="F47" s="113" t="str">
        <f t="shared" si="1"/>
        <v>-</v>
      </c>
      <c r="G47" s="31"/>
    </row>
    <row r="48" spans="1:7" s="8" customFormat="1" ht="38.25" x14ac:dyDescent="0.2">
      <c r="A48" s="9" t="s">
        <v>568</v>
      </c>
      <c r="B48" s="9" t="s">
        <v>569</v>
      </c>
      <c r="C48" s="125" t="s">
        <v>11</v>
      </c>
      <c r="D48" s="133" t="s">
        <v>1047</v>
      </c>
      <c r="E48" s="12" t="str">
        <f t="shared" si="0"/>
        <v>N/A</v>
      </c>
      <c r="F48" s="113" t="str">
        <f t="shared" si="1"/>
        <v>-</v>
      </c>
      <c r="G48" s="31"/>
    </row>
    <row r="49" spans="1:7" s="8" customFormat="1" x14ac:dyDescent="0.2">
      <c r="A49" s="9"/>
      <c r="B49" s="50" t="s">
        <v>570</v>
      </c>
      <c r="C49" s="125"/>
      <c r="D49" s="133"/>
      <c r="E49" s="12"/>
      <c r="F49" s="113"/>
      <c r="G49" s="31"/>
    </row>
    <row r="50" spans="1:7" s="8" customFormat="1" ht="63.75" x14ac:dyDescent="0.2">
      <c r="A50" s="9" t="s">
        <v>571</v>
      </c>
      <c r="B50" s="9" t="s">
        <v>572</v>
      </c>
      <c r="C50" s="125" t="s">
        <v>54</v>
      </c>
      <c r="D50" s="133" t="s">
        <v>1047</v>
      </c>
      <c r="E50" s="12" t="str">
        <f t="shared" si="0"/>
        <v>N/A</v>
      </c>
      <c r="F50" s="113" t="str">
        <f t="shared" si="1"/>
        <v>-</v>
      </c>
      <c r="G50" s="31"/>
    </row>
    <row r="51" spans="1:7" s="8" customFormat="1" ht="63.75" x14ac:dyDescent="0.2">
      <c r="A51" s="9" t="s">
        <v>573</v>
      </c>
      <c r="B51" s="9" t="s">
        <v>574</v>
      </c>
      <c r="C51" s="125" t="s">
        <v>54</v>
      </c>
      <c r="D51" s="133" t="s">
        <v>1047</v>
      </c>
      <c r="E51" s="12" t="str">
        <f t="shared" si="0"/>
        <v>N/A</v>
      </c>
      <c r="F51" s="113" t="str">
        <f t="shared" si="1"/>
        <v>-</v>
      </c>
      <c r="G51" s="31"/>
    </row>
    <row r="52" spans="1:7" s="8" customFormat="1" ht="63.75" x14ac:dyDescent="0.2">
      <c r="A52" s="9" t="s">
        <v>575</v>
      </c>
      <c r="B52" s="9" t="s">
        <v>576</v>
      </c>
      <c r="C52" s="125" t="s">
        <v>54</v>
      </c>
      <c r="D52" s="133" t="s">
        <v>1047</v>
      </c>
      <c r="E52" s="12" t="str">
        <f t="shared" si="0"/>
        <v>N/A</v>
      </c>
      <c r="F52" s="113" t="str">
        <f t="shared" si="1"/>
        <v>-</v>
      </c>
      <c r="G52" s="31"/>
    </row>
    <row r="53" spans="1:7" s="8" customFormat="1" ht="38.25" x14ac:dyDescent="0.2">
      <c r="A53" s="9" t="s">
        <v>577</v>
      </c>
      <c r="B53" s="9" t="s">
        <v>578</v>
      </c>
      <c r="C53" s="125" t="s">
        <v>153</v>
      </c>
      <c r="D53" s="133" t="s">
        <v>1047</v>
      </c>
      <c r="E53" s="12" t="str">
        <f t="shared" si="0"/>
        <v>N/A</v>
      </c>
      <c r="F53" s="113" t="str">
        <f t="shared" si="1"/>
        <v>-</v>
      </c>
      <c r="G53" s="31"/>
    </row>
    <row r="54" spans="1:7" s="8" customFormat="1" ht="38.25" x14ac:dyDescent="0.2">
      <c r="A54" s="9" t="s">
        <v>579</v>
      </c>
      <c r="B54" s="9" t="s">
        <v>580</v>
      </c>
      <c r="C54" s="125" t="s">
        <v>54</v>
      </c>
      <c r="D54" s="133" t="s">
        <v>1047</v>
      </c>
      <c r="E54" s="12" t="str">
        <f t="shared" si="0"/>
        <v>N/A</v>
      </c>
      <c r="F54" s="113" t="str">
        <f t="shared" si="1"/>
        <v>-</v>
      </c>
      <c r="G54" s="31"/>
    </row>
    <row r="55" spans="1:7" s="8" customFormat="1" x14ac:dyDescent="0.2">
      <c r="A55" s="9"/>
      <c r="B55" s="35" t="s">
        <v>581</v>
      </c>
      <c r="C55" s="125"/>
      <c r="D55" s="133"/>
      <c r="E55" s="12"/>
      <c r="F55" s="113"/>
      <c r="G55" s="31"/>
    </row>
    <row r="56" spans="1:7" s="8" customFormat="1" ht="25.5" x14ac:dyDescent="0.2">
      <c r="A56" s="9" t="s">
        <v>582</v>
      </c>
      <c r="B56" s="9" t="s">
        <v>583</v>
      </c>
      <c r="C56" s="125" t="s">
        <v>54</v>
      </c>
      <c r="D56" s="133">
        <v>10</v>
      </c>
      <c r="E56" s="12"/>
      <c r="F56" s="113"/>
      <c r="G56" s="31"/>
    </row>
    <row r="57" spans="1:7" s="8" customFormat="1" ht="25.5" x14ac:dyDescent="0.2">
      <c r="A57" s="9" t="s">
        <v>584</v>
      </c>
      <c r="B57" s="9" t="s">
        <v>585</v>
      </c>
      <c r="C57" s="125" t="s">
        <v>54</v>
      </c>
      <c r="D57" s="133" t="s">
        <v>1047</v>
      </c>
      <c r="E57" s="12"/>
      <c r="F57" s="113" t="str">
        <f t="shared" si="1"/>
        <v>-</v>
      </c>
      <c r="G57" s="31"/>
    </row>
    <row r="58" spans="1:7" s="8" customFormat="1" ht="25.5" x14ac:dyDescent="0.2">
      <c r="A58" s="9" t="s">
        <v>586</v>
      </c>
      <c r="B58" s="9" t="s">
        <v>1213</v>
      </c>
      <c r="C58" s="125" t="s">
        <v>54</v>
      </c>
      <c r="D58" s="133">
        <v>10</v>
      </c>
      <c r="E58" s="12"/>
      <c r="F58" s="113"/>
      <c r="G58" s="31"/>
    </row>
    <row r="59" spans="1:7" s="8" customFormat="1" ht="25.5" x14ac:dyDescent="0.2">
      <c r="A59" s="9" t="s">
        <v>587</v>
      </c>
      <c r="B59" s="9" t="s">
        <v>588</v>
      </c>
      <c r="C59" s="125" t="s">
        <v>170</v>
      </c>
      <c r="D59" s="133" t="s">
        <v>1047</v>
      </c>
      <c r="E59" s="12" t="str">
        <f t="shared" si="0"/>
        <v>N/A</v>
      </c>
      <c r="F59" s="113" t="str">
        <f t="shared" si="1"/>
        <v>-</v>
      </c>
      <c r="G59" s="31"/>
    </row>
    <row r="60" spans="1:7" s="8" customFormat="1" ht="25.5" x14ac:dyDescent="0.2">
      <c r="A60" s="9" t="s">
        <v>589</v>
      </c>
      <c r="B60" s="9" t="s">
        <v>590</v>
      </c>
      <c r="C60" s="125" t="s">
        <v>170</v>
      </c>
      <c r="D60" s="133" t="s">
        <v>1047</v>
      </c>
      <c r="E60" s="12" t="str">
        <f t="shared" si="0"/>
        <v>N/A</v>
      </c>
      <c r="F60" s="113" t="str">
        <f t="shared" si="1"/>
        <v>-</v>
      </c>
      <c r="G60" s="31"/>
    </row>
    <row r="61" spans="1:7" s="8" customFormat="1" ht="25.5" x14ac:dyDescent="0.2">
      <c r="A61" s="9" t="s">
        <v>591</v>
      </c>
      <c r="B61" s="9" t="s">
        <v>592</v>
      </c>
      <c r="C61" s="125" t="s">
        <v>170</v>
      </c>
      <c r="D61" s="133" t="s">
        <v>1047</v>
      </c>
      <c r="E61" s="12" t="str">
        <f t="shared" si="0"/>
        <v>N/A</v>
      </c>
      <c r="F61" s="113" t="str">
        <f t="shared" si="1"/>
        <v>-</v>
      </c>
      <c r="G61" s="31"/>
    </row>
    <row r="62" spans="1:7" s="8" customFormat="1" ht="12.75" customHeight="1" x14ac:dyDescent="0.2">
      <c r="A62" s="54"/>
      <c r="B62" s="124"/>
      <c r="C62" s="124"/>
      <c r="D62" s="125"/>
      <c r="E62" s="12"/>
      <c r="F62" s="113"/>
      <c r="G62" s="31"/>
    </row>
    <row r="63" spans="1:7" x14ac:dyDescent="0.2">
      <c r="A63" s="17"/>
      <c r="B63" s="158" t="s">
        <v>593</v>
      </c>
      <c r="C63" s="159"/>
      <c r="D63" s="159"/>
      <c r="E63" s="160"/>
      <c r="F63" s="116"/>
      <c r="G63" s="75"/>
    </row>
    <row r="64" spans="1:7" x14ac:dyDescent="0.2">
      <c r="B64" s="17"/>
      <c r="C64" s="18"/>
      <c r="D64" s="18"/>
      <c r="E64" s="19"/>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43FC-B086-4D8B-8C6D-D21F1E3F7BC1}">
  <dimension ref="A2:G44"/>
  <sheetViews>
    <sheetView view="pageLayout" topLeftCell="A24"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86" customWidth="1"/>
    <col min="7" max="7" width="3.140625" style="23" customWidth="1"/>
    <col min="8" max="16384" width="9.140625" style="16"/>
  </cols>
  <sheetData>
    <row r="2" spans="1:7" x14ac:dyDescent="0.2">
      <c r="A2" s="1" t="s">
        <v>0</v>
      </c>
      <c r="B2" s="1" t="s">
        <v>1</v>
      </c>
      <c r="C2" s="1" t="s">
        <v>2</v>
      </c>
      <c r="D2" s="1" t="s">
        <v>3</v>
      </c>
      <c r="E2" s="1" t="s">
        <v>4</v>
      </c>
      <c r="F2" s="76" t="s">
        <v>5</v>
      </c>
      <c r="G2" s="77"/>
    </row>
    <row r="3" spans="1:7" x14ac:dyDescent="0.2">
      <c r="A3" s="40"/>
      <c r="B3" s="40"/>
      <c r="C3" s="41"/>
      <c r="D3" s="41"/>
      <c r="E3" s="41" t="s">
        <v>6</v>
      </c>
      <c r="F3" s="78" t="s">
        <v>6</v>
      </c>
    </row>
    <row r="4" spans="1:7" x14ac:dyDescent="0.2">
      <c r="A4" s="45" t="s">
        <v>594</v>
      </c>
      <c r="B4" s="45" t="s">
        <v>595</v>
      </c>
      <c r="C4" s="79"/>
      <c r="D4" s="79"/>
      <c r="E4" s="79"/>
      <c r="F4" s="80"/>
      <c r="G4" s="81"/>
    </row>
    <row r="5" spans="1:7" x14ac:dyDescent="0.2">
      <c r="A5" s="82"/>
      <c r="B5" s="35" t="s">
        <v>596</v>
      </c>
      <c r="C5" s="83"/>
      <c r="D5" s="83"/>
      <c r="E5" s="84"/>
      <c r="F5" s="36"/>
      <c r="G5" s="85"/>
    </row>
    <row r="6" spans="1:7" ht="38.25" x14ac:dyDescent="0.2">
      <c r="A6" s="47" t="s">
        <v>597</v>
      </c>
      <c r="B6" s="47" t="s">
        <v>598</v>
      </c>
      <c r="C6" s="84" t="s">
        <v>137</v>
      </c>
      <c r="D6" s="133">
        <v>203</v>
      </c>
      <c r="E6" s="84" t="str">
        <f>IF(ISNUMBER(D6),"","N/A")</f>
        <v/>
      </c>
      <c r="F6" s="113"/>
      <c r="G6" s="85"/>
    </row>
    <row r="7" spans="1:7" ht="25.5" x14ac:dyDescent="0.2">
      <c r="A7" s="47" t="s">
        <v>599</v>
      </c>
      <c r="B7" s="47" t="s">
        <v>600</v>
      </c>
      <c r="C7" s="84" t="s">
        <v>54</v>
      </c>
      <c r="D7" s="133" t="s">
        <v>1047</v>
      </c>
      <c r="E7" s="84" t="str">
        <f t="shared" ref="E7:E43" si="0">IF(ISNUMBER(D7),"","N/A")</f>
        <v>N/A</v>
      </c>
      <c r="F7" s="113" t="str">
        <f t="shared" ref="F7:F43" si="1">IFERROR(IF(ISNUMBER(D7),D7*E7,"-"),"")</f>
        <v>-</v>
      </c>
      <c r="G7" s="85"/>
    </row>
    <row r="8" spans="1:7" ht="25.5" x14ac:dyDescent="0.2">
      <c r="A8" s="47" t="s">
        <v>601</v>
      </c>
      <c r="B8" s="47" t="s">
        <v>602</v>
      </c>
      <c r="C8" s="84" t="s">
        <v>137</v>
      </c>
      <c r="D8" s="133" t="s">
        <v>1047</v>
      </c>
      <c r="E8" s="84" t="str">
        <f t="shared" si="0"/>
        <v>N/A</v>
      </c>
      <c r="F8" s="113" t="str">
        <f t="shared" si="1"/>
        <v>-</v>
      </c>
      <c r="G8" s="85"/>
    </row>
    <row r="9" spans="1:7" ht="25.5" x14ac:dyDescent="0.2">
      <c r="A9" s="47" t="s">
        <v>603</v>
      </c>
      <c r="B9" s="47" t="s">
        <v>604</v>
      </c>
      <c r="C9" s="84" t="s">
        <v>137</v>
      </c>
      <c r="D9" s="133" t="s">
        <v>1047</v>
      </c>
      <c r="E9" s="84" t="str">
        <f t="shared" si="0"/>
        <v>N/A</v>
      </c>
      <c r="F9" s="113" t="str">
        <f t="shared" si="1"/>
        <v>-</v>
      </c>
      <c r="G9" s="85"/>
    </row>
    <row r="10" spans="1:7" ht="25.5" x14ac:dyDescent="0.2">
      <c r="A10" s="47" t="s">
        <v>605</v>
      </c>
      <c r="B10" s="47" t="s">
        <v>606</v>
      </c>
      <c r="C10" s="84" t="s">
        <v>137</v>
      </c>
      <c r="D10" s="133" t="s">
        <v>1047</v>
      </c>
      <c r="E10" s="84" t="str">
        <f t="shared" si="0"/>
        <v>N/A</v>
      </c>
      <c r="F10" s="113" t="str">
        <f t="shared" si="1"/>
        <v>-</v>
      </c>
      <c r="G10" s="85"/>
    </row>
    <row r="11" spans="1:7" ht="25.5" x14ac:dyDescent="0.2">
      <c r="A11" s="47" t="s">
        <v>607</v>
      </c>
      <c r="B11" s="47" t="s">
        <v>608</v>
      </c>
      <c r="C11" s="84" t="s">
        <v>137</v>
      </c>
      <c r="D11" s="133">
        <v>322</v>
      </c>
      <c r="E11" s="84" t="str">
        <f t="shared" si="0"/>
        <v/>
      </c>
      <c r="F11" s="113"/>
      <c r="G11" s="85"/>
    </row>
    <row r="12" spans="1:7" x14ac:dyDescent="0.2">
      <c r="A12" s="47" t="s">
        <v>609</v>
      </c>
      <c r="B12" s="47" t="s">
        <v>610</v>
      </c>
      <c r="C12" s="84" t="s">
        <v>137</v>
      </c>
      <c r="D12" s="133">
        <v>322</v>
      </c>
      <c r="E12" s="84" t="str">
        <f t="shared" si="0"/>
        <v/>
      </c>
      <c r="F12" s="113"/>
      <c r="G12" s="85"/>
    </row>
    <row r="13" spans="1:7" ht="25.5" x14ac:dyDescent="0.2">
      <c r="A13" s="47" t="s">
        <v>611</v>
      </c>
      <c r="B13" s="47" t="s">
        <v>612</v>
      </c>
      <c r="C13" s="84" t="s">
        <v>137</v>
      </c>
      <c r="D13" s="133">
        <v>203</v>
      </c>
      <c r="E13" s="84" t="str">
        <f t="shared" si="0"/>
        <v/>
      </c>
      <c r="F13" s="113"/>
      <c r="G13" s="85"/>
    </row>
    <row r="14" spans="1:7" x14ac:dyDescent="0.2">
      <c r="A14" s="47" t="s">
        <v>613</v>
      </c>
      <c r="B14" s="47" t="s">
        <v>614</v>
      </c>
      <c r="C14" s="84" t="s">
        <v>137</v>
      </c>
      <c r="D14" s="133">
        <v>40</v>
      </c>
      <c r="E14" s="84" t="str">
        <f t="shared" si="0"/>
        <v/>
      </c>
      <c r="F14" s="113"/>
      <c r="G14" s="85"/>
    </row>
    <row r="15" spans="1:7" ht="32.1" customHeight="1" x14ac:dyDescent="0.2">
      <c r="A15" s="47" t="s">
        <v>615</v>
      </c>
      <c r="B15" s="47" t="s">
        <v>616</v>
      </c>
      <c r="C15" s="84" t="s">
        <v>137</v>
      </c>
      <c r="D15" s="133" t="s">
        <v>1047</v>
      </c>
      <c r="E15" s="84" t="str">
        <f t="shared" si="0"/>
        <v>N/A</v>
      </c>
      <c r="F15" s="113" t="str">
        <f t="shared" si="1"/>
        <v>-</v>
      </c>
      <c r="G15" s="85"/>
    </row>
    <row r="16" spans="1:7" ht="25.5" x14ac:dyDescent="0.2">
      <c r="A16" s="47" t="s">
        <v>617</v>
      </c>
      <c r="B16" s="47" t="s">
        <v>618</v>
      </c>
      <c r="C16" s="84" t="s">
        <v>137</v>
      </c>
      <c r="D16" s="133" t="s">
        <v>1047</v>
      </c>
      <c r="E16" s="84" t="str">
        <f t="shared" si="0"/>
        <v>N/A</v>
      </c>
      <c r="F16" s="113" t="str">
        <f t="shared" si="1"/>
        <v>-</v>
      </c>
      <c r="G16" s="85"/>
    </row>
    <row r="17" spans="1:7" ht="25.5" x14ac:dyDescent="0.2">
      <c r="A17" s="47" t="s">
        <v>619</v>
      </c>
      <c r="B17" s="47" t="s">
        <v>620</v>
      </c>
      <c r="C17" s="84" t="s">
        <v>137</v>
      </c>
      <c r="D17" s="133" t="s">
        <v>1047</v>
      </c>
      <c r="E17" s="84" t="str">
        <f t="shared" si="0"/>
        <v>N/A</v>
      </c>
      <c r="F17" s="113" t="str">
        <f t="shared" si="1"/>
        <v>-</v>
      </c>
      <c r="G17" s="85"/>
    </row>
    <row r="18" spans="1:7" ht="25.5" x14ac:dyDescent="0.2">
      <c r="A18" s="47" t="s">
        <v>621</v>
      </c>
      <c r="B18" s="47" t="s">
        <v>622</v>
      </c>
      <c r="C18" s="84" t="s">
        <v>137</v>
      </c>
      <c r="D18" s="133" t="s">
        <v>1047</v>
      </c>
      <c r="E18" s="84" t="str">
        <f t="shared" si="0"/>
        <v>N/A</v>
      </c>
      <c r="F18" s="113" t="str">
        <f t="shared" si="1"/>
        <v>-</v>
      </c>
      <c r="G18" s="85"/>
    </row>
    <row r="19" spans="1:7" x14ac:dyDescent="0.2">
      <c r="A19" s="47" t="s">
        <v>623</v>
      </c>
      <c r="B19" s="47" t="s">
        <v>624</v>
      </c>
      <c r="C19" s="84" t="s">
        <v>54</v>
      </c>
      <c r="D19" s="133">
        <v>80</v>
      </c>
      <c r="E19" s="84" t="str">
        <f t="shared" si="0"/>
        <v/>
      </c>
      <c r="F19" s="113"/>
      <c r="G19" s="85"/>
    </row>
    <row r="20" spans="1:7" ht="25.5" x14ac:dyDescent="0.2">
      <c r="A20" s="47" t="s">
        <v>625</v>
      </c>
      <c r="B20" s="47" t="s">
        <v>626</v>
      </c>
      <c r="C20" s="84" t="s">
        <v>54</v>
      </c>
      <c r="D20" s="133" t="s">
        <v>1047</v>
      </c>
      <c r="E20" s="84" t="str">
        <f t="shared" si="0"/>
        <v>N/A</v>
      </c>
      <c r="F20" s="113" t="str">
        <f t="shared" si="1"/>
        <v>-</v>
      </c>
      <c r="G20" s="85"/>
    </row>
    <row r="21" spans="1:7" ht="25.5" customHeight="1" x14ac:dyDescent="0.2">
      <c r="A21" s="47" t="s">
        <v>627</v>
      </c>
      <c r="B21" s="47" t="s">
        <v>628</v>
      </c>
      <c r="C21" s="84" t="s">
        <v>54</v>
      </c>
      <c r="D21" s="133">
        <v>22</v>
      </c>
      <c r="E21" s="84" t="str">
        <f t="shared" si="0"/>
        <v/>
      </c>
      <c r="F21" s="113"/>
      <c r="G21" s="85"/>
    </row>
    <row r="22" spans="1:7" ht="26.25" customHeight="1" x14ac:dyDescent="0.2">
      <c r="A22" s="47" t="s">
        <v>629</v>
      </c>
      <c r="B22" s="47" t="s">
        <v>630</v>
      </c>
      <c r="C22" s="84" t="s">
        <v>54</v>
      </c>
      <c r="D22" s="133">
        <v>18</v>
      </c>
      <c r="E22" s="84" t="str">
        <f>IF(ISNUMBER(D22),"","N/A")</f>
        <v/>
      </c>
      <c r="F22" s="113" t="str">
        <f>IFERROR(IF(ISNUMBER(D22),D22*E22,"-"),"")</f>
        <v/>
      </c>
      <c r="G22" s="85"/>
    </row>
    <row r="23" spans="1:7" ht="25.5" x14ac:dyDescent="0.2">
      <c r="A23" s="47" t="s">
        <v>631</v>
      </c>
      <c r="B23" s="47" t="s">
        <v>632</v>
      </c>
      <c r="C23" s="84" t="s">
        <v>54</v>
      </c>
      <c r="D23" s="133">
        <v>11</v>
      </c>
      <c r="E23" s="84"/>
      <c r="F23" s="113"/>
      <c r="G23" s="85"/>
    </row>
    <row r="24" spans="1:7" ht="38.25" x14ac:dyDescent="0.2">
      <c r="A24" s="47" t="s">
        <v>633</v>
      </c>
      <c r="B24" s="47" t="s">
        <v>634</v>
      </c>
      <c r="C24" s="84" t="s">
        <v>54</v>
      </c>
      <c r="D24" s="133" t="s">
        <v>1047</v>
      </c>
      <c r="E24" s="84" t="str">
        <f t="shared" si="0"/>
        <v>N/A</v>
      </c>
      <c r="F24" s="113" t="str">
        <f t="shared" si="1"/>
        <v>-</v>
      </c>
      <c r="G24" s="85"/>
    </row>
    <row r="25" spans="1:7" ht="25.5" x14ac:dyDescent="0.2">
      <c r="A25" s="47" t="s">
        <v>635</v>
      </c>
      <c r="B25" s="47" t="s">
        <v>636</v>
      </c>
      <c r="C25" s="84" t="s">
        <v>54</v>
      </c>
      <c r="D25" s="133" t="s">
        <v>1047</v>
      </c>
      <c r="E25" s="84" t="str">
        <f t="shared" si="0"/>
        <v>N/A</v>
      </c>
      <c r="F25" s="113" t="str">
        <f t="shared" si="1"/>
        <v>-</v>
      </c>
      <c r="G25" s="85"/>
    </row>
    <row r="26" spans="1:7" ht="25.5" x14ac:dyDescent="0.2">
      <c r="A26" s="47"/>
      <c r="B26" s="46" t="s">
        <v>637</v>
      </c>
      <c r="C26" s="84"/>
      <c r="D26" s="133"/>
      <c r="E26" s="84"/>
      <c r="F26" s="113"/>
      <c r="G26" s="85"/>
    </row>
    <row r="27" spans="1:7" ht="25.5" x14ac:dyDescent="0.2">
      <c r="A27" s="47" t="s">
        <v>638</v>
      </c>
      <c r="B27" s="47" t="s">
        <v>639</v>
      </c>
      <c r="C27" s="84" t="s">
        <v>11</v>
      </c>
      <c r="D27" s="133">
        <v>10</v>
      </c>
      <c r="E27" s="84" t="str">
        <f t="shared" si="0"/>
        <v/>
      </c>
      <c r="F27" s="113"/>
      <c r="G27" s="85"/>
    </row>
    <row r="28" spans="1:7" ht="25.5" x14ac:dyDescent="0.2">
      <c r="A28" s="47" t="s">
        <v>640</v>
      </c>
      <c r="B28" s="47" t="s">
        <v>1044</v>
      </c>
      <c r="C28" s="84" t="s">
        <v>1037</v>
      </c>
      <c r="D28" s="133">
        <v>10</v>
      </c>
      <c r="E28" s="84" t="str">
        <f t="shared" si="0"/>
        <v/>
      </c>
      <c r="F28" s="113"/>
      <c r="G28" s="85"/>
    </row>
    <row r="29" spans="1:7" ht="25.5" x14ac:dyDescent="0.2">
      <c r="A29" s="47" t="s">
        <v>641</v>
      </c>
      <c r="B29" s="47" t="s">
        <v>642</v>
      </c>
      <c r="C29" s="84" t="s">
        <v>54</v>
      </c>
      <c r="D29" s="133" t="s">
        <v>1047</v>
      </c>
      <c r="E29" s="84" t="str">
        <f t="shared" si="0"/>
        <v>N/A</v>
      </c>
      <c r="F29" s="113" t="str">
        <f t="shared" si="1"/>
        <v>-</v>
      </c>
      <c r="G29" s="85"/>
    </row>
    <row r="30" spans="1:7" x14ac:dyDescent="0.2">
      <c r="A30" s="47" t="s">
        <v>643</v>
      </c>
      <c r="B30" s="47" t="s">
        <v>644</v>
      </c>
      <c r="C30" s="84" t="s">
        <v>1037</v>
      </c>
      <c r="D30" s="133">
        <v>10</v>
      </c>
      <c r="E30" s="84" t="str">
        <f t="shared" si="0"/>
        <v/>
      </c>
      <c r="F30" s="113"/>
      <c r="G30" s="85"/>
    </row>
    <row r="31" spans="1:7" ht="25.5" x14ac:dyDescent="0.2">
      <c r="A31" s="47" t="s">
        <v>645</v>
      </c>
      <c r="B31" s="47" t="s">
        <v>646</v>
      </c>
      <c r="C31" s="84" t="s">
        <v>54</v>
      </c>
      <c r="D31" s="133" t="s">
        <v>1047</v>
      </c>
      <c r="E31" s="84" t="str">
        <f t="shared" si="0"/>
        <v>N/A</v>
      </c>
      <c r="F31" s="113" t="str">
        <f t="shared" si="1"/>
        <v>-</v>
      </c>
      <c r="G31" s="85"/>
    </row>
    <row r="32" spans="1:7" ht="25.5" x14ac:dyDescent="0.2">
      <c r="A32" s="47" t="s">
        <v>647</v>
      </c>
      <c r="B32" s="47" t="s">
        <v>648</v>
      </c>
      <c r="C32" s="84" t="s">
        <v>649</v>
      </c>
      <c r="D32" s="133" t="s">
        <v>1047</v>
      </c>
      <c r="E32" s="84" t="str">
        <f t="shared" si="0"/>
        <v>N/A</v>
      </c>
      <c r="F32" s="113" t="str">
        <f t="shared" si="1"/>
        <v>-</v>
      </c>
      <c r="G32" s="85"/>
    </row>
    <row r="33" spans="1:7" x14ac:dyDescent="0.2">
      <c r="A33" s="47"/>
      <c r="B33" s="46" t="s">
        <v>650</v>
      </c>
      <c r="C33" s="84"/>
      <c r="D33" s="133"/>
      <c r="E33" s="84"/>
      <c r="F33" s="113"/>
      <c r="G33" s="85"/>
    </row>
    <row r="34" spans="1:7" ht="38.25" x14ac:dyDescent="0.2">
      <c r="A34" s="47" t="s">
        <v>651</v>
      </c>
      <c r="B34" s="47" t="s">
        <v>652</v>
      </c>
      <c r="C34" s="84" t="s">
        <v>137</v>
      </c>
      <c r="D34" s="133" t="s">
        <v>1047</v>
      </c>
      <c r="E34" s="84" t="str">
        <f t="shared" si="0"/>
        <v>N/A</v>
      </c>
      <c r="F34" s="113" t="str">
        <f t="shared" si="1"/>
        <v>-</v>
      </c>
      <c r="G34" s="85"/>
    </row>
    <row r="35" spans="1:7" ht="25.5" x14ac:dyDescent="0.2">
      <c r="A35" s="47" t="s">
        <v>653</v>
      </c>
      <c r="B35" s="47" t="s">
        <v>654</v>
      </c>
      <c r="C35" s="84" t="s">
        <v>146</v>
      </c>
      <c r="D35" s="134" t="s">
        <v>1047</v>
      </c>
      <c r="E35" s="84" t="str">
        <f t="shared" si="0"/>
        <v>N/A</v>
      </c>
      <c r="F35" s="113" t="str">
        <f t="shared" si="1"/>
        <v>-</v>
      </c>
      <c r="G35" s="85"/>
    </row>
    <row r="36" spans="1:7" ht="38.25" x14ac:dyDescent="0.2">
      <c r="A36" s="47" t="s">
        <v>655</v>
      </c>
      <c r="B36" s="47" t="s">
        <v>656</v>
      </c>
      <c r="C36" s="84" t="s">
        <v>57</v>
      </c>
      <c r="D36" s="133" t="s">
        <v>1047</v>
      </c>
      <c r="E36" s="84" t="str">
        <f t="shared" si="0"/>
        <v>N/A</v>
      </c>
      <c r="F36" s="113" t="str">
        <f t="shared" si="1"/>
        <v>-</v>
      </c>
      <c r="G36" s="85"/>
    </row>
    <row r="37" spans="1:7" ht="25.5" x14ac:dyDescent="0.2">
      <c r="A37" s="47" t="s">
        <v>657</v>
      </c>
      <c r="B37" s="47" t="s">
        <v>658</v>
      </c>
      <c r="C37" s="84" t="s">
        <v>153</v>
      </c>
      <c r="D37" s="133" t="s">
        <v>1047</v>
      </c>
      <c r="E37" s="84" t="str">
        <f t="shared" si="0"/>
        <v>N/A</v>
      </c>
      <c r="F37" s="113" t="str">
        <f t="shared" si="1"/>
        <v>-</v>
      </c>
      <c r="G37" s="85"/>
    </row>
    <row r="38" spans="1:7" ht="25.5" x14ac:dyDescent="0.2">
      <c r="A38" s="47" t="s">
        <v>659</v>
      </c>
      <c r="B38" s="47" t="s">
        <v>628</v>
      </c>
      <c r="C38" s="84" t="s">
        <v>54</v>
      </c>
      <c r="D38" s="133" t="s">
        <v>1047</v>
      </c>
      <c r="E38" s="84" t="str">
        <f t="shared" si="0"/>
        <v>N/A</v>
      </c>
      <c r="F38" s="113" t="str">
        <f t="shared" si="1"/>
        <v>-</v>
      </c>
      <c r="G38" s="85"/>
    </row>
    <row r="39" spans="1:7" x14ac:dyDescent="0.2">
      <c r="A39" s="47"/>
      <c r="B39" s="46" t="s">
        <v>660</v>
      </c>
      <c r="C39" s="84"/>
      <c r="D39" s="133"/>
      <c r="E39" s="84"/>
      <c r="F39" s="113"/>
      <c r="G39" s="85"/>
    </row>
    <row r="40" spans="1:7" ht="25.5" x14ac:dyDescent="0.2">
      <c r="A40" s="47" t="s">
        <v>661</v>
      </c>
      <c r="B40" s="47" t="s">
        <v>662</v>
      </c>
      <c r="C40" s="84" t="s">
        <v>54</v>
      </c>
      <c r="D40" s="133" t="s">
        <v>1047</v>
      </c>
      <c r="E40" s="84" t="str">
        <f t="shared" si="0"/>
        <v>N/A</v>
      </c>
      <c r="F40" s="113" t="str">
        <f t="shared" si="1"/>
        <v>-</v>
      </c>
      <c r="G40" s="85"/>
    </row>
    <row r="41" spans="1:7" ht="51" x14ac:dyDescent="0.2">
      <c r="A41" s="47" t="s">
        <v>663</v>
      </c>
      <c r="B41" s="47" t="s">
        <v>664</v>
      </c>
      <c r="C41" s="84" t="s">
        <v>137</v>
      </c>
      <c r="D41" s="133" t="s">
        <v>1047</v>
      </c>
      <c r="E41" s="84" t="str">
        <f t="shared" si="0"/>
        <v>N/A</v>
      </c>
      <c r="F41" s="113" t="str">
        <f t="shared" si="1"/>
        <v>-</v>
      </c>
      <c r="G41" s="85"/>
    </row>
    <row r="42" spans="1:7" ht="25.5" x14ac:dyDescent="0.2">
      <c r="A42" s="47" t="s">
        <v>665</v>
      </c>
      <c r="B42" s="47" t="s">
        <v>628</v>
      </c>
      <c r="C42" s="84" t="s">
        <v>54</v>
      </c>
      <c r="D42" s="133" t="s">
        <v>1047</v>
      </c>
      <c r="E42" s="84" t="str">
        <f t="shared" si="0"/>
        <v>N/A</v>
      </c>
      <c r="F42" s="113" t="str">
        <f t="shared" si="1"/>
        <v>-</v>
      </c>
      <c r="G42" s="85"/>
    </row>
    <row r="43" spans="1:7" ht="25.5" x14ac:dyDescent="0.2">
      <c r="A43" s="47" t="s">
        <v>666</v>
      </c>
      <c r="B43" s="47" t="s">
        <v>667</v>
      </c>
      <c r="C43" s="84" t="s">
        <v>54</v>
      </c>
      <c r="D43" s="133" t="s">
        <v>1047</v>
      </c>
      <c r="E43" s="84" t="str">
        <f t="shared" si="0"/>
        <v>N/A</v>
      </c>
      <c r="F43" s="113" t="str">
        <f t="shared" si="1"/>
        <v>-</v>
      </c>
      <c r="G43" s="85"/>
    </row>
    <row r="44" spans="1:7" ht="12.75" customHeight="1" x14ac:dyDescent="0.2">
      <c r="A44" s="45"/>
      <c r="B44" s="38" t="s">
        <v>668</v>
      </c>
      <c r="C44" s="38"/>
      <c r="D44" s="38"/>
      <c r="E44" s="39"/>
      <c r="F44" s="116"/>
      <c r="G44" s="8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BE55-4386-4F72-B855-6D079E05587B}">
  <dimension ref="A2:F32"/>
  <sheetViews>
    <sheetView view="pageLayout" topLeftCell="A25"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5" width="11.42578125" style="21" customWidth="1"/>
    <col min="6" max="6" width="11.42578125" style="23" customWidth="1"/>
    <col min="7" max="16384" width="9.140625" style="16"/>
  </cols>
  <sheetData>
    <row r="2" spans="1:6" x14ac:dyDescent="0.2">
      <c r="A2" s="1" t="s">
        <v>0</v>
      </c>
      <c r="B2" s="1" t="s">
        <v>1</v>
      </c>
      <c r="C2" s="1" t="s">
        <v>2</v>
      </c>
      <c r="D2" s="1" t="s">
        <v>3</v>
      </c>
      <c r="E2" s="1" t="s">
        <v>4</v>
      </c>
      <c r="F2" s="3" t="s">
        <v>5</v>
      </c>
    </row>
    <row r="3" spans="1:6" x14ac:dyDescent="0.2">
      <c r="A3" s="40"/>
      <c r="B3" s="40"/>
      <c r="C3" s="41"/>
      <c r="D3" s="41"/>
      <c r="E3" s="41" t="s">
        <v>6</v>
      </c>
      <c r="F3" s="42" t="s">
        <v>6</v>
      </c>
    </row>
    <row r="4" spans="1:6" ht="25.5" x14ac:dyDescent="0.2">
      <c r="A4" s="45" t="s">
        <v>669</v>
      </c>
      <c r="B4" s="45" t="s">
        <v>670</v>
      </c>
      <c r="C4" s="79"/>
      <c r="D4" s="79"/>
      <c r="E4" s="79"/>
      <c r="F4" s="87"/>
    </row>
    <row r="5" spans="1:6" ht="38.25" x14ac:dyDescent="0.2">
      <c r="A5" s="9" t="s">
        <v>671</v>
      </c>
      <c r="B5" s="9" t="s">
        <v>672</v>
      </c>
      <c r="C5" s="125" t="s">
        <v>1040</v>
      </c>
      <c r="D5" s="133">
        <v>10</v>
      </c>
      <c r="E5" s="84" t="str">
        <f>IF(ISNUMBER(D5),"","N/A")</f>
        <v/>
      </c>
      <c r="F5" s="113"/>
    </row>
    <row r="6" spans="1:6" ht="38.25" x14ac:dyDescent="0.2">
      <c r="A6" s="9" t="s">
        <v>673</v>
      </c>
      <c r="B6" s="9" t="s">
        <v>674</v>
      </c>
      <c r="C6" s="125" t="s">
        <v>1040</v>
      </c>
      <c r="D6" s="133">
        <v>10</v>
      </c>
      <c r="E6" s="84" t="str">
        <f t="shared" ref="E6:E31" si="0">IF(ISNUMBER(D6),"","N/A")</f>
        <v/>
      </c>
      <c r="F6" s="113"/>
    </row>
    <row r="7" spans="1:6" ht="38.25" x14ac:dyDescent="0.2">
      <c r="A7" s="9" t="s">
        <v>675</v>
      </c>
      <c r="B7" s="9" t="s">
        <v>676</v>
      </c>
      <c r="C7" s="125" t="s">
        <v>54</v>
      </c>
      <c r="D7" s="133" t="s">
        <v>1047</v>
      </c>
      <c r="E7" s="84" t="str">
        <f t="shared" si="0"/>
        <v>N/A</v>
      </c>
      <c r="F7" s="113" t="str">
        <f t="shared" ref="F7:F31" si="1">IFERROR(IF(ISNUMBER(D7),D7*E7,"-"),"")</f>
        <v>-</v>
      </c>
    </row>
    <row r="8" spans="1:6" ht="38.25" x14ac:dyDescent="0.2">
      <c r="A8" s="9" t="s">
        <v>677</v>
      </c>
      <c r="B8" s="9" t="s">
        <v>678</v>
      </c>
      <c r="C8" s="125" t="s">
        <v>54</v>
      </c>
      <c r="D8" s="133" t="s">
        <v>1047</v>
      </c>
      <c r="E8" s="84" t="str">
        <f t="shared" si="0"/>
        <v>N/A</v>
      </c>
      <c r="F8" s="113" t="str">
        <f t="shared" si="1"/>
        <v>-</v>
      </c>
    </row>
    <row r="9" spans="1:6" ht="51" x14ac:dyDescent="0.2">
      <c r="A9" s="124" t="s">
        <v>679</v>
      </c>
      <c r="B9" s="124" t="s">
        <v>1046</v>
      </c>
      <c r="C9" s="125" t="s">
        <v>1037</v>
      </c>
      <c r="D9" s="133">
        <v>1</v>
      </c>
      <c r="E9" s="84" t="str">
        <f t="shared" si="0"/>
        <v/>
      </c>
      <c r="F9" s="113"/>
    </row>
    <row r="10" spans="1:6" ht="25.5" x14ac:dyDescent="0.2">
      <c r="A10" s="124" t="s">
        <v>680</v>
      </c>
      <c r="B10" s="124" t="s">
        <v>681</v>
      </c>
      <c r="C10" s="125" t="s">
        <v>143</v>
      </c>
      <c r="D10" s="133">
        <v>10</v>
      </c>
      <c r="E10" s="84"/>
      <c r="F10" s="113"/>
    </row>
    <row r="11" spans="1:6" ht="38.25" x14ac:dyDescent="0.2">
      <c r="A11" s="124" t="s">
        <v>682</v>
      </c>
      <c r="B11" s="124" t="s">
        <v>1038</v>
      </c>
      <c r="C11" s="125" t="s">
        <v>54</v>
      </c>
      <c r="D11" s="133">
        <v>10</v>
      </c>
      <c r="E11" s="84"/>
      <c r="F11" s="113"/>
    </row>
    <row r="12" spans="1:6" ht="38.25" x14ac:dyDescent="0.2">
      <c r="A12" s="124" t="s">
        <v>683</v>
      </c>
      <c r="B12" s="124" t="s">
        <v>684</v>
      </c>
      <c r="C12" s="125" t="s">
        <v>54</v>
      </c>
      <c r="D12" s="133">
        <v>10</v>
      </c>
      <c r="E12" s="84"/>
      <c r="F12" s="113"/>
    </row>
    <row r="13" spans="1:6" ht="25.5" x14ac:dyDescent="0.2">
      <c r="A13" s="82"/>
      <c r="B13" s="35" t="s">
        <v>685</v>
      </c>
      <c r="C13" s="83"/>
      <c r="D13" s="133"/>
      <c r="E13" s="84"/>
      <c r="F13" s="113"/>
    </row>
    <row r="14" spans="1:6" ht="25.5" x14ac:dyDescent="0.2">
      <c r="A14" s="9" t="s">
        <v>686</v>
      </c>
      <c r="B14" s="9" t="s">
        <v>687</v>
      </c>
      <c r="C14" s="125" t="s">
        <v>1041</v>
      </c>
      <c r="D14" s="133">
        <v>4</v>
      </c>
      <c r="E14" s="84" t="str">
        <f t="shared" si="0"/>
        <v/>
      </c>
      <c r="F14" s="113"/>
    </row>
    <row r="15" spans="1:6" ht="38.25" x14ac:dyDescent="0.2">
      <c r="A15" s="9" t="s">
        <v>688</v>
      </c>
      <c r="B15" s="9" t="s">
        <v>1043</v>
      </c>
      <c r="C15" s="125" t="s">
        <v>1041</v>
      </c>
      <c r="D15" s="133">
        <v>4</v>
      </c>
      <c r="E15" s="84" t="str">
        <f t="shared" si="0"/>
        <v/>
      </c>
      <c r="F15" s="113"/>
    </row>
    <row r="16" spans="1:6" ht="38.25" x14ac:dyDescent="0.2">
      <c r="A16" s="9" t="s">
        <v>689</v>
      </c>
      <c r="B16" s="9" t="s">
        <v>1042</v>
      </c>
      <c r="C16" s="125" t="s">
        <v>1041</v>
      </c>
      <c r="D16" s="125">
        <v>4</v>
      </c>
      <c r="E16" s="84"/>
      <c r="F16" s="113"/>
    </row>
    <row r="17" spans="1:6" ht="38.25" x14ac:dyDescent="0.2">
      <c r="A17" s="9" t="s">
        <v>690</v>
      </c>
      <c r="B17" s="9" t="s">
        <v>691</v>
      </c>
      <c r="C17" s="125" t="s">
        <v>54</v>
      </c>
      <c r="D17" s="133" t="s">
        <v>1047</v>
      </c>
      <c r="E17" s="84" t="str">
        <f t="shared" si="0"/>
        <v>N/A</v>
      </c>
      <c r="F17" s="113" t="str">
        <f t="shared" si="1"/>
        <v>-</v>
      </c>
    </row>
    <row r="18" spans="1:6" ht="24.75" customHeight="1" x14ac:dyDescent="0.2">
      <c r="A18" s="9" t="s">
        <v>692</v>
      </c>
      <c r="B18" s="9" t="s">
        <v>693</v>
      </c>
      <c r="C18" s="125" t="s">
        <v>54</v>
      </c>
      <c r="D18" s="133" t="s">
        <v>1047</v>
      </c>
      <c r="E18" s="84" t="str">
        <f t="shared" si="0"/>
        <v>N/A</v>
      </c>
      <c r="F18" s="113" t="str">
        <f t="shared" si="1"/>
        <v>-</v>
      </c>
    </row>
    <row r="19" spans="1:6" ht="63.75" x14ac:dyDescent="0.2">
      <c r="A19" s="9" t="s">
        <v>694</v>
      </c>
      <c r="B19" s="9" t="s">
        <v>695</v>
      </c>
      <c r="C19" s="125" t="s">
        <v>54</v>
      </c>
      <c r="D19" s="133" t="s">
        <v>1047</v>
      </c>
      <c r="E19" s="84" t="str">
        <f t="shared" si="0"/>
        <v>N/A</v>
      </c>
      <c r="F19" s="113"/>
    </row>
    <row r="20" spans="1:6" ht="25.5" x14ac:dyDescent="0.2">
      <c r="A20" s="9" t="s">
        <v>696</v>
      </c>
      <c r="B20" s="9" t="s">
        <v>697</v>
      </c>
      <c r="C20" s="125" t="s">
        <v>143</v>
      </c>
      <c r="D20" s="133" t="s">
        <v>1047</v>
      </c>
      <c r="E20" s="84" t="str">
        <f t="shared" si="0"/>
        <v>N/A</v>
      </c>
      <c r="F20" s="113" t="str">
        <f t="shared" si="1"/>
        <v>-</v>
      </c>
    </row>
    <row r="21" spans="1:6" ht="38.25" x14ac:dyDescent="0.2">
      <c r="A21" s="9" t="s">
        <v>698</v>
      </c>
      <c r="B21" s="9" t="s">
        <v>699</v>
      </c>
      <c r="C21" s="125" t="s">
        <v>54</v>
      </c>
      <c r="D21" s="133" t="s">
        <v>1047</v>
      </c>
      <c r="E21" s="84" t="str">
        <f t="shared" si="0"/>
        <v>N/A</v>
      </c>
      <c r="F21" s="113" t="str">
        <f t="shared" si="1"/>
        <v>-</v>
      </c>
    </row>
    <row r="22" spans="1:6" ht="38.25" x14ac:dyDescent="0.2">
      <c r="A22" s="9" t="s">
        <v>700</v>
      </c>
      <c r="B22" s="9" t="s">
        <v>701</v>
      </c>
      <c r="C22" s="125" t="s">
        <v>54</v>
      </c>
      <c r="D22" s="133" t="s">
        <v>1047</v>
      </c>
      <c r="E22" s="84" t="str">
        <f t="shared" si="0"/>
        <v>N/A</v>
      </c>
      <c r="F22" s="113" t="str">
        <f t="shared" si="1"/>
        <v>-</v>
      </c>
    </row>
    <row r="23" spans="1:6" ht="25.5" x14ac:dyDescent="0.2">
      <c r="A23" s="9" t="s">
        <v>702</v>
      </c>
      <c r="B23" s="9" t="s">
        <v>703</v>
      </c>
      <c r="C23" s="125" t="s">
        <v>11</v>
      </c>
      <c r="D23" s="133" t="s">
        <v>1047</v>
      </c>
      <c r="E23" s="84" t="str">
        <f t="shared" si="0"/>
        <v>N/A</v>
      </c>
      <c r="F23" s="113" t="str">
        <f t="shared" si="1"/>
        <v>-</v>
      </c>
    </row>
    <row r="24" spans="1:6" ht="38.25" x14ac:dyDescent="0.2">
      <c r="A24" s="9" t="s">
        <v>704</v>
      </c>
      <c r="B24" s="9" t="s">
        <v>705</v>
      </c>
      <c r="C24" s="125" t="s">
        <v>54</v>
      </c>
      <c r="D24" s="133" t="s">
        <v>1047</v>
      </c>
      <c r="E24" s="84" t="str">
        <f t="shared" si="0"/>
        <v>N/A</v>
      </c>
      <c r="F24" s="113" t="str">
        <f t="shared" si="1"/>
        <v>-</v>
      </c>
    </row>
    <row r="25" spans="1:6" ht="25.5" x14ac:dyDescent="0.2">
      <c r="A25" s="9" t="s">
        <v>706</v>
      </c>
      <c r="B25" s="9" t="s">
        <v>707</v>
      </c>
      <c r="C25" s="125" t="s">
        <v>54</v>
      </c>
      <c r="D25" s="133" t="s">
        <v>1047</v>
      </c>
      <c r="E25" s="84" t="str">
        <f t="shared" si="0"/>
        <v>N/A</v>
      </c>
      <c r="F25" s="113" t="str">
        <f t="shared" si="1"/>
        <v>-</v>
      </c>
    </row>
    <row r="26" spans="1:6" ht="38.25" x14ac:dyDescent="0.2">
      <c r="A26" s="9" t="s">
        <v>708</v>
      </c>
      <c r="B26" s="9" t="s">
        <v>709</v>
      </c>
      <c r="C26" s="125" t="s">
        <v>170</v>
      </c>
      <c r="D26" s="133" t="s">
        <v>1047</v>
      </c>
      <c r="E26" s="84" t="str">
        <f t="shared" si="0"/>
        <v>N/A</v>
      </c>
      <c r="F26" s="113" t="str">
        <f t="shared" si="1"/>
        <v>-</v>
      </c>
    </row>
    <row r="27" spans="1:6" ht="25.5" x14ac:dyDescent="0.2">
      <c r="A27" s="82"/>
      <c r="B27" s="35" t="s">
        <v>710</v>
      </c>
      <c r="C27" s="83"/>
      <c r="D27" s="133"/>
      <c r="E27" s="84"/>
      <c r="F27" s="113"/>
    </row>
    <row r="28" spans="1:6" ht="25.5" x14ac:dyDescent="0.2">
      <c r="A28" s="9" t="s">
        <v>711</v>
      </c>
      <c r="B28" s="9" t="s">
        <v>712</v>
      </c>
      <c r="C28" s="125" t="s">
        <v>54</v>
      </c>
      <c r="D28" s="133" t="s">
        <v>1047</v>
      </c>
      <c r="E28" s="84" t="str">
        <f t="shared" si="0"/>
        <v>N/A</v>
      </c>
      <c r="F28" s="113" t="str">
        <f t="shared" si="1"/>
        <v>-</v>
      </c>
    </row>
    <row r="29" spans="1:6" ht="25.5" x14ac:dyDescent="0.2">
      <c r="A29" s="9" t="s">
        <v>713</v>
      </c>
      <c r="B29" s="9" t="s">
        <v>714</v>
      </c>
      <c r="C29" s="125" t="s">
        <v>54</v>
      </c>
      <c r="D29" s="133" t="s">
        <v>1047</v>
      </c>
      <c r="E29" s="84" t="str">
        <f t="shared" si="0"/>
        <v>N/A</v>
      </c>
      <c r="F29" s="113" t="str">
        <f t="shared" si="1"/>
        <v>-</v>
      </c>
    </row>
    <row r="30" spans="1:6" ht="51" x14ac:dyDescent="0.2">
      <c r="A30" s="9" t="s">
        <v>715</v>
      </c>
      <c r="B30" s="9" t="s">
        <v>716</v>
      </c>
      <c r="C30" s="125" t="s">
        <v>54</v>
      </c>
      <c r="D30" s="133" t="s">
        <v>1047</v>
      </c>
      <c r="E30" s="84" t="str">
        <f t="shared" si="0"/>
        <v>N/A</v>
      </c>
      <c r="F30" s="113" t="str">
        <f t="shared" si="1"/>
        <v>-</v>
      </c>
    </row>
    <row r="31" spans="1:6" ht="51" x14ac:dyDescent="0.2">
      <c r="A31" s="9" t="s">
        <v>717</v>
      </c>
      <c r="B31" s="9" t="s">
        <v>718</v>
      </c>
      <c r="C31" s="125" t="s">
        <v>54</v>
      </c>
      <c r="D31" s="133" t="s">
        <v>1047</v>
      </c>
      <c r="E31" s="84" t="str">
        <f t="shared" si="0"/>
        <v>N/A</v>
      </c>
      <c r="F31" s="113" t="str">
        <f t="shared" si="1"/>
        <v>-</v>
      </c>
    </row>
    <row r="32" spans="1:6" ht="12.75" customHeight="1" x14ac:dyDescent="0.2">
      <c r="A32" s="45"/>
      <c r="B32" s="37" t="s">
        <v>719</v>
      </c>
      <c r="C32" s="38"/>
      <c r="D32" s="38"/>
      <c r="E32" s="39"/>
      <c r="F32" s="11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3EE-95CD-4056-92F9-E6C53208AE0D}">
  <dimension ref="A2:F133"/>
  <sheetViews>
    <sheetView view="pageLayout" topLeftCell="A115"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4" width="11.42578125" style="21" customWidth="1"/>
    <col min="5" max="5" width="11.42578125" style="95" customWidth="1"/>
    <col min="6" max="6" width="11.42578125" style="23" customWidth="1"/>
    <col min="7" max="16384" width="9.140625" style="16"/>
  </cols>
  <sheetData>
    <row r="2" spans="1:6" x14ac:dyDescent="0.2">
      <c r="A2" s="1" t="s">
        <v>0</v>
      </c>
      <c r="B2" s="1" t="s">
        <v>1</v>
      </c>
      <c r="C2" s="1" t="s">
        <v>2</v>
      </c>
      <c r="D2" s="1" t="s">
        <v>3</v>
      </c>
      <c r="E2" s="90" t="s">
        <v>4</v>
      </c>
      <c r="F2" s="3" t="s">
        <v>5</v>
      </c>
    </row>
    <row r="3" spans="1:6" x14ac:dyDescent="0.2">
      <c r="A3" s="40"/>
      <c r="B3" s="40"/>
      <c r="C3" s="41"/>
      <c r="D3" s="41"/>
      <c r="E3" s="91" t="s">
        <v>6</v>
      </c>
      <c r="F3" s="42" t="s">
        <v>6</v>
      </c>
    </row>
    <row r="4" spans="1:6" x14ac:dyDescent="0.2">
      <c r="A4" s="45" t="s">
        <v>720</v>
      </c>
      <c r="B4" s="45" t="s">
        <v>721</v>
      </c>
      <c r="C4" s="79"/>
      <c r="D4" s="79"/>
      <c r="E4" s="92"/>
      <c r="F4" s="87"/>
    </row>
    <row r="5" spans="1:6" x14ac:dyDescent="0.2">
      <c r="A5" s="47" t="s">
        <v>722</v>
      </c>
      <c r="B5" s="93" t="s">
        <v>723</v>
      </c>
      <c r="C5" s="84"/>
      <c r="D5" s="84"/>
      <c r="E5" s="94"/>
      <c r="F5" s="88"/>
    </row>
    <row r="6" spans="1:6" x14ac:dyDescent="0.2">
      <c r="A6" s="47" t="s">
        <v>724</v>
      </c>
      <c r="B6" s="47" t="s">
        <v>725</v>
      </c>
      <c r="C6" s="84" t="s">
        <v>54</v>
      </c>
      <c r="D6" s="134">
        <v>1936</v>
      </c>
      <c r="E6" s="96" t="str">
        <f>IF(ISNUMBER(D6),"","N/A")</f>
        <v/>
      </c>
      <c r="F6" s="113"/>
    </row>
    <row r="7" spans="1:6" ht="25.5" x14ac:dyDescent="0.2">
      <c r="A7" s="47" t="s">
        <v>726</v>
      </c>
      <c r="B7" s="47" t="s">
        <v>727</v>
      </c>
      <c r="C7" s="84" t="s">
        <v>54</v>
      </c>
      <c r="D7" s="134">
        <v>484</v>
      </c>
      <c r="E7" s="96" t="str">
        <f t="shared" ref="E7:E73" si="0">IF(ISNUMBER(D7),"","N/A")</f>
        <v/>
      </c>
      <c r="F7" s="113"/>
    </row>
    <row r="8" spans="1:6" ht="25.5" x14ac:dyDescent="0.2">
      <c r="A8" s="47" t="s">
        <v>728</v>
      </c>
      <c r="B8" s="47" t="s">
        <v>729</v>
      </c>
      <c r="C8" s="84" t="s">
        <v>54</v>
      </c>
      <c r="D8" s="134" t="s">
        <v>1047</v>
      </c>
      <c r="E8" s="96" t="str">
        <f t="shared" si="0"/>
        <v>N/A</v>
      </c>
      <c r="F8" s="113" t="str">
        <f t="shared" ref="F8:F73" si="1">IFERROR(IF(ISNUMBER(D8),D8*E8,"-"),"")</f>
        <v>-</v>
      </c>
    </row>
    <row r="9" spans="1:6" ht="25.5" x14ac:dyDescent="0.2">
      <c r="A9" s="47" t="s">
        <v>730</v>
      </c>
      <c r="B9" s="47" t="s">
        <v>731</v>
      </c>
      <c r="C9" s="84" t="s">
        <v>54</v>
      </c>
      <c r="D9" s="134" t="s">
        <v>1047</v>
      </c>
      <c r="E9" s="96" t="str">
        <f t="shared" si="0"/>
        <v>N/A</v>
      </c>
      <c r="F9" s="113" t="str">
        <f t="shared" si="1"/>
        <v>-</v>
      </c>
    </row>
    <row r="10" spans="1:6" ht="25.5" x14ac:dyDescent="0.2">
      <c r="A10" s="47" t="s">
        <v>732</v>
      </c>
      <c r="B10" s="47" t="s">
        <v>733</v>
      </c>
      <c r="C10" s="84" t="s">
        <v>54</v>
      </c>
      <c r="D10" s="134" t="s">
        <v>1047</v>
      </c>
      <c r="E10" s="96" t="str">
        <f t="shared" si="0"/>
        <v>N/A</v>
      </c>
      <c r="F10" s="113" t="str">
        <f t="shared" si="1"/>
        <v>-</v>
      </c>
    </row>
    <row r="11" spans="1:6" ht="25.5" x14ac:dyDescent="0.2">
      <c r="A11" s="47" t="s">
        <v>734</v>
      </c>
      <c r="B11" s="47" t="s">
        <v>735</v>
      </c>
      <c r="C11" s="84" t="s">
        <v>54</v>
      </c>
      <c r="D11" s="134" t="s">
        <v>1047</v>
      </c>
      <c r="E11" s="96" t="str">
        <f t="shared" si="0"/>
        <v>N/A</v>
      </c>
      <c r="F11" s="113" t="str">
        <f t="shared" si="1"/>
        <v>-</v>
      </c>
    </row>
    <row r="12" spans="1:6" ht="25.5" x14ac:dyDescent="0.2">
      <c r="A12" s="47" t="s">
        <v>736</v>
      </c>
      <c r="B12" s="47" t="s">
        <v>737</v>
      </c>
      <c r="C12" s="84" t="s">
        <v>54</v>
      </c>
      <c r="D12" s="134" t="s">
        <v>1047</v>
      </c>
      <c r="E12" s="96" t="str">
        <f t="shared" si="0"/>
        <v>N/A</v>
      </c>
      <c r="F12" s="113" t="str">
        <f t="shared" si="1"/>
        <v>-</v>
      </c>
    </row>
    <row r="13" spans="1:6" ht="25.5" x14ac:dyDescent="0.2">
      <c r="A13" s="47" t="s">
        <v>738</v>
      </c>
      <c r="B13" s="47" t="s">
        <v>739</v>
      </c>
      <c r="C13" s="84" t="s">
        <v>54</v>
      </c>
      <c r="D13" s="134" t="s">
        <v>1047</v>
      </c>
      <c r="E13" s="96" t="str">
        <f t="shared" si="0"/>
        <v>N/A</v>
      </c>
      <c r="F13" s="113" t="str">
        <f t="shared" si="1"/>
        <v>-</v>
      </c>
    </row>
    <row r="14" spans="1:6" x14ac:dyDescent="0.2">
      <c r="A14" s="47" t="s">
        <v>740</v>
      </c>
      <c r="B14" s="47" t="s">
        <v>741</v>
      </c>
      <c r="C14" s="84" t="s">
        <v>54</v>
      </c>
      <c r="D14" s="134">
        <v>484</v>
      </c>
      <c r="E14" s="96" t="str">
        <f t="shared" si="0"/>
        <v/>
      </c>
      <c r="F14" s="113"/>
    </row>
    <row r="15" spans="1:6" ht="25.5" x14ac:dyDescent="0.2">
      <c r="A15" s="47" t="s">
        <v>742</v>
      </c>
      <c r="B15" s="47" t="s">
        <v>743</v>
      </c>
      <c r="C15" s="84" t="s">
        <v>54</v>
      </c>
      <c r="D15" s="134" t="s">
        <v>1047</v>
      </c>
      <c r="E15" s="96" t="s">
        <v>1215</v>
      </c>
      <c r="F15" s="113"/>
    </row>
    <row r="16" spans="1:6" ht="25.5" x14ac:dyDescent="0.2">
      <c r="A16" s="47" t="s">
        <v>744</v>
      </c>
      <c r="B16" s="47" t="s">
        <v>745</v>
      </c>
      <c r="C16" s="84" t="s">
        <v>54</v>
      </c>
      <c r="D16" s="134" t="s">
        <v>1047</v>
      </c>
      <c r="E16" s="96" t="str">
        <f t="shared" si="0"/>
        <v>N/A</v>
      </c>
      <c r="F16" s="113"/>
    </row>
    <row r="17" spans="1:6" x14ac:dyDescent="0.2">
      <c r="A17" s="47" t="s">
        <v>746</v>
      </c>
      <c r="B17" s="47" t="s">
        <v>747</v>
      </c>
      <c r="C17" s="84" t="s">
        <v>54</v>
      </c>
      <c r="D17" s="134">
        <v>400</v>
      </c>
      <c r="E17" s="96" t="str">
        <f t="shared" si="0"/>
        <v/>
      </c>
      <c r="F17" s="113"/>
    </row>
    <row r="18" spans="1:6" x14ac:dyDescent="0.2">
      <c r="A18" s="47"/>
      <c r="B18" s="47"/>
      <c r="C18" s="84"/>
      <c r="D18" s="134"/>
      <c r="E18" s="96"/>
      <c r="F18" s="113"/>
    </row>
    <row r="19" spans="1:6" x14ac:dyDescent="0.2">
      <c r="A19" s="47" t="s">
        <v>748</v>
      </c>
      <c r="B19" s="93" t="s">
        <v>749</v>
      </c>
      <c r="C19" s="84"/>
      <c r="D19" s="134"/>
      <c r="E19" s="96"/>
      <c r="F19" s="113"/>
    </row>
    <row r="20" spans="1:6" x14ac:dyDescent="0.2">
      <c r="A20" s="47" t="s">
        <v>750</v>
      </c>
      <c r="B20" s="47" t="s">
        <v>751</v>
      </c>
      <c r="C20" s="84" t="s">
        <v>54</v>
      </c>
      <c r="D20" s="134">
        <v>10</v>
      </c>
      <c r="E20" s="96" t="str">
        <f t="shared" si="0"/>
        <v/>
      </c>
      <c r="F20" s="113"/>
    </row>
    <row r="21" spans="1:6" x14ac:dyDescent="0.2">
      <c r="A21" s="47" t="s">
        <v>752</v>
      </c>
      <c r="B21" s="47" t="s">
        <v>753</v>
      </c>
      <c r="C21" s="84" t="s">
        <v>54</v>
      </c>
      <c r="D21" s="134">
        <v>10</v>
      </c>
      <c r="E21" s="96" t="str">
        <f t="shared" si="0"/>
        <v/>
      </c>
      <c r="F21" s="113"/>
    </row>
    <row r="22" spans="1:6" ht="25.5" x14ac:dyDescent="0.2">
      <c r="A22" s="47" t="s">
        <v>754</v>
      </c>
      <c r="B22" s="47" t="s">
        <v>755</v>
      </c>
      <c r="C22" s="84" t="s">
        <v>54</v>
      </c>
      <c r="D22" s="134" t="s">
        <v>1047</v>
      </c>
      <c r="E22" s="96" t="str">
        <f t="shared" si="0"/>
        <v>N/A</v>
      </c>
      <c r="F22" s="113" t="str">
        <f t="shared" si="1"/>
        <v>-</v>
      </c>
    </row>
    <row r="23" spans="1:6" ht="25.5" x14ac:dyDescent="0.2">
      <c r="A23" s="47" t="s">
        <v>756</v>
      </c>
      <c r="B23" s="47" t="s">
        <v>757</v>
      </c>
      <c r="C23" s="84" t="s">
        <v>54</v>
      </c>
      <c r="D23" s="134">
        <v>200</v>
      </c>
      <c r="E23" s="96" t="str">
        <f t="shared" si="0"/>
        <v/>
      </c>
      <c r="F23" s="113"/>
    </row>
    <row r="24" spans="1:6" x14ac:dyDescent="0.2">
      <c r="A24" s="47" t="s">
        <v>758</v>
      </c>
      <c r="B24" s="47" t="s">
        <v>759</v>
      </c>
      <c r="C24" s="84" t="s">
        <v>54</v>
      </c>
      <c r="D24" s="134">
        <v>50</v>
      </c>
      <c r="E24" s="96" t="str">
        <f t="shared" si="0"/>
        <v/>
      </c>
      <c r="F24" s="113"/>
    </row>
    <row r="25" spans="1:6" ht="25.5" x14ac:dyDescent="0.2">
      <c r="A25" s="47" t="s">
        <v>760</v>
      </c>
      <c r="B25" s="47" t="s">
        <v>761</v>
      </c>
      <c r="C25" s="84" t="s">
        <v>54</v>
      </c>
      <c r="D25" s="134" t="s">
        <v>1047</v>
      </c>
      <c r="E25" s="96" t="str">
        <f t="shared" si="0"/>
        <v>N/A</v>
      </c>
      <c r="F25" s="113" t="str">
        <f t="shared" si="1"/>
        <v>-</v>
      </c>
    </row>
    <row r="26" spans="1:6" ht="25.5" x14ac:dyDescent="0.2">
      <c r="A26" s="47" t="s">
        <v>762</v>
      </c>
      <c r="B26" s="47" t="s">
        <v>763</v>
      </c>
      <c r="C26" s="84" t="s">
        <v>54</v>
      </c>
      <c r="D26" s="134" t="s">
        <v>1047</v>
      </c>
      <c r="E26" s="96" t="str">
        <f t="shared" si="0"/>
        <v>N/A</v>
      </c>
      <c r="F26" s="113" t="str">
        <f t="shared" si="1"/>
        <v>-</v>
      </c>
    </row>
    <row r="27" spans="1:6" ht="25.5" x14ac:dyDescent="0.2">
      <c r="A27" s="47" t="s">
        <v>764</v>
      </c>
      <c r="B27" s="47" t="s">
        <v>765</v>
      </c>
      <c r="C27" s="84" t="s">
        <v>54</v>
      </c>
      <c r="D27" s="134" t="s">
        <v>1047</v>
      </c>
      <c r="E27" s="96" t="str">
        <f t="shared" si="0"/>
        <v>N/A</v>
      </c>
      <c r="F27" s="113" t="str">
        <f t="shared" si="1"/>
        <v>-</v>
      </c>
    </row>
    <row r="28" spans="1:6" ht="13.35" customHeight="1" x14ac:dyDescent="0.2">
      <c r="A28" s="47" t="s">
        <v>766</v>
      </c>
      <c r="B28" s="47" t="s">
        <v>767</v>
      </c>
      <c r="C28" s="84" t="s">
        <v>54</v>
      </c>
      <c r="D28" s="134" t="s">
        <v>1047</v>
      </c>
      <c r="E28" s="96" t="str">
        <f t="shared" si="0"/>
        <v>N/A</v>
      </c>
      <c r="F28" s="113" t="str">
        <f t="shared" si="1"/>
        <v>-</v>
      </c>
    </row>
    <row r="29" spans="1:6" x14ac:dyDescent="0.2">
      <c r="A29" s="47" t="s">
        <v>768</v>
      </c>
      <c r="B29" s="47" t="s">
        <v>769</v>
      </c>
      <c r="C29" s="84" t="s">
        <v>54</v>
      </c>
      <c r="D29" s="134">
        <v>10</v>
      </c>
      <c r="E29" s="96" t="str">
        <f t="shared" si="0"/>
        <v/>
      </c>
      <c r="F29" s="113"/>
    </row>
    <row r="30" spans="1:6" ht="25.5" x14ac:dyDescent="0.2">
      <c r="A30" s="47" t="s">
        <v>770</v>
      </c>
      <c r="B30" s="47" t="s">
        <v>771</v>
      </c>
      <c r="C30" s="84" t="s">
        <v>54</v>
      </c>
      <c r="D30" s="134" t="s">
        <v>1047</v>
      </c>
      <c r="E30" s="96" t="str">
        <f t="shared" si="0"/>
        <v>N/A</v>
      </c>
      <c r="F30" s="113" t="str">
        <f t="shared" si="1"/>
        <v>-</v>
      </c>
    </row>
    <row r="31" spans="1:6" x14ac:dyDescent="0.2">
      <c r="A31" s="47" t="s">
        <v>772</v>
      </c>
      <c r="B31" s="47" t="s">
        <v>773</v>
      </c>
      <c r="C31" s="84" t="s">
        <v>54</v>
      </c>
      <c r="D31" s="134">
        <v>200</v>
      </c>
      <c r="E31" s="96" t="str">
        <f t="shared" si="0"/>
        <v/>
      </c>
      <c r="F31" s="113"/>
    </row>
    <row r="32" spans="1:6" x14ac:dyDescent="0.2">
      <c r="A32" s="47" t="s">
        <v>774</v>
      </c>
      <c r="B32" s="47" t="s">
        <v>775</v>
      </c>
      <c r="C32" s="84" t="s">
        <v>54</v>
      </c>
      <c r="D32" s="134">
        <v>50</v>
      </c>
      <c r="E32" s="96" t="str">
        <f t="shared" si="0"/>
        <v/>
      </c>
      <c r="F32" s="113" t="str">
        <f t="shared" si="1"/>
        <v/>
      </c>
    </row>
    <row r="33" spans="1:6" ht="25.5" x14ac:dyDescent="0.2">
      <c r="A33" s="47" t="s">
        <v>776</v>
      </c>
      <c r="B33" s="47" t="s">
        <v>777</v>
      </c>
      <c r="C33" s="84" t="s">
        <v>54</v>
      </c>
      <c r="D33" s="134" t="s">
        <v>1047</v>
      </c>
      <c r="E33" s="96" t="str">
        <f t="shared" si="0"/>
        <v>N/A</v>
      </c>
      <c r="F33" s="113" t="str">
        <f t="shared" si="1"/>
        <v>-</v>
      </c>
    </row>
    <row r="34" spans="1:6" x14ac:dyDescent="0.2">
      <c r="A34" s="47"/>
      <c r="B34" s="47"/>
      <c r="C34" s="84"/>
      <c r="D34" s="134"/>
      <c r="E34" s="96"/>
      <c r="F34" s="113"/>
    </row>
    <row r="35" spans="1:6" x14ac:dyDescent="0.2">
      <c r="A35" s="47" t="s">
        <v>778</v>
      </c>
      <c r="B35" s="93" t="s">
        <v>779</v>
      </c>
      <c r="C35" s="84"/>
      <c r="D35" s="134"/>
      <c r="E35" s="96"/>
      <c r="F35" s="113"/>
    </row>
    <row r="36" spans="1:6" ht="25.5" x14ac:dyDescent="0.2">
      <c r="A36" s="47" t="s">
        <v>780</v>
      </c>
      <c r="B36" s="47" t="s">
        <v>781</v>
      </c>
      <c r="C36" s="84" t="s">
        <v>54</v>
      </c>
      <c r="D36" s="134">
        <v>10</v>
      </c>
      <c r="E36" s="96" t="str">
        <f t="shared" si="0"/>
        <v/>
      </c>
      <c r="F36" s="113"/>
    </row>
    <row r="37" spans="1:6" ht="25.5" x14ac:dyDescent="0.2">
      <c r="A37" s="47" t="s">
        <v>782</v>
      </c>
      <c r="B37" s="47" t="s">
        <v>783</v>
      </c>
      <c r="C37" s="84" t="s">
        <v>54</v>
      </c>
      <c r="D37" s="134" t="s">
        <v>1047</v>
      </c>
      <c r="E37" s="96" t="str">
        <f t="shared" si="0"/>
        <v>N/A</v>
      </c>
      <c r="F37" s="113" t="str">
        <f t="shared" si="1"/>
        <v>-</v>
      </c>
    </row>
    <row r="38" spans="1:6" ht="25.5" x14ac:dyDescent="0.2">
      <c r="A38" s="47" t="s">
        <v>784</v>
      </c>
      <c r="B38" s="47" t="s">
        <v>785</v>
      </c>
      <c r="C38" s="84" t="s">
        <v>54</v>
      </c>
      <c r="D38" s="134" t="s">
        <v>1047</v>
      </c>
      <c r="E38" s="96" t="str">
        <f t="shared" si="0"/>
        <v>N/A</v>
      </c>
      <c r="F38" s="113" t="str">
        <f t="shared" si="1"/>
        <v>-</v>
      </c>
    </row>
    <row r="39" spans="1:6" ht="25.5" x14ac:dyDescent="0.2">
      <c r="A39" s="47" t="s">
        <v>786</v>
      </c>
      <c r="B39" s="47" t="s">
        <v>787</v>
      </c>
      <c r="C39" s="84" t="s">
        <v>54</v>
      </c>
      <c r="D39" s="134" t="s">
        <v>1047</v>
      </c>
      <c r="E39" s="96" t="str">
        <f t="shared" si="0"/>
        <v>N/A</v>
      </c>
      <c r="F39" s="113" t="str">
        <f t="shared" si="1"/>
        <v>-</v>
      </c>
    </row>
    <row r="40" spans="1:6" ht="25.5" x14ac:dyDescent="0.2">
      <c r="A40" s="47" t="s">
        <v>788</v>
      </c>
      <c r="B40" s="47" t="s">
        <v>789</v>
      </c>
      <c r="C40" s="84" t="s">
        <v>54</v>
      </c>
      <c r="D40" s="134">
        <v>50</v>
      </c>
      <c r="E40" s="96" t="str">
        <f t="shared" si="0"/>
        <v/>
      </c>
      <c r="F40" s="113"/>
    </row>
    <row r="41" spans="1:6" ht="25.5" x14ac:dyDescent="0.2">
      <c r="A41" s="47" t="s">
        <v>790</v>
      </c>
      <c r="B41" s="47" t="s">
        <v>791</v>
      </c>
      <c r="C41" s="84" t="s">
        <v>54</v>
      </c>
      <c r="D41" s="134">
        <v>50</v>
      </c>
      <c r="E41" s="96" t="str">
        <f t="shared" si="0"/>
        <v/>
      </c>
      <c r="F41" s="113"/>
    </row>
    <row r="42" spans="1:6" ht="25.5" x14ac:dyDescent="0.2">
      <c r="A42" s="47" t="s">
        <v>792</v>
      </c>
      <c r="B42" s="47" t="s">
        <v>793</v>
      </c>
      <c r="C42" s="84" t="s">
        <v>54</v>
      </c>
      <c r="D42" s="134" t="s">
        <v>1047</v>
      </c>
      <c r="E42" s="96" t="str">
        <f t="shared" si="0"/>
        <v>N/A</v>
      </c>
      <c r="F42" s="113" t="str">
        <f t="shared" si="1"/>
        <v>-</v>
      </c>
    </row>
    <row r="43" spans="1:6" ht="25.5" x14ac:dyDescent="0.2">
      <c r="A43" s="47" t="s">
        <v>794</v>
      </c>
      <c r="B43" s="47" t="s">
        <v>795</v>
      </c>
      <c r="C43" s="84" t="s">
        <v>54</v>
      </c>
      <c r="D43" s="134">
        <v>25</v>
      </c>
      <c r="E43" s="96" t="str">
        <f t="shared" si="0"/>
        <v/>
      </c>
      <c r="F43" s="113"/>
    </row>
    <row r="44" spans="1:6" ht="25.5" x14ac:dyDescent="0.2">
      <c r="A44" s="47" t="s">
        <v>796</v>
      </c>
      <c r="B44" s="47" t="s">
        <v>797</v>
      </c>
      <c r="C44" s="84" t="s">
        <v>54</v>
      </c>
      <c r="D44" s="134" t="s">
        <v>1047</v>
      </c>
      <c r="E44" s="96" t="str">
        <f t="shared" si="0"/>
        <v>N/A</v>
      </c>
      <c r="F44" s="113" t="str">
        <f t="shared" si="1"/>
        <v>-</v>
      </c>
    </row>
    <row r="45" spans="1:6" x14ac:dyDescent="0.2">
      <c r="A45" s="47" t="s">
        <v>798</v>
      </c>
      <c r="B45" s="47" t="s">
        <v>799</v>
      </c>
      <c r="C45" s="84" t="s">
        <v>170</v>
      </c>
      <c r="D45" s="134">
        <v>10</v>
      </c>
      <c r="E45" s="96"/>
      <c r="F45" s="113"/>
    </row>
    <row r="46" spans="1:6" x14ac:dyDescent="0.2">
      <c r="A46" s="47"/>
      <c r="B46" s="47"/>
      <c r="C46" s="84"/>
      <c r="D46" s="134"/>
      <c r="E46" s="96"/>
      <c r="F46" s="113"/>
    </row>
    <row r="47" spans="1:6" ht="25.5" x14ac:dyDescent="0.2">
      <c r="A47" s="47" t="s">
        <v>800</v>
      </c>
      <c r="B47" s="93" t="s">
        <v>801</v>
      </c>
      <c r="C47" s="84"/>
      <c r="D47" s="134"/>
      <c r="E47" s="96"/>
      <c r="F47" s="113"/>
    </row>
    <row r="48" spans="1:6" ht="25.5" x14ac:dyDescent="0.2">
      <c r="A48" s="47" t="s">
        <v>802</v>
      </c>
      <c r="B48" s="47" t="s">
        <v>803</v>
      </c>
      <c r="C48" s="84" t="s">
        <v>54</v>
      </c>
      <c r="D48" s="134">
        <v>100</v>
      </c>
      <c r="E48" s="96" t="str">
        <f t="shared" si="0"/>
        <v/>
      </c>
      <c r="F48" s="113"/>
    </row>
    <row r="49" spans="1:6" ht="25.5" x14ac:dyDescent="0.2">
      <c r="A49" s="47" t="s">
        <v>804</v>
      </c>
      <c r="B49" s="47" t="s">
        <v>805</v>
      </c>
      <c r="C49" s="84" t="s">
        <v>170</v>
      </c>
      <c r="D49" s="134">
        <v>10</v>
      </c>
      <c r="E49" s="96"/>
      <c r="F49" s="113"/>
    </row>
    <row r="50" spans="1:6" ht="25.5" x14ac:dyDescent="0.2">
      <c r="A50" s="47" t="s">
        <v>806</v>
      </c>
      <c r="B50" s="47" t="s">
        <v>807</v>
      </c>
      <c r="C50" s="84" t="s">
        <v>54</v>
      </c>
      <c r="D50" s="134" t="s">
        <v>1047</v>
      </c>
      <c r="E50" s="96" t="str">
        <f t="shared" si="0"/>
        <v>N/A</v>
      </c>
      <c r="F50" s="113" t="str">
        <f t="shared" si="1"/>
        <v>-</v>
      </c>
    </row>
    <row r="51" spans="1:6" ht="25.5" x14ac:dyDescent="0.2">
      <c r="A51" s="47" t="s">
        <v>808</v>
      </c>
      <c r="B51" s="47" t="s">
        <v>809</v>
      </c>
      <c r="C51" s="84" t="s">
        <v>54</v>
      </c>
      <c r="D51" s="134" t="s">
        <v>1047</v>
      </c>
      <c r="E51" s="96" t="str">
        <f t="shared" si="0"/>
        <v>N/A</v>
      </c>
      <c r="F51" s="113" t="str">
        <f t="shared" si="1"/>
        <v>-</v>
      </c>
    </row>
    <row r="52" spans="1:6" ht="25.5" x14ac:dyDescent="0.2">
      <c r="A52" s="47" t="s">
        <v>810</v>
      </c>
      <c r="B52" s="47" t="s">
        <v>811</v>
      </c>
      <c r="C52" s="84" t="s">
        <v>54</v>
      </c>
      <c r="D52" s="134" t="s">
        <v>1047</v>
      </c>
      <c r="E52" s="96" t="str">
        <f t="shared" si="0"/>
        <v>N/A</v>
      </c>
      <c r="F52" s="113" t="str">
        <f t="shared" si="1"/>
        <v>-</v>
      </c>
    </row>
    <row r="53" spans="1:6" ht="25.5" x14ac:dyDescent="0.2">
      <c r="A53" s="47" t="s">
        <v>812</v>
      </c>
      <c r="B53" s="47" t="s">
        <v>813</v>
      </c>
      <c r="C53" s="84" t="s">
        <v>170</v>
      </c>
      <c r="D53" s="134" t="s">
        <v>1047</v>
      </c>
      <c r="E53" s="96" t="str">
        <f t="shared" si="0"/>
        <v>N/A</v>
      </c>
      <c r="F53" s="113" t="str">
        <f t="shared" si="1"/>
        <v>-</v>
      </c>
    </row>
    <row r="54" spans="1:6" ht="25.5" x14ac:dyDescent="0.2">
      <c r="A54" s="47" t="s">
        <v>814</v>
      </c>
      <c r="B54" s="47" t="s">
        <v>815</v>
      </c>
      <c r="C54" s="84" t="s">
        <v>54</v>
      </c>
      <c r="D54" s="134" t="s">
        <v>1047</v>
      </c>
      <c r="E54" s="96" t="str">
        <f t="shared" si="0"/>
        <v>N/A</v>
      </c>
      <c r="F54" s="113" t="str">
        <f t="shared" si="1"/>
        <v>-</v>
      </c>
    </row>
    <row r="55" spans="1:6" ht="25.5" x14ac:dyDescent="0.2">
      <c r="A55" s="47" t="s">
        <v>816</v>
      </c>
      <c r="B55" s="47" t="s">
        <v>817</v>
      </c>
      <c r="C55" s="84" t="s">
        <v>54</v>
      </c>
      <c r="D55" s="134" t="s">
        <v>1047</v>
      </c>
      <c r="E55" s="96" t="str">
        <f t="shared" si="0"/>
        <v>N/A</v>
      </c>
      <c r="F55" s="113" t="str">
        <f t="shared" si="1"/>
        <v>-</v>
      </c>
    </row>
    <row r="56" spans="1:6" ht="25.5" x14ac:dyDescent="0.2">
      <c r="A56" s="47" t="s">
        <v>818</v>
      </c>
      <c r="B56" s="47" t="s">
        <v>819</v>
      </c>
      <c r="C56" s="84" t="s">
        <v>54</v>
      </c>
      <c r="D56" s="134" t="s">
        <v>1047</v>
      </c>
      <c r="E56" s="96" t="str">
        <f t="shared" si="0"/>
        <v>N/A</v>
      </c>
      <c r="F56" s="113" t="str">
        <f t="shared" si="1"/>
        <v>-</v>
      </c>
    </row>
    <row r="57" spans="1:6" ht="25.5" x14ac:dyDescent="0.2">
      <c r="A57" s="47" t="s">
        <v>820</v>
      </c>
      <c r="B57" s="47" t="s">
        <v>821</v>
      </c>
      <c r="C57" s="84" t="s">
        <v>54</v>
      </c>
      <c r="D57" s="134" t="s">
        <v>1047</v>
      </c>
      <c r="E57" s="96" t="str">
        <f t="shared" si="0"/>
        <v>N/A</v>
      </c>
      <c r="F57" s="113" t="str">
        <f t="shared" si="1"/>
        <v>-</v>
      </c>
    </row>
    <row r="58" spans="1:6" ht="25.5" x14ac:dyDescent="0.2">
      <c r="A58" s="47" t="s">
        <v>822</v>
      </c>
      <c r="B58" s="47" t="s">
        <v>823</v>
      </c>
      <c r="C58" s="84" t="s">
        <v>54</v>
      </c>
      <c r="D58" s="134" t="s">
        <v>1047</v>
      </c>
      <c r="E58" s="96" t="str">
        <f t="shared" si="0"/>
        <v>N/A</v>
      </c>
      <c r="F58" s="113" t="str">
        <f t="shared" si="1"/>
        <v>-</v>
      </c>
    </row>
    <row r="59" spans="1:6" ht="25.5" x14ac:dyDescent="0.2">
      <c r="A59" s="47" t="s">
        <v>824</v>
      </c>
      <c r="B59" s="47" t="s">
        <v>825</v>
      </c>
      <c r="C59" s="84" t="s">
        <v>54</v>
      </c>
      <c r="D59" s="134" t="s">
        <v>1047</v>
      </c>
      <c r="E59" s="96" t="str">
        <f t="shared" si="0"/>
        <v>N/A</v>
      </c>
      <c r="F59" s="113" t="str">
        <f t="shared" si="1"/>
        <v>-</v>
      </c>
    </row>
    <row r="60" spans="1:6" ht="38.25" x14ac:dyDescent="0.2">
      <c r="A60" s="47" t="s">
        <v>826</v>
      </c>
      <c r="B60" s="47" t="s">
        <v>827</v>
      </c>
      <c r="C60" s="84" t="s">
        <v>54</v>
      </c>
      <c r="D60" s="134" t="s">
        <v>1047</v>
      </c>
      <c r="E60" s="96" t="str">
        <f t="shared" si="0"/>
        <v>N/A</v>
      </c>
      <c r="F60" s="113" t="str">
        <f t="shared" si="1"/>
        <v>-</v>
      </c>
    </row>
    <row r="61" spans="1:6" ht="25.5" x14ac:dyDescent="0.2">
      <c r="A61" s="47" t="s">
        <v>828</v>
      </c>
      <c r="B61" s="47" t="s">
        <v>829</v>
      </c>
      <c r="C61" s="84" t="s">
        <v>54</v>
      </c>
      <c r="D61" s="134" t="s">
        <v>1047</v>
      </c>
      <c r="E61" s="96" t="str">
        <f t="shared" si="0"/>
        <v>N/A</v>
      </c>
      <c r="F61" s="113" t="str">
        <f t="shared" si="1"/>
        <v>-</v>
      </c>
    </row>
    <row r="62" spans="1:6" ht="25.5" x14ac:dyDescent="0.2">
      <c r="A62" s="47" t="s">
        <v>830</v>
      </c>
      <c r="B62" s="47" t="s">
        <v>831</v>
      </c>
      <c r="C62" s="84" t="s">
        <v>54</v>
      </c>
      <c r="D62" s="134" t="s">
        <v>1047</v>
      </c>
      <c r="E62" s="96" t="str">
        <f t="shared" si="0"/>
        <v>N/A</v>
      </c>
      <c r="F62" s="113" t="str">
        <f t="shared" si="1"/>
        <v>-</v>
      </c>
    </row>
    <row r="63" spans="1:6" ht="25.5" x14ac:dyDescent="0.2">
      <c r="A63" s="47" t="s">
        <v>832</v>
      </c>
      <c r="B63" s="47" t="s">
        <v>833</v>
      </c>
      <c r="C63" s="84" t="s">
        <v>54</v>
      </c>
      <c r="D63" s="134" t="s">
        <v>1047</v>
      </c>
      <c r="E63" s="96" t="str">
        <f t="shared" si="0"/>
        <v>N/A</v>
      </c>
      <c r="F63" s="113" t="str">
        <f t="shared" si="1"/>
        <v>-</v>
      </c>
    </row>
    <row r="64" spans="1:6" ht="25.5" x14ac:dyDescent="0.2">
      <c r="A64" s="47" t="s">
        <v>834</v>
      </c>
      <c r="B64" s="47" t="s">
        <v>835</v>
      </c>
      <c r="C64" s="84" t="s">
        <v>170</v>
      </c>
      <c r="D64" s="134" t="s">
        <v>1047</v>
      </c>
      <c r="E64" s="96" t="str">
        <f t="shared" si="0"/>
        <v>N/A</v>
      </c>
      <c r="F64" s="113" t="str">
        <f t="shared" si="1"/>
        <v>-</v>
      </c>
    </row>
    <row r="65" spans="1:6" ht="38.25" x14ac:dyDescent="0.2">
      <c r="A65" s="47" t="s">
        <v>836</v>
      </c>
      <c r="B65" s="47" t="s">
        <v>837</v>
      </c>
      <c r="C65" s="84" t="s">
        <v>54</v>
      </c>
      <c r="D65" s="134" t="s">
        <v>1047</v>
      </c>
      <c r="E65" s="96" t="str">
        <f t="shared" si="0"/>
        <v>N/A</v>
      </c>
      <c r="F65" s="113" t="str">
        <f t="shared" si="1"/>
        <v>-</v>
      </c>
    </row>
    <row r="66" spans="1:6" ht="25.5" x14ac:dyDescent="0.2">
      <c r="A66" s="47" t="s">
        <v>838</v>
      </c>
      <c r="B66" s="47" t="s">
        <v>839</v>
      </c>
      <c r="C66" s="84" t="s">
        <v>54</v>
      </c>
      <c r="D66" s="134" t="s">
        <v>1047</v>
      </c>
      <c r="E66" s="96" t="str">
        <f t="shared" si="0"/>
        <v>N/A</v>
      </c>
      <c r="F66" s="113" t="str">
        <f t="shared" si="1"/>
        <v>-</v>
      </c>
    </row>
    <row r="67" spans="1:6" ht="25.5" x14ac:dyDescent="0.2">
      <c r="A67" s="47" t="s">
        <v>840</v>
      </c>
      <c r="B67" s="47" t="s">
        <v>841</v>
      </c>
      <c r="C67" s="84" t="s">
        <v>54</v>
      </c>
      <c r="D67" s="134" t="s">
        <v>1047</v>
      </c>
      <c r="E67" s="96" t="str">
        <f t="shared" si="0"/>
        <v>N/A</v>
      </c>
      <c r="F67" s="113" t="str">
        <f t="shared" si="1"/>
        <v>-</v>
      </c>
    </row>
    <row r="68" spans="1:6" ht="25.5" x14ac:dyDescent="0.2">
      <c r="A68" s="47" t="s">
        <v>842</v>
      </c>
      <c r="B68" s="47" t="s">
        <v>843</v>
      </c>
      <c r="C68" s="84" t="s">
        <v>54</v>
      </c>
      <c r="D68" s="134" t="s">
        <v>1047</v>
      </c>
      <c r="E68" s="96" t="str">
        <f t="shared" si="0"/>
        <v>N/A</v>
      </c>
      <c r="F68" s="113" t="str">
        <f t="shared" si="1"/>
        <v>-</v>
      </c>
    </row>
    <row r="69" spans="1:6" ht="25.5" x14ac:dyDescent="0.2">
      <c r="A69" s="47" t="s">
        <v>844</v>
      </c>
      <c r="B69" s="47" t="s">
        <v>845</v>
      </c>
      <c r="C69" s="84" t="s">
        <v>170</v>
      </c>
      <c r="D69" s="134" t="s">
        <v>1047</v>
      </c>
      <c r="E69" s="96" t="str">
        <f t="shared" si="0"/>
        <v>N/A</v>
      </c>
      <c r="F69" s="113" t="str">
        <f t="shared" si="1"/>
        <v>-</v>
      </c>
    </row>
    <row r="70" spans="1:6" ht="25.5" x14ac:dyDescent="0.2">
      <c r="A70" s="47" t="s">
        <v>846</v>
      </c>
      <c r="B70" s="47" t="s">
        <v>847</v>
      </c>
      <c r="C70" s="84" t="s">
        <v>54</v>
      </c>
      <c r="D70" s="134" t="s">
        <v>1047</v>
      </c>
      <c r="E70" s="96" t="str">
        <f t="shared" si="0"/>
        <v>N/A</v>
      </c>
      <c r="F70" s="113" t="str">
        <f t="shared" si="1"/>
        <v>-</v>
      </c>
    </row>
    <row r="71" spans="1:6" ht="25.5" x14ac:dyDescent="0.2">
      <c r="A71" s="47" t="s">
        <v>848</v>
      </c>
      <c r="B71" s="47" t="s">
        <v>849</v>
      </c>
      <c r="C71" s="84" t="s">
        <v>170</v>
      </c>
      <c r="D71" s="134" t="s">
        <v>1047</v>
      </c>
      <c r="E71" s="96" t="str">
        <f t="shared" si="0"/>
        <v>N/A</v>
      </c>
      <c r="F71" s="113" t="str">
        <f t="shared" si="1"/>
        <v>-</v>
      </c>
    </row>
    <row r="72" spans="1:6" ht="25.5" x14ac:dyDescent="0.2">
      <c r="A72" s="47" t="s">
        <v>850</v>
      </c>
      <c r="B72" s="47" t="s">
        <v>851</v>
      </c>
      <c r="C72" s="84" t="s">
        <v>54</v>
      </c>
      <c r="D72" s="134" t="s">
        <v>1047</v>
      </c>
      <c r="E72" s="96" t="str">
        <f t="shared" si="0"/>
        <v>N/A</v>
      </c>
      <c r="F72" s="113" t="str">
        <f t="shared" si="1"/>
        <v>-</v>
      </c>
    </row>
    <row r="73" spans="1:6" ht="25.5" x14ac:dyDescent="0.2">
      <c r="A73" s="47" t="s">
        <v>852</v>
      </c>
      <c r="B73" s="47" t="s">
        <v>853</v>
      </c>
      <c r="C73" s="84" t="s">
        <v>170</v>
      </c>
      <c r="D73" s="134" t="s">
        <v>1047</v>
      </c>
      <c r="E73" s="96" t="str">
        <f t="shared" si="0"/>
        <v>N/A</v>
      </c>
      <c r="F73" s="113" t="str">
        <f t="shared" si="1"/>
        <v>-</v>
      </c>
    </row>
    <row r="74" spans="1:6" x14ac:dyDescent="0.2">
      <c r="A74" s="47"/>
      <c r="B74" s="47"/>
      <c r="C74" s="84"/>
      <c r="D74" s="134"/>
      <c r="E74" s="96"/>
      <c r="F74" s="113"/>
    </row>
    <row r="75" spans="1:6" x14ac:dyDescent="0.2">
      <c r="A75" s="47" t="s">
        <v>854</v>
      </c>
      <c r="B75" s="93" t="s">
        <v>855</v>
      </c>
      <c r="C75" s="84"/>
      <c r="D75" s="134"/>
      <c r="E75" s="96"/>
      <c r="F75" s="113"/>
    </row>
    <row r="76" spans="1:6" ht="25.5" x14ac:dyDescent="0.2">
      <c r="A76" s="47" t="s">
        <v>856</v>
      </c>
      <c r="B76" s="47" t="s">
        <v>857</v>
      </c>
      <c r="C76" s="84" t="s">
        <v>54</v>
      </c>
      <c r="D76" s="134" t="s">
        <v>1047</v>
      </c>
      <c r="E76" s="96" t="str">
        <f t="shared" ref="E76:E126" si="2">IF(ISNUMBER(D76),"","N/A")</f>
        <v>N/A</v>
      </c>
      <c r="F76" s="113" t="str">
        <f t="shared" ref="F76:F126" si="3">IFERROR(IF(ISNUMBER(D76),D76*E76,"-"),"")</f>
        <v>-</v>
      </c>
    </row>
    <row r="77" spans="1:6" ht="23.85" customHeight="1" x14ac:dyDescent="0.2">
      <c r="A77" s="47" t="s">
        <v>858</v>
      </c>
      <c r="B77" s="47" t="s">
        <v>859</v>
      </c>
      <c r="C77" s="84" t="s">
        <v>54</v>
      </c>
      <c r="D77" s="134">
        <v>100</v>
      </c>
      <c r="E77" s="96"/>
      <c r="F77" s="113"/>
    </row>
    <row r="78" spans="1:6" ht="25.5" x14ac:dyDescent="0.2">
      <c r="A78" s="47" t="s">
        <v>860</v>
      </c>
      <c r="B78" s="47" t="s">
        <v>861</v>
      </c>
      <c r="C78" s="84" t="s">
        <v>54</v>
      </c>
      <c r="D78" s="134" t="s">
        <v>1047</v>
      </c>
      <c r="E78" s="96" t="str">
        <f t="shared" si="2"/>
        <v>N/A</v>
      </c>
      <c r="F78" s="113" t="str">
        <f t="shared" si="3"/>
        <v>-</v>
      </c>
    </row>
    <row r="79" spans="1:6" ht="52.35" customHeight="1" x14ac:dyDescent="0.2">
      <c r="A79" s="47" t="s">
        <v>862</v>
      </c>
      <c r="B79" s="47" t="s">
        <v>863</v>
      </c>
      <c r="C79" s="84" t="s">
        <v>54</v>
      </c>
      <c r="D79" s="134" t="s">
        <v>1047</v>
      </c>
      <c r="E79" s="96" t="str">
        <f t="shared" si="2"/>
        <v>N/A</v>
      </c>
      <c r="F79" s="113" t="str">
        <f t="shared" si="3"/>
        <v>-</v>
      </c>
    </row>
    <row r="80" spans="1:6" ht="25.5" x14ac:dyDescent="0.2">
      <c r="A80" s="47" t="s">
        <v>864</v>
      </c>
      <c r="B80" s="47" t="s">
        <v>865</v>
      </c>
      <c r="C80" s="84" t="s">
        <v>866</v>
      </c>
      <c r="D80" s="134" t="s">
        <v>1047</v>
      </c>
      <c r="E80" s="96" t="str">
        <f t="shared" si="2"/>
        <v>N/A</v>
      </c>
      <c r="F80" s="113" t="str">
        <f t="shared" si="3"/>
        <v>-</v>
      </c>
    </row>
    <row r="81" spans="1:6" ht="38.25" x14ac:dyDescent="0.2">
      <c r="A81" s="47" t="s">
        <v>867</v>
      </c>
      <c r="B81" s="47" t="s">
        <v>868</v>
      </c>
      <c r="C81" s="84" t="s">
        <v>54</v>
      </c>
      <c r="D81" s="134" t="s">
        <v>1047</v>
      </c>
      <c r="E81" s="96" t="str">
        <f t="shared" si="2"/>
        <v>N/A</v>
      </c>
      <c r="F81" s="113" t="str">
        <f t="shared" si="3"/>
        <v>-</v>
      </c>
    </row>
    <row r="82" spans="1:6" ht="25.5" x14ac:dyDescent="0.2">
      <c r="A82" s="47" t="s">
        <v>869</v>
      </c>
      <c r="B82" s="47" t="s">
        <v>870</v>
      </c>
      <c r="C82" s="84" t="s">
        <v>170</v>
      </c>
      <c r="D82" s="134" t="s">
        <v>1047</v>
      </c>
      <c r="E82" s="96" t="str">
        <f t="shared" si="2"/>
        <v>N/A</v>
      </c>
      <c r="F82" s="113" t="str">
        <f t="shared" si="3"/>
        <v>-</v>
      </c>
    </row>
    <row r="83" spans="1:6" ht="51" x14ac:dyDescent="0.2">
      <c r="A83" s="47" t="s">
        <v>871</v>
      </c>
      <c r="B83" s="47" t="s">
        <v>872</v>
      </c>
      <c r="C83" s="84" t="s">
        <v>54</v>
      </c>
      <c r="D83" s="134" t="s">
        <v>1047</v>
      </c>
      <c r="E83" s="96" t="str">
        <f t="shared" si="2"/>
        <v>N/A</v>
      </c>
      <c r="F83" s="113" t="str">
        <f t="shared" si="3"/>
        <v>-</v>
      </c>
    </row>
    <row r="84" spans="1:6" ht="25.5" x14ac:dyDescent="0.2">
      <c r="A84" s="47" t="s">
        <v>873</v>
      </c>
      <c r="B84" s="47" t="s">
        <v>874</v>
      </c>
      <c r="C84" s="84" t="s">
        <v>866</v>
      </c>
      <c r="D84" s="134" t="s">
        <v>1047</v>
      </c>
      <c r="E84" s="96" t="str">
        <f t="shared" si="2"/>
        <v>N/A</v>
      </c>
      <c r="F84" s="113" t="str">
        <f t="shared" si="3"/>
        <v>-</v>
      </c>
    </row>
    <row r="85" spans="1:6" ht="38.25" x14ac:dyDescent="0.2">
      <c r="A85" s="47" t="s">
        <v>875</v>
      </c>
      <c r="B85" s="47" t="s">
        <v>876</v>
      </c>
      <c r="C85" s="84" t="s">
        <v>54</v>
      </c>
      <c r="D85" s="134" t="s">
        <v>1047</v>
      </c>
      <c r="E85" s="96" t="str">
        <f t="shared" si="2"/>
        <v>N/A</v>
      </c>
      <c r="F85" s="113" t="str">
        <f t="shared" si="3"/>
        <v>-</v>
      </c>
    </row>
    <row r="86" spans="1:6" ht="25.5" x14ac:dyDescent="0.2">
      <c r="A86" s="47" t="s">
        <v>877</v>
      </c>
      <c r="B86" s="47" t="s">
        <v>878</v>
      </c>
      <c r="C86" s="84" t="s">
        <v>170</v>
      </c>
      <c r="D86" s="134" t="s">
        <v>1047</v>
      </c>
      <c r="E86" s="96" t="str">
        <f t="shared" si="2"/>
        <v>N/A</v>
      </c>
      <c r="F86" s="113" t="str">
        <f t="shared" si="3"/>
        <v>-</v>
      </c>
    </row>
    <row r="87" spans="1:6" ht="51" x14ac:dyDescent="0.2">
      <c r="A87" s="47" t="s">
        <v>879</v>
      </c>
      <c r="B87" s="47" t="s">
        <v>880</v>
      </c>
      <c r="C87" s="84" t="s">
        <v>54</v>
      </c>
      <c r="D87" s="134" t="s">
        <v>1047</v>
      </c>
      <c r="E87" s="96" t="str">
        <f t="shared" si="2"/>
        <v>N/A</v>
      </c>
      <c r="F87" s="113" t="str">
        <f t="shared" si="3"/>
        <v>-</v>
      </c>
    </row>
    <row r="88" spans="1:6" ht="25.5" x14ac:dyDescent="0.2">
      <c r="A88" s="47" t="s">
        <v>881</v>
      </c>
      <c r="B88" s="47" t="s">
        <v>882</v>
      </c>
      <c r="C88" s="84" t="s">
        <v>170</v>
      </c>
      <c r="D88" s="134" t="s">
        <v>1047</v>
      </c>
      <c r="E88" s="96" t="str">
        <f t="shared" si="2"/>
        <v>N/A</v>
      </c>
      <c r="F88" s="113" t="str">
        <f t="shared" si="3"/>
        <v>-</v>
      </c>
    </row>
    <row r="89" spans="1:6" ht="25.5" x14ac:dyDescent="0.2">
      <c r="A89" s="47" t="s">
        <v>883</v>
      </c>
      <c r="B89" s="47" t="s">
        <v>884</v>
      </c>
      <c r="C89" s="84" t="s">
        <v>54</v>
      </c>
      <c r="D89" s="134" t="s">
        <v>1047</v>
      </c>
      <c r="E89" s="96" t="str">
        <f t="shared" si="2"/>
        <v>N/A</v>
      </c>
      <c r="F89" s="113" t="str">
        <f t="shared" si="3"/>
        <v>-</v>
      </c>
    </row>
    <row r="90" spans="1:6" ht="51" x14ac:dyDescent="0.2">
      <c r="A90" s="47" t="s">
        <v>885</v>
      </c>
      <c r="B90" s="47" t="s">
        <v>886</v>
      </c>
      <c r="C90" s="84" t="s">
        <v>54</v>
      </c>
      <c r="D90" s="134">
        <v>100</v>
      </c>
      <c r="E90" s="96" t="str">
        <f t="shared" si="2"/>
        <v/>
      </c>
      <c r="F90" s="113"/>
    </row>
    <row r="91" spans="1:6" ht="51" x14ac:dyDescent="0.2">
      <c r="A91" s="47" t="s">
        <v>887</v>
      </c>
      <c r="B91" s="47" t="s">
        <v>888</v>
      </c>
      <c r="C91" s="84" t="s">
        <v>54</v>
      </c>
      <c r="D91" s="134">
        <v>100</v>
      </c>
      <c r="E91" s="96" t="str">
        <f t="shared" si="2"/>
        <v/>
      </c>
      <c r="F91" s="113"/>
    </row>
    <row r="92" spans="1:6" ht="63.75" x14ac:dyDescent="0.2">
      <c r="A92" s="47" t="s">
        <v>889</v>
      </c>
      <c r="B92" s="47" t="s">
        <v>890</v>
      </c>
      <c r="C92" s="84" t="s">
        <v>54</v>
      </c>
      <c r="D92" s="134">
        <v>100</v>
      </c>
      <c r="E92" s="96" t="str">
        <f t="shared" si="2"/>
        <v/>
      </c>
      <c r="F92" s="113"/>
    </row>
    <row r="93" spans="1:6" x14ac:dyDescent="0.2">
      <c r="A93" s="47" t="s">
        <v>891</v>
      </c>
      <c r="B93" s="93" t="s">
        <v>892</v>
      </c>
      <c r="C93" s="84"/>
      <c r="D93" s="134"/>
      <c r="E93" s="96"/>
      <c r="F93" s="113"/>
    </row>
    <row r="94" spans="1:6" ht="63.75" x14ac:dyDescent="0.2">
      <c r="A94" s="47" t="s">
        <v>893</v>
      </c>
      <c r="B94" s="47" t="s">
        <v>894</v>
      </c>
      <c r="C94" s="84" t="s">
        <v>54</v>
      </c>
      <c r="D94" s="134">
        <v>25</v>
      </c>
      <c r="E94" s="96" t="str">
        <f t="shared" si="2"/>
        <v/>
      </c>
      <c r="F94" s="113"/>
    </row>
    <row r="95" spans="1:6" ht="25.5" x14ac:dyDescent="0.2">
      <c r="A95" s="47" t="s">
        <v>895</v>
      </c>
      <c r="B95" s="47" t="s">
        <v>896</v>
      </c>
      <c r="C95" s="84" t="s">
        <v>54</v>
      </c>
      <c r="D95" s="134">
        <v>25</v>
      </c>
      <c r="E95" s="96" t="str">
        <f t="shared" si="2"/>
        <v/>
      </c>
      <c r="F95" s="113"/>
    </row>
    <row r="96" spans="1:6" ht="63.75" x14ac:dyDescent="0.2">
      <c r="A96" s="47" t="s">
        <v>897</v>
      </c>
      <c r="B96" s="47" t="s">
        <v>898</v>
      </c>
      <c r="C96" s="84" t="s">
        <v>54</v>
      </c>
      <c r="D96" s="134">
        <v>25</v>
      </c>
      <c r="E96" s="96" t="str">
        <f t="shared" si="2"/>
        <v/>
      </c>
      <c r="F96" s="113"/>
    </row>
    <row r="97" spans="1:6" ht="51" x14ac:dyDescent="0.2">
      <c r="A97" s="47" t="s">
        <v>899</v>
      </c>
      <c r="B97" s="47" t="s">
        <v>900</v>
      </c>
      <c r="C97" s="84" t="s">
        <v>54</v>
      </c>
      <c r="D97" s="134">
        <v>25</v>
      </c>
      <c r="E97" s="96" t="str">
        <f t="shared" si="2"/>
        <v/>
      </c>
      <c r="F97" s="113"/>
    </row>
    <row r="98" spans="1:6" ht="38.25" x14ac:dyDescent="0.2">
      <c r="A98" s="47" t="s">
        <v>901</v>
      </c>
      <c r="B98" s="47" t="s">
        <v>902</v>
      </c>
      <c r="C98" s="84" t="s">
        <v>866</v>
      </c>
      <c r="D98" s="134">
        <v>10</v>
      </c>
      <c r="E98" s="96"/>
      <c r="F98" s="113"/>
    </row>
    <row r="99" spans="1:6" ht="25.5" x14ac:dyDescent="0.2">
      <c r="A99" s="47" t="s">
        <v>903</v>
      </c>
      <c r="B99" s="47" t="s">
        <v>904</v>
      </c>
      <c r="C99" s="84" t="s">
        <v>170</v>
      </c>
      <c r="D99" s="134" t="s">
        <v>1047</v>
      </c>
      <c r="E99" s="96" t="str">
        <f t="shared" si="2"/>
        <v>N/A</v>
      </c>
      <c r="F99" s="113" t="str">
        <f t="shared" si="3"/>
        <v>-</v>
      </c>
    </row>
    <row r="100" spans="1:6" x14ac:dyDescent="0.2">
      <c r="A100" s="47"/>
      <c r="B100" s="47"/>
      <c r="C100" s="84"/>
      <c r="D100" s="134"/>
      <c r="E100" s="96"/>
      <c r="F100" s="113"/>
    </row>
    <row r="101" spans="1:6" x14ac:dyDescent="0.2">
      <c r="A101" s="47" t="s">
        <v>905</v>
      </c>
      <c r="B101" s="93" t="s">
        <v>906</v>
      </c>
      <c r="C101" s="84"/>
      <c r="D101" s="134"/>
      <c r="E101" s="96"/>
      <c r="F101" s="113"/>
    </row>
    <row r="102" spans="1:6" ht="25.5" x14ac:dyDescent="0.2">
      <c r="A102" s="47" t="s">
        <v>907</v>
      </c>
      <c r="B102" s="47" t="s">
        <v>908</v>
      </c>
      <c r="C102" s="84" t="s">
        <v>54</v>
      </c>
      <c r="D102" s="134" t="s">
        <v>1047</v>
      </c>
      <c r="E102" s="96" t="str">
        <f t="shared" si="2"/>
        <v>N/A</v>
      </c>
      <c r="F102" s="113" t="str">
        <f t="shared" si="3"/>
        <v>-</v>
      </c>
    </row>
    <row r="103" spans="1:6" ht="25.5" x14ac:dyDescent="0.2">
      <c r="A103" s="47" t="s">
        <v>909</v>
      </c>
      <c r="B103" s="47" t="s">
        <v>910</v>
      </c>
      <c r="C103" s="84" t="s">
        <v>54</v>
      </c>
      <c r="D103" s="134" t="s">
        <v>1047</v>
      </c>
      <c r="E103" s="96" t="str">
        <f t="shared" si="2"/>
        <v>N/A</v>
      </c>
      <c r="F103" s="113" t="str">
        <f t="shared" si="3"/>
        <v>-</v>
      </c>
    </row>
    <row r="104" spans="1:6" ht="25.5" x14ac:dyDescent="0.2">
      <c r="A104" s="47" t="s">
        <v>911</v>
      </c>
      <c r="B104" s="47" t="s">
        <v>912</v>
      </c>
      <c r="C104" s="84" t="s">
        <v>54</v>
      </c>
      <c r="D104" s="134" t="s">
        <v>1047</v>
      </c>
      <c r="E104" s="96" t="str">
        <f t="shared" si="2"/>
        <v>N/A</v>
      </c>
      <c r="F104" s="113" t="str">
        <f t="shared" si="3"/>
        <v>-</v>
      </c>
    </row>
    <row r="105" spans="1:6" ht="25.5" x14ac:dyDescent="0.2">
      <c r="A105" s="47" t="s">
        <v>913</v>
      </c>
      <c r="B105" s="47" t="s">
        <v>914</v>
      </c>
      <c r="C105" s="84" t="s">
        <v>54</v>
      </c>
      <c r="D105" s="134" t="s">
        <v>1047</v>
      </c>
      <c r="E105" s="96" t="str">
        <f t="shared" si="2"/>
        <v>N/A</v>
      </c>
      <c r="F105" s="113" t="str">
        <f t="shared" si="3"/>
        <v>-</v>
      </c>
    </row>
    <row r="106" spans="1:6" ht="25.5" x14ac:dyDescent="0.2">
      <c r="A106" s="47" t="s">
        <v>915</v>
      </c>
      <c r="B106" s="47" t="s">
        <v>916</v>
      </c>
      <c r="C106" s="84" t="s">
        <v>54</v>
      </c>
      <c r="D106" s="134" t="s">
        <v>1047</v>
      </c>
      <c r="E106" s="96" t="str">
        <f t="shared" si="2"/>
        <v>N/A</v>
      </c>
      <c r="F106" s="113" t="str">
        <f t="shared" si="3"/>
        <v>-</v>
      </c>
    </row>
    <row r="107" spans="1:6" ht="12.75" customHeight="1" x14ac:dyDescent="0.2">
      <c r="A107" s="47" t="s">
        <v>917</v>
      </c>
      <c r="B107" s="47" t="s">
        <v>918</v>
      </c>
      <c r="C107" s="84" t="s">
        <v>54</v>
      </c>
      <c r="D107" s="134" t="s">
        <v>1047</v>
      </c>
      <c r="E107" s="96" t="str">
        <f t="shared" si="2"/>
        <v>N/A</v>
      </c>
      <c r="F107" s="113" t="str">
        <f t="shared" si="3"/>
        <v>-</v>
      </c>
    </row>
    <row r="108" spans="1:6" ht="25.5" x14ac:dyDescent="0.2">
      <c r="A108" s="47" t="s">
        <v>919</v>
      </c>
      <c r="B108" s="47" t="s">
        <v>920</v>
      </c>
      <c r="C108" s="84" t="s">
        <v>54</v>
      </c>
      <c r="D108" s="134" t="s">
        <v>1047</v>
      </c>
      <c r="E108" s="96" t="str">
        <f t="shared" si="2"/>
        <v>N/A</v>
      </c>
      <c r="F108" s="113" t="str">
        <f t="shared" si="3"/>
        <v>-</v>
      </c>
    </row>
    <row r="109" spans="1:6" ht="25.5" x14ac:dyDescent="0.2">
      <c r="A109" s="47" t="s">
        <v>921</v>
      </c>
      <c r="B109" s="47" t="s">
        <v>922</v>
      </c>
      <c r="C109" s="84" t="s">
        <v>54</v>
      </c>
      <c r="D109" s="134" t="s">
        <v>1047</v>
      </c>
      <c r="E109" s="96" t="str">
        <f t="shared" si="2"/>
        <v>N/A</v>
      </c>
      <c r="F109" s="113" t="str">
        <f t="shared" si="3"/>
        <v>-</v>
      </c>
    </row>
    <row r="110" spans="1:6" ht="25.5" x14ac:dyDescent="0.2">
      <c r="A110" s="47" t="s">
        <v>923</v>
      </c>
      <c r="B110" s="47" t="s">
        <v>924</v>
      </c>
      <c r="C110" s="84" t="s">
        <v>54</v>
      </c>
      <c r="D110" s="134" t="s">
        <v>1047</v>
      </c>
      <c r="E110" s="96" t="str">
        <f t="shared" si="2"/>
        <v>N/A</v>
      </c>
      <c r="F110" s="113" t="str">
        <f t="shared" si="3"/>
        <v>-</v>
      </c>
    </row>
    <row r="111" spans="1:6" ht="25.5" x14ac:dyDescent="0.2">
      <c r="A111" s="47" t="s">
        <v>925</v>
      </c>
      <c r="B111" s="47" t="s">
        <v>926</v>
      </c>
      <c r="C111" s="84" t="s">
        <v>54</v>
      </c>
      <c r="D111" s="134" t="s">
        <v>1047</v>
      </c>
      <c r="E111" s="96" t="str">
        <f t="shared" si="2"/>
        <v>N/A</v>
      </c>
      <c r="F111" s="113" t="str">
        <f t="shared" si="3"/>
        <v>-</v>
      </c>
    </row>
    <row r="112" spans="1:6" ht="25.5" x14ac:dyDescent="0.2">
      <c r="A112" s="47" t="s">
        <v>927</v>
      </c>
      <c r="B112" s="47" t="s">
        <v>928</v>
      </c>
      <c r="C112" s="84" t="s">
        <v>54</v>
      </c>
      <c r="D112" s="134" t="s">
        <v>1047</v>
      </c>
      <c r="E112" s="96" t="str">
        <f t="shared" si="2"/>
        <v>N/A</v>
      </c>
      <c r="F112" s="113" t="str">
        <f t="shared" si="3"/>
        <v>-</v>
      </c>
    </row>
    <row r="113" spans="1:6" ht="25.5" x14ac:dyDescent="0.2">
      <c r="A113" s="47" t="s">
        <v>929</v>
      </c>
      <c r="B113" s="47" t="s">
        <v>930</v>
      </c>
      <c r="C113" s="84" t="s">
        <v>54</v>
      </c>
      <c r="D113" s="134" t="s">
        <v>1047</v>
      </c>
      <c r="E113" s="96" t="str">
        <f t="shared" si="2"/>
        <v>N/A</v>
      </c>
      <c r="F113" s="113" t="str">
        <f t="shared" si="3"/>
        <v>-</v>
      </c>
    </row>
    <row r="114" spans="1:6" ht="25.5" x14ac:dyDescent="0.2">
      <c r="A114" s="47" t="s">
        <v>931</v>
      </c>
      <c r="B114" s="47" t="s">
        <v>932</v>
      </c>
      <c r="C114" s="84" t="s">
        <v>54</v>
      </c>
      <c r="D114" s="134" t="s">
        <v>1047</v>
      </c>
      <c r="E114" s="96" t="str">
        <f t="shared" si="2"/>
        <v>N/A</v>
      </c>
      <c r="F114" s="113" t="str">
        <f t="shared" si="3"/>
        <v>-</v>
      </c>
    </row>
    <row r="115" spans="1:6" x14ac:dyDescent="0.2">
      <c r="A115" s="47" t="s">
        <v>933</v>
      </c>
      <c r="B115" s="47" t="s">
        <v>934</v>
      </c>
      <c r="C115" s="84" t="s">
        <v>54</v>
      </c>
      <c r="D115" s="134">
        <v>100</v>
      </c>
      <c r="E115" s="96" t="str">
        <f t="shared" si="2"/>
        <v/>
      </c>
      <c r="F115" s="113"/>
    </row>
    <row r="116" spans="1:6" ht="25.5" x14ac:dyDescent="0.2">
      <c r="A116" s="47" t="s">
        <v>935</v>
      </c>
      <c r="B116" s="47" t="s">
        <v>936</v>
      </c>
      <c r="C116" s="84" t="s">
        <v>54</v>
      </c>
      <c r="D116" s="134" t="s">
        <v>1047</v>
      </c>
      <c r="E116" s="96" t="str">
        <f t="shared" si="2"/>
        <v>N/A</v>
      </c>
      <c r="F116" s="113" t="str">
        <f t="shared" si="3"/>
        <v>-</v>
      </c>
    </row>
    <row r="117" spans="1:6" ht="25.5" x14ac:dyDescent="0.2">
      <c r="A117" s="47" t="s">
        <v>937</v>
      </c>
      <c r="B117" s="47" t="s">
        <v>938</v>
      </c>
      <c r="C117" s="84" t="s">
        <v>54</v>
      </c>
      <c r="D117" s="134" t="s">
        <v>1047</v>
      </c>
      <c r="E117" s="96" t="str">
        <f t="shared" si="2"/>
        <v>N/A</v>
      </c>
      <c r="F117" s="113" t="str">
        <f t="shared" si="3"/>
        <v>-</v>
      </c>
    </row>
    <row r="118" spans="1:6" ht="25.5" x14ac:dyDescent="0.2">
      <c r="A118" s="47" t="s">
        <v>939</v>
      </c>
      <c r="B118" s="47" t="s">
        <v>940</v>
      </c>
      <c r="C118" s="84" t="s">
        <v>54</v>
      </c>
      <c r="D118" s="134" t="s">
        <v>1047</v>
      </c>
      <c r="E118" s="96" t="str">
        <f t="shared" si="2"/>
        <v>N/A</v>
      </c>
      <c r="F118" s="113" t="str">
        <f t="shared" si="3"/>
        <v>-</v>
      </c>
    </row>
    <row r="119" spans="1:6" ht="25.5" x14ac:dyDescent="0.2">
      <c r="A119" s="47" t="s">
        <v>941</v>
      </c>
      <c r="B119" s="47" t="s">
        <v>942</v>
      </c>
      <c r="C119" s="84" t="s">
        <v>54</v>
      </c>
      <c r="D119" s="134">
        <v>200</v>
      </c>
      <c r="E119" s="96" t="str">
        <f t="shared" si="2"/>
        <v/>
      </c>
      <c r="F119" s="113"/>
    </row>
    <row r="120" spans="1:6" ht="38.25" x14ac:dyDescent="0.2">
      <c r="A120" s="47" t="s">
        <v>943</v>
      </c>
      <c r="B120" s="47" t="s">
        <v>944</v>
      </c>
      <c r="C120" s="84" t="s">
        <v>54</v>
      </c>
      <c r="D120" s="134">
        <v>15</v>
      </c>
      <c r="E120" s="96" t="str">
        <f t="shared" si="2"/>
        <v/>
      </c>
      <c r="F120" s="113"/>
    </row>
    <row r="121" spans="1:6" ht="25.5" x14ac:dyDescent="0.2">
      <c r="A121" s="47" t="s">
        <v>945</v>
      </c>
      <c r="B121" s="47" t="s">
        <v>946</v>
      </c>
      <c r="C121" s="84" t="s">
        <v>54</v>
      </c>
      <c r="D121" s="134" t="s">
        <v>1047</v>
      </c>
      <c r="E121" s="96" t="str">
        <f t="shared" si="2"/>
        <v>N/A</v>
      </c>
      <c r="F121" s="113" t="str">
        <f t="shared" si="3"/>
        <v>-</v>
      </c>
    </row>
    <row r="122" spans="1:6" ht="25.5" x14ac:dyDescent="0.2">
      <c r="A122" s="47" t="s">
        <v>947</v>
      </c>
      <c r="B122" s="47" t="s">
        <v>948</v>
      </c>
      <c r="C122" s="84" t="s">
        <v>54</v>
      </c>
      <c r="D122" s="134" t="s">
        <v>1047</v>
      </c>
      <c r="E122" s="96" t="str">
        <f t="shared" si="2"/>
        <v>N/A</v>
      </c>
      <c r="F122" s="113" t="str">
        <f t="shared" si="3"/>
        <v>-</v>
      </c>
    </row>
    <row r="123" spans="1:6" ht="38.25" x14ac:dyDescent="0.2">
      <c r="A123" s="47"/>
      <c r="B123" s="93" t="s">
        <v>949</v>
      </c>
      <c r="C123" s="84"/>
      <c r="D123" s="134"/>
      <c r="E123" s="96"/>
      <c r="F123" s="113"/>
    </row>
    <row r="124" spans="1:6" ht="51" x14ac:dyDescent="0.2">
      <c r="A124" s="47" t="s">
        <v>950</v>
      </c>
      <c r="B124" s="47" t="s">
        <v>951</v>
      </c>
      <c r="C124" s="84" t="s">
        <v>54</v>
      </c>
      <c r="D124" s="134" t="s">
        <v>1047</v>
      </c>
      <c r="E124" s="96" t="str">
        <f t="shared" si="2"/>
        <v>N/A</v>
      </c>
      <c r="F124" s="113" t="str">
        <f t="shared" si="3"/>
        <v>-</v>
      </c>
    </row>
    <row r="125" spans="1:6" ht="76.5" x14ac:dyDescent="0.2">
      <c r="A125" s="47" t="s">
        <v>952</v>
      </c>
      <c r="B125" s="47" t="s">
        <v>953</v>
      </c>
      <c r="C125" s="84" t="s">
        <v>54</v>
      </c>
      <c r="D125" s="134" t="s">
        <v>1047</v>
      </c>
      <c r="E125" s="96" t="str">
        <f t="shared" si="2"/>
        <v>N/A</v>
      </c>
      <c r="F125" s="113" t="str">
        <f t="shared" si="3"/>
        <v>-</v>
      </c>
    </row>
    <row r="126" spans="1:6" ht="114.75" x14ac:dyDescent="0.2">
      <c r="A126" s="47" t="s">
        <v>954</v>
      </c>
      <c r="B126" s="47" t="s">
        <v>955</v>
      </c>
      <c r="C126" s="84" t="s">
        <v>54</v>
      </c>
      <c r="D126" s="134" t="s">
        <v>1047</v>
      </c>
      <c r="E126" s="96" t="str">
        <f t="shared" si="2"/>
        <v>N/A</v>
      </c>
      <c r="F126" s="113" t="str">
        <f t="shared" si="3"/>
        <v>-</v>
      </c>
    </row>
    <row r="127" spans="1:6" ht="12.75" customHeight="1" x14ac:dyDescent="0.2">
      <c r="A127" s="17"/>
      <c r="B127" s="13" t="s">
        <v>956</v>
      </c>
      <c r="C127" s="14"/>
      <c r="D127" s="14"/>
      <c r="E127" s="15"/>
      <c r="F127" s="116"/>
    </row>
    <row r="128" spans="1:6" x14ac:dyDescent="0.2">
      <c r="E128" s="22"/>
    </row>
    <row r="129" spans="5:5" x14ac:dyDescent="0.2">
      <c r="E129" s="22"/>
    </row>
    <row r="130" spans="5:5" x14ac:dyDescent="0.2">
      <c r="E130" s="22"/>
    </row>
    <row r="131" spans="5:5" x14ac:dyDescent="0.2">
      <c r="E131" s="22"/>
    </row>
    <row r="132" spans="5:5" x14ac:dyDescent="0.2">
      <c r="E132" s="22"/>
    </row>
    <row r="133" spans="5:5" x14ac:dyDescent="0.2">
      <c r="E133" s="22"/>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3C4F-4326-4F58-A251-4586593D5E7E}">
  <dimension ref="A2:F22"/>
  <sheetViews>
    <sheetView view="pageLayout" zoomScaleNormal="100" zoomScaleSheetLayoutView="100" workbookViewId="0">
      <selection activeCell="H27" sqref="H27"/>
    </sheetView>
  </sheetViews>
  <sheetFormatPr defaultColWidth="9.140625" defaultRowHeight="12.75" x14ac:dyDescent="0.2"/>
  <cols>
    <col min="1" max="1" width="9.140625" style="16"/>
    <col min="2" max="2" width="35.5703125" style="16" customWidth="1"/>
    <col min="3" max="3" width="9.28515625" style="21" customWidth="1"/>
    <col min="4" max="4" width="11.42578125" style="21" customWidth="1"/>
    <col min="5" max="5" width="11.42578125" style="22" customWidth="1"/>
    <col min="6" max="6" width="11.42578125" style="23" customWidth="1"/>
    <col min="7" max="16384" width="9.140625" style="16"/>
  </cols>
  <sheetData>
    <row r="2" spans="1:6" x14ac:dyDescent="0.2">
      <c r="A2" s="1" t="s">
        <v>0</v>
      </c>
      <c r="B2" s="1" t="s">
        <v>1</v>
      </c>
      <c r="C2" s="1" t="s">
        <v>2</v>
      </c>
      <c r="D2" s="1" t="s">
        <v>3</v>
      </c>
      <c r="E2" s="2" t="s">
        <v>4</v>
      </c>
      <c r="F2" s="3" t="s">
        <v>5</v>
      </c>
    </row>
    <row r="3" spans="1:6" x14ac:dyDescent="0.2">
      <c r="A3" s="40"/>
      <c r="B3" s="40"/>
      <c r="C3" s="41"/>
      <c r="D3" s="41"/>
      <c r="E3" s="61" t="s">
        <v>6</v>
      </c>
      <c r="F3" s="42" t="s">
        <v>6</v>
      </c>
    </row>
    <row r="4" spans="1:6" x14ac:dyDescent="0.2">
      <c r="A4" s="45" t="s">
        <v>957</v>
      </c>
      <c r="B4" s="45" t="s">
        <v>958</v>
      </c>
      <c r="C4" s="79"/>
      <c r="D4" s="79"/>
      <c r="E4" s="97"/>
      <c r="F4" s="87"/>
    </row>
    <row r="5" spans="1:6" ht="25.5" x14ac:dyDescent="0.2">
      <c r="A5" s="47"/>
      <c r="B5" s="93" t="s">
        <v>959</v>
      </c>
      <c r="C5" s="84"/>
      <c r="D5" s="84"/>
      <c r="E5" s="96"/>
      <c r="F5" s="89"/>
    </row>
    <row r="6" spans="1:6" x14ac:dyDescent="0.2">
      <c r="A6" s="47" t="s">
        <v>960</v>
      </c>
      <c r="B6" s="47" t="s">
        <v>961</v>
      </c>
      <c r="C6" s="84" t="s">
        <v>54</v>
      </c>
      <c r="D6" s="84">
        <v>100</v>
      </c>
      <c r="E6" s="96" t="str">
        <f t="shared" ref="E6:E11" si="0">IF(ISNUMBER(D6),"","N/A")</f>
        <v/>
      </c>
      <c r="F6" s="113"/>
    </row>
    <row r="7" spans="1:6" ht="25.5" x14ac:dyDescent="0.2">
      <c r="A7" s="47" t="s">
        <v>962</v>
      </c>
      <c r="B7" s="47" t="s">
        <v>963</v>
      </c>
      <c r="C7" s="84" t="s">
        <v>54</v>
      </c>
      <c r="D7" s="84" t="s">
        <v>1047</v>
      </c>
      <c r="E7" s="96" t="str">
        <f t="shared" si="0"/>
        <v>N/A</v>
      </c>
      <c r="F7" s="113" t="str">
        <f>IFERROR(IF(ISNUMBER(D7),D7*E7,"-"),"")</f>
        <v>-</v>
      </c>
    </row>
    <row r="8" spans="1:6" ht="25.5" x14ac:dyDescent="0.2">
      <c r="A8" s="9" t="s">
        <v>964</v>
      </c>
      <c r="B8" s="9" t="s">
        <v>965</v>
      </c>
      <c r="C8" s="11" t="s">
        <v>54</v>
      </c>
      <c r="D8" s="84" t="s">
        <v>1047</v>
      </c>
      <c r="E8" s="96" t="s">
        <v>1215</v>
      </c>
      <c r="F8" s="113" t="s">
        <v>1035</v>
      </c>
    </row>
    <row r="9" spans="1:6" x14ac:dyDescent="0.2">
      <c r="A9" s="9" t="s">
        <v>966</v>
      </c>
      <c r="B9" s="9" t="s">
        <v>967</v>
      </c>
      <c r="C9" s="11" t="s">
        <v>54</v>
      </c>
      <c r="D9" s="84">
        <v>10</v>
      </c>
      <c r="E9" s="96"/>
      <c r="F9" s="113"/>
    </row>
    <row r="10" spans="1:6" x14ac:dyDescent="0.2">
      <c r="A10" s="9" t="s">
        <v>968</v>
      </c>
      <c r="B10" s="9" t="s">
        <v>969</v>
      </c>
      <c r="C10" s="11" t="s">
        <v>54</v>
      </c>
      <c r="D10" s="84">
        <v>100</v>
      </c>
      <c r="E10" s="96" t="str">
        <f t="shared" si="0"/>
        <v/>
      </c>
      <c r="F10" s="113"/>
    </row>
    <row r="11" spans="1:6" x14ac:dyDescent="0.2">
      <c r="A11" s="9" t="s">
        <v>970</v>
      </c>
      <c r="B11" s="9" t="s">
        <v>971</v>
      </c>
      <c r="C11" s="11" t="s">
        <v>54</v>
      </c>
      <c r="D11" s="84">
        <v>50</v>
      </c>
      <c r="E11" s="96" t="str">
        <f t="shared" si="0"/>
        <v/>
      </c>
      <c r="F11" s="113"/>
    </row>
    <row r="12" spans="1:6" ht="12.75" customHeight="1" x14ac:dyDescent="0.2">
      <c r="A12" s="17"/>
      <c r="B12" s="13" t="s">
        <v>972</v>
      </c>
      <c r="C12" s="14"/>
      <c r="D12" s="14"/>
      <c r="E12" s="15"/>
      <c r="F12" s="116"/>
    </row>
    <row r="22" spans="6:6" x14ac:dyDescent="0.2">
      <c r="F22" s="71"/>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E330-AC8D-4CEF-A470-CF0EE76385B1}">
  <dimension ref="A2:N14"/>
  <sheetViews>
    <sheetView view="pageLayout" zoomScaleNormal="100" zoomScaleSheetLayoutView="100" workbookViewId="0">
      <selection activeCell="H27" sqref="H27"/>
    </sheetView>
  </sheetViews>
  <sheetFormatPr defaultRowHeight="15" x14ac:dyDescent="0.25"/>
  <cols>
    <col min="2" max="2" width="43.85546875" style="146" customWidth="1"/>
    <col min="3" max="4" width="8.85546875" style="146"/>
  </cols>
  <sheetData>
    <row r="2" spans="1:14" x14ac:dyDescent="0.25">
      <c r="A2" s="126" t="s">
        <v>0</v>
      </c>
      <c r="B2" s="1" t="s">
        <v>1</v>
      </c>
      <c r="C2" s="1" t="s">
        <v>2</v>
      </c>
      <c r="D2" s="1" t="s">
        <v>3</v>
      </c>
      <c r="E2" s="126" t="s">
        <v>4</v>
      </c>
      <c r="F2" s="127" t="s">
        <v>5</v>
      </c>
    </row>
    <row r="3" spans="1:14" ht="18" x14ac:dyDescent="0.25">
      <c r="A3" s="128"/>
      <c r="B3" s="140" t="s">
        <v>1058</v>
      </c>
      <c r="C3" s="41"/>
      <c r="D3" s="41"/>
      <c r="E3" s="129" t="s">
        <v>6</v>
      </c>
      <c r="F3" s="130" t="s">
        <v>6</v>
      </c>
    </row>
    <row r="4" spans="1:14" ht="38.25" x14ac:dyDescent="0.25">
      <c r="A4" s="124" t="s">
        <v>1072</v>
      </c>
      <c r="B4" s="124" t="s">
        <v>1049</v>
      </c>
      <c r="C4" s="124" t="s">
        <v>1037</v>
      </c>
      <c r="D4" s="124" t="s">
        <v>1035</v>
      </c>
      <c r="E4" s="131" t="s">
        <v>1035</v>
      </c>
      <c r="F4" s="132"/>
    </row>
    <row r="5" spans="1:14" ht="25.5" x14ac:dyDescent="0.25">
      <c r="A5" s="124" t="s">
        <v>1073</v>
      </c>
      <c r="B5" s="124" t="s">
        <v>1158</v>
      </c>
      <c r="C5" s="124" t="s">
        <v>1071</v>
      </c>
      <c r="D5" s="124" t="s">
        <v>1070</v>
      </c>
      <c r="E5" s="141"/>
      <c r="F5" s="141"/>
    </row>
    <row r="6" spans="1:14" x14ac:dyDescent="0.25">
      <c r="A6" s="124"/>
      <c r="B6" s="124" t="s">
        <v>1087</v>
      </c>
      <c r="C6" s="124"/>
      <c r="D6" s="124"/>
      <c r="E6" s="141"/>
      <c r="F6" s="141"/>
    </row>
    <row r="7" spans="1:14" ht="51" x14ac:dyDescent="0.25">
      <c r="A7" s="124" t="s">
        <v>1134</v>
      </c>
      <c r="B7" s="124" t="s">
        <v>1137</v>
      </c>
      <c r="C7" s="124" t="s">
        <v>1089</v>
      </c>
      <c r="D7" s="124" t="s">
        <v>1070</v>
      </c>
      <c r="E7" s="141"/>
      <c r="F7" s="141"/>
    </row>
    <row r="8" spans="1:14" ht="25.5" x14ac:dyDescent="0.25">
      <c r="A8" s="124" t="s">
        <v>1135</v>
      </c>
      <c r="B8" s="124" t="s">
        <v>1138</v>
      </c>
      <c r="C8" s="124" t="s">
        <v>1089</v>
      </c>
      <c r="D8" s="124" t="s">
        <v>1070</v>
      </c>
      <c r="E8" s="141"/>
      <c r="F8" s="141"/>
    </row>
    <row r="9" spans="1:14" ht="25.5" x14ac:dyDescent="0.25">
      <c r="A9" s="124" t="s">
        <v>1136</v>
      </c>
      <c r="B9" s="124" t="s">
        <v>1139</v>
      </c>
      <c r="C9" s="124" t="s">
        <v>1089</v>
      </c>
      <c r="D9" s="124" t="s">
        <v>1070</v>
      </c>
      <c r="E9" s="141"/>
      <c r="F9" s="141"/>
      <c r="K9" s="146"/>
    </row>
    <row r="10" spans="1:14" x14ac:dyDescent="0.25">
      <c r="A10" s="124"/>
      <c r="B10" s="124" t="s">
        <v>347</v>
      </c>
      <c r="C10" s="124"/>
      <c r="D10" s="124"/>
      <c r="E10" s="141"/>
      <c r="F10" s="141"/>
    </row>
    <row r="11" spans="1:14" ht="25.5" x14ac:dyDescent="0.25">
      <c r="A11" s="124" t="s">
        <v>1140</v>
      </c>
      <c r="B11" s="124" t="s">
        <v>349</v>
      </c>
      <c r="C11" s="124" t="s">
        <v>1123</v>
      </c>
      <c r="D11" s="124" t="s">
        <v>1070</v>
      </c>
      <c r="E11" s="141"/>
      <c r="F11" s="141"/>
    </row>
    <row r="12" spans="1:14" ht="25.5" x14ac:dyDescent="0.25">
      <c r="A12" s="124" t="s">
        <v>1141</v>
      </c>
      <c r="B12" s="124" t="s">
        <v>351</v>
      </c>
      <c r="C12" s="124" t="s">
        <v>143</v>
      </c>
      <c r="D12" s="124" t="s">
        <v>1070</v>
      </c>
      <c r="E12" s="141"/>
      <c r="F12" s="141"/>
    </row>
    <row r="13" spans="1:14" ht="25.5" x14ac:dyDescent="0.25">
      <c r="A13" s="124" t="s">
        <v>1142</v>
      </c>
      <c r="B13" s="124" t="s">
        <v>1143</v>
      </c>
      <c r="C13" s="124" t="s">
        <v>11</v>
      </c>
      <c r="D13" s="124" t="s">
        <v>1070</v>
      </c>
      <c r="E13" s="141"/>
      <c r="F13" s="141"/>
    </row>
    <row r="14" spans="1:14" x14ac:dyDescent="0.25">
      <c r="A14" s="45"/>
      <c r="B14" s="13" t="s">
        <v>1133</v>
      </c>
      <c r="C14" s="38"/>
      <c r="D14" s="38"/>
      <c r="E14" s="39"/>
      <c r="F14" s="116"/>
      <c r="G14" s="146"/>
      <c r="H14" s="146"/>
      <c r="I14" s="146"/>
      <c r="J14" s="146"/>
      <c r="K14" s="146"/>
      <c r="L14" s="146"/>
      <c r="M14" s="146"/>
      <c r="N14" s="146"/>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DF92-241B-4EE1-B78D-453AE236F43E}">
  <sheetPr>
    <tabColor theme="0" tint="-4.9989318521683403E-2"/>
  </sheetPr>
  <dimension ref="A2:F4"/>
  <sheetViews>
    <sheetView view="pageLayout" zoomScaleNormal="100" zoomScaleSheetLayoutView="100" workbookViewId="0">
      <selection activeCell="H27" sqref="H27"/>
    </sheetView>
  </sheetViews>
  <sheetFormatPr defaultRowHeight="15" x14ac:dyDescent="0.25"/>
  <cols>
    <col min="2" max="2" width="35.140625" customWidth="1"/>
  </cols>
  <sheetData>
    <row r="2" spans="1:6" x14ac:dyDescent="0.25">
      <c r="A2" s="126" t="s">
        <v>0</v>
      </c>
      <c r="B2" s="126" t="s">
        <v>1</v>
      </c>
      <c r="C2" s="126" t="s">
        <v>2</v>
      </c>
      <c r="D2" s="126" t="s">
        <v>3</v>
      </c>
      <c r="E2" s="126" t="s">
        <v>4</v>
      </c>
      <c r="F2" s="127" t="s">
        <v>5</v>
      </c>
    </row>
    <row r="3" spans="1:6" ht="18" x14ac:dyDescent="0.25">
      <c r="A3" s="128"/>
      <c r="B3" s="140" t="s">
        <v>1058</v>
      </c>
      <c r="C3" s="129"/>
      <c r="D3" s="129"/>
      <c r="E3" s="129" t="s">
        <v>6</v>
      </c>
      <c r="F3" s="130" t="s">
        <v>6</v>
      </c>
    </row>
    <row r="4" spans="1:6" ht="45" x14ac:dyDescent="0.25">
      <c r="A4" s="162" t="s">
        <v>1492</v>
      </c>
      <c r="B4" s="163" t="s">
        <v>1493</v>
      </c>
      <c r="C4" s="131" t="s">
        <v>1037</v>
      </c>
      <c r="D4" s="131" t="s">
        <v>1035</v>
      </c>
      <c r="E4" s="131" t="s">
        <v>1035</v>
      </c>
      <c r="F4" s="132"/>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3EF2-4FA2-4A55-8CCB-F15E5CF14AE1}">
  <dimension ref="A2:F26"/>
  <sheetViews>
    <sheetView view="pageLayout" zoomScaleNormal="100" zoomScaleSheetLayoutView="100" workbookViewId="0">
      <selection activeCell="H27" sqref="H27"/>
    </sheetView>
  </sheetViews>
  <sheetFormatPr defaultColWidth="9.140625" defaultRowHeight="12.75" x14ac:dyDescent="0.2"/>
  <cols>
    <col min="1" max="1" width="9.140625" style="16"/>
    <col min="2" max="2" width="52.42578125" style="16" customWidth="1"/>
    <col min="3" max="3" width="11.42578125" style="21" customWidth="1"/>
    <col min="4" max="5" width="9.140625" style="16"/>
    <col min="6" max="6" width="10.5703125" style="16" bestFit="1" customWidth="1"/>
    <col min="7" max="16384" width="9.140625" style="16"/>
  </cols>
  <sheetData>
    <row r="2" spans="1:3" x14ac:dyDescent="0.2">
      <c r="A2" s="98" t="s">
        <v>973</v>
      </c>
      <c r="B2" s="98"/>
      <c r="C2" s="98"/>
    </row>
    <row r="3" spans="1:3" x14ac:dyDescent="0.2">
      <c r="A3" s="40"/>
      <c r="B3" s="40"/>
      <c r="C3" s="41" t="s">
        <v>6</v>
      </c>
    </row>
    <row r="4" spans="1:3" x14ac:dyDescent="0.2">
      <c r="A4" s="47" t="s">
        <v>974</v>
      </c>
      <c r="B4" s="47" t="s">
        <v>8</v>
      </c>
      <c r="C4" s="113"/>
    </row>
    <row r="5" spans="1:3" x14ac:dyDescent="0.2">
      <c r="A5" s="47" t="s">
        <v>975</v>
      </c>
      <c r="B5" s="47" t="s">
        <v>1163</v>
      </c>
      <c r="C5" s="113"/>
    </row>
    <row r="6" spans="1:3" x14ac:dyDescent="0.2">
      <c r="A6" s="47" t="s">
        <v>1060</v>
      </c>
      <c r="B6" s="47" t="s">
        <v>1162</v>
      </c>
      <c r="C6" s="113"/>
    </row>
    <row r="7" spans="1:3" x14ac:dyDescent="0.2">
      <c r="A7" s="47" t="s">
        <v>976</v>
      </c>
      <c r="B7" s="47" t="s">
        <v>1164</v>
      </c>
      <c r="C7" s="113"/>
    </row>
    <row r="8" spans="1:3" x14ac:dyDescent="0.2">
      <c r="A8" s="47" t="s">
        <v>1069</v>
      </c>
      <c r="B8" s="47" t="s">
        <v>1161</v>
      </c>
      <c r="C8" s="113"/>
    </row>
    <row r="9" spans="1:3" x14ac:dyDescent="0.2">
      <c r="A9" s="47" t="s">
        <v>977</v>
      </c>
      <c r="B9" s="47" t="s">
        <v>1160</v>
      </c>
      <c r="C9" s="113"/>
    </row>
    <row r="10" spans="1:3" x14ac:dyDescent="0.2">
      <c r="A10" s="47" t="s">
        <v>978</v>
      </c>
      <c r="B10" s="47" t="s">
        <v>377</v>
      </c>
      <c r="C10" s="113"/>
    </row>
    <row r="11" spans="1:3" ht="25.5" x14ac:dyDescent="0.2">
      <c r="A11" s="47" t="s">
        <v>979</v>
      </c>
      <c r="B11" s="47" t="s">
        <v>1159</v>
      </c>
      <c r="C11" s="113"/>
    </row>
    <row r="12" spans="1:3" x14ac:dyDescent="0.2">
      <c r="A12" s="47" t="s">
        <v>980</v>
      </c>
      <c r="B12" s="47" t="s">
        <v>1221</v>
      </c>
      <c r="C12" s="113"/>
    </row>
    <row r="13" spans="1:3" x14ac:dyDescent="0.2">
      <c r="A13" s="47" t="s">
        <v>981</v>
      </c>
      <c r="B13" s="47" t="s">
        <v>490</v>
      </c>
      <c r="C13" s="113"/>
    </row>
    <row r="14" spans="1:3" ht="12.75" customHeight="1" x14ac:dyDescent="0.2">
      <c r="A14" s="47" t="s">
        <v>982</v>
      </c>
      <c r="B14" s="47" t="s">
        <v>595</v>
      </c>
      <c r="C14" s="113"/>
    </row>
    <row r="15" spans="1:3" x14ac:dyDescent="0.2">
      <c r="A15" s="47" t="s">
        <v>983</v>
      </c>
      <c r="B15" s="47" t="s">
        <v>984</v>
      </c>
      <c r="C15" s="113"/>
    </row>
    <row r="16" spans="1:3" x14ac:dyDescent="0.2">
      <c r="A16" s="47" t="s">
        <v>985</v>
      </c>
      <c r="B16" s="47" t="s">
        <v>721</v>
      </c>
      <c r="C16" s="113"/>
    </row>
    <row r="17" spans="1:6" x14ac:dyDescent="0.2">
      <c r="A17" s="47" t="s">
        <v>986</v>
      </c>
      <c r="B17" s="47" t="s">
        <v>958</v>
      </c>
      <c r="C17" s="113"/>
    </row>
    <row r="18" spans="1:6" x14ac:dyDescent="0.2">
      <c r="A18" s="47" t="s">
        <v>1036</v>
      </c>
      <c r="B18" s="47" t="s">
        <v>1165</v>
      </c>
      <c r="C18" s="113"/>
    </row>
    <row r="19" spans="1:6" x14ac:dyDescent="0.2">
      <c r="A19" s="47" t="s">
        <v>1492</v>
      </c>
      <c r="B19" s="47" t="s">
        <v>1494</v>
      </c>
      <c r="C19" s="113"/>
    </row>
    <row r="20" spans="1:6" x14ac:dyDescent="0.2">
      <c r="A20" s="99"/>
      <c r="B20" s="99" t="s">
        <v>987</v>
      </c>
      <c r="C20" s="116"/>
    </row>
    <row r="26" spans="1:6" x14ac:dyDescent="0.2">
      <c r="F26" s="100"/>
    </row>
  </sheetData>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E92-51ED-4C8A-813C-A7F56DBE38D8}">
  <dimension ref="A2:F40"/>
  <sheetViews>
    <sheetView view="pageLayout" topLeftCell="A43" zoomScaleNormal="100" zoomScaleSheetLayoutView="80" workbookViewId="0">
      <selection activeCell="H27" sqref="H27"/>
    </sheetView>
  </sheetViews>
  <sheetFormatPr defaultColWidth="9.140625" defaultRowHeight="12.75" x14ac:dyDescent="0.2"/>
  <cols>
    <col min="1" max="1" width="9.140625" style="105"/>
    <col min="2" max="2" width="49.5703125" style="105" customWidth="1"/>
    <col min="3" max="4" width="11.42578125" style="112" customWidth="1"/>
    <col min="5" max="5" width="9.140625" style="105"/>
    <col min="6" max="6" width="10.42578125" style="105" bestFit="1" customWidth="1"/>
    <col min="7" max="16384" width="9.140625" style="105"/>
  </cols>
  <sheetData>
    <row r="2" spans="1:4" x14ac:dyDescent="0.2">
      <c r="A2" s="102" t="s">
        <v>990</v>
      </c>
      <c r="B2" s="103"/>
      <c r="C2" s="104"/>
      <c r="D2" s="104"/>
    </row>
    <row r="3" spans="1:4" x14ac:dyDescent="0.2">
      <c r="A3" s="103"/>
      <c r="B3" s="103"/>
      <c r="C3" s="104"/>
      <c r="D3" s="104"/>
    </row>
    <row r="4" spans="1:4" x14ac:dyDescent="0.2">
      <c r="A4" s="1" t="s">
        <v>991</v>
      </c>
      <c r="B4" s="1" t="s">
        <v>1</v>
      </c>
      <c r="C4" s="1" t="s">
        <v>2</v>
      </c>
      <c r="D4" s="1" t="s">
        <v>4</v>
      </c>
    </row>
    <row r="5" spans="1:4" x14ac:dyDescent="0.2">
      <c r="A5" s="106"/>
      <c r="B5" s="106"/>
      <c r="C5" s="107"/>
      <c r="D5" s="107" t="s">
        <v>6</v>
      </c>
    </row>
    <row r="6" spans="1:4" x14ac:dyDescent="0.2">
      <c r="A6" s="47">
        <v>1</v>
      </c>
      <c r="B6" s="47" t="s">
        <v>992</v>
      </c>
      <c r="C6" s="47" t="s">
        <v>143</v>
      </c>
      <c r="D6" s="45"/>
    </row>
    <row r="7" spans="1:4" x14ac:dyDescent="0.2">
      <c r="A7" s="47">
        <v>2</v>
      </c>
      <c r="B7" s="47" t="s">
        <v>993</v>
      </c>
      <c r="C7" s="47" t="s">
        <v>143</v>
      </c>
      <c r="D7" s="45"/>
    </row>
    <row r="8" spans="1:4" x14ac:dyDescent="0.2">
      <c r="A8" s="47">
        <v>3</v>
      </c>
      <c r="B8" s="47" t="s">
        <v>994</v>
      </c>
      <c r="C8" s="47" t="s">
        <v>143</v>
      </c>
      <c r="D8" s="45"/>
    </row>
    <row r="9" spans="1:4" ht="25.5" x14ac:dyDescent="0.2">
      <c r="A9" s="47">
        <v>4</v>
      </c>
      <c r="B9" s="47" t="s">
        <v>995</v>
      </c>
      <c r="C9" s="47" t="s">
        <v>143</v>
      </c>
      <c r="D9" s="45"/>
    </row>
    <row r="10" spans="1:4" ht="25.5" x14ac:dyDescent="0.2">
      <c r="A10" s="47">
        <v>5</v>
      </c>
      <c r="B10" s="47" t="s">
        <v>996</v>
      </c>
      <c r="C10" s="47" t="s">
        <v>143</v>
      </c>
      <c r="D10" s="45"/>
    </row>
    <row r="11" spans="1:4" ht="25.5" x14ac:dyDescent="0.2">
      <c r="A11" s="47">
        <v>6</v>
      </c>
      <c r="B11" s="47" t="s">
        <v>997</v>
      </c>
      <c r="C11" s="47" t="s">
        <v>170</v>
      </c>
      <c r="D11" s="45"/>
    </row>
    <row r="12" spans="1:4" ht="25.5" x14ac:dyDescent="0.2">
      <c r="A12" s="47">
        <v>7</v>
      </c>
      <c r="B12" s="47" t="s">
        <v>998</v>
      </c>
      <c r="C12" s="47" t="s">
        <v>999</v>
      </c>
      <c r="D12" s="45"/>
    </row>
    <row r="13" spans="1:4" x14ac:dyDescent="0.2">
      <c r="A13" s="47">
        <v>8</v>
      </c>
      <c r="B13" s="47" t="s">
        <v>1000</v>
      </c>
      <c r="C13" s="47" t="s">
        <v>999</v>
      </c>
      <c r="D13" s="45"/>
    </row>
    <row r="14" spans="1:4" ht="38.25" x14ac:dyDescent="0.2">
      <c r="A14" s="47">
        <v>9</v>
      </c>
      <c r="B14" s="47" t="s">
        <v>1001</v>
      </c>
      <c r="C14" s="47" t="s">
        <v>1002</v>
      </c>
      <c r="D14" s="45"/>
    </row>
    <row r="15" spans="1:4" x14ac:dyDescent="0.2">
      <c r="A15" s="47">
        <v>10</v>
      </c>
      <c r="B15" s="47" t="s">
        <v>1000</v>
      </c>
      <c r="C15" s="47" t="s">
        <v>1002</v>
      </c>
      <c r="D15" s="45"/>
    </row>
    <row r="16" spans="1:4" ht="25.5" x14ac:dyDescent="0.2">
      <c r="A16" s="47">
        <v>11</v>
      </c>
      <c r="B16" s="47" t="s">
        <v>1003</v>
      </c>
      <c r="C16" s="47" t="s">
        <v>1004</v>
      </c>
      <c r="D16" s="45"/>
    </row>
    <row r="17" spans="1:6" x14ac:dyDescent="0.2">
      <c r="A17" s="47">
        <v>12</v>
      </c>
      <c r="B17" s="47" t="s">
        <v>1005</v>
      </c>
      <c r="C17" s="47" t="s">
        <v>1004</v>
      </c>
      <c r="D17" s="45"/>
    </row>
    <row r="20" spans="1:6" x14ac:dyDescent="0.2">
      <c r="A20" s="102" t="s">
        <v>1006</v>
      </c>
      <c r="B20" s="103"/>
      <c r="C20" s="104"/>
      <c r="D20" s="104"/>
    </row>
    <row r="21" spans="1:6" x14ac:dyDescent="0.2">
      <c r="A21" s="103"/>
      <c r="B21" s="103"/>
      <c r="C21" s="104"/>
      <c r="D21" s="104"/>
    </row>
    <row r="22" spans="1:6" x14ac:dyDescent="0.2">
      <c r="A22" s="1" t="s">
        <v>991</v>
      </c>
      <c r="B22" s="1" t="s">
        <v>1</v>
      </c>
      <c r="C22" s="1" t="s">
        <v>2</v>
      </c>
      <c r="D22" s="1" t="s">
        <v>1007</v>
      </c>
      <c r="F22" s="108"/>
    </row>
    <row r="23" spans="1:6" x14ac:dyDescent="0.2">
      <c r="A23" s="106"/>
      <c r="B23" s="106"/>
      <c r="C23" s="107"/>
      <c r="D23" s="107" t="s">
        <v>6</v>
      </c>
    </row>
    <row r="24" spans="1:6" x14ac:dyDescent="0.2">
      <c r="A24" s="109" t="s">
        <v>1008</v>
      </c>
      <c r="B24" s="109"/>
      <c r="C24" s="109"/>
      <c r="D24" s="79"/>
      <c r="E24" s="110"/>
    </row>
    <row r="25" spans="1:6" x14ac:dyDescent="0.2">
      <c r="A25" s="47">
        <v>1</v>
      </c>
      <c r="B25" s="9" t="s">
        <v>1009</v>
      </c>
      <c r="C25" s="11" t="s">
        <v>54</v>
      </c>
      <c r="D25" s="104"/>
      <c r="E25" s="75"/>
    </row>
    <row r="26" spans="1:6" x14ac:dyDescent="0.2">
      <c r="A26" s="47">
        <v>2</v>
      </c>
      <c r="B26" s="9" t="s">
        <v>1010</v>
      </c>
      <c r="C26" s="11" t="s">
        <v>54</v>
      </c>
      <c r="D26" s="104"/>
      <c r="E26" s="75"/>
    </row>
    <row r="27" spans="1:6" x14ac:dyDescent="0.2">
      <c r="A27" s="47">
        <v>3</v>
      </c>
      <c r="B27" s="9" t="s">
        <v>1011</v>
      </c>
      <c r="C27" s="11" t="s">
        <v>54</v>
      </c>
      <c r="D27" s="104"/>
      <c r="E27" s="75"/>
    </row>
    <row r="28" spans="1:6" x14ac:dyDescent="0.2">
      <c r="A28" s="47">
        <v>4</v>
      </c>
      <c r="B28" s="9" t="s">
        <v>384</v>
      </c>
      <c r="C28" s="11" t="s">
        <v>54</v>
      </c>
      <c r="D28" s="104"/>
      <c r="E28" s="75"/>
    </row>
    <row r="29" spans="1:6" x14ac:dyDescent="0.2">
      <c r="A29" s="47">
        <v>5</v>
      </c>
      <c r="B29" s="9" t="s">
        <v>1012</v>
      </c>
      <c r="C29" s="11" t="s">
        <v>54</v>
      </c>
      <c r="D29" s="104"/>
      <c r="E29" s="75"/>
    </row>
    <row r="30" spans="1:6" x14ac:dyDescent="0.2">
      <c r="A30" s="47">
        <v>6</v>
      </c>
      <c r="B30" s="9" t="s">
        <v>1013</v>
      </c>
      <c r="C30" s="11" t="s">
        <v>54</v>
      </c>
      <c r="D30" s="104"/>
      <c r="E30" s="75"/>
    </row>
    <row r="31" spans="1:6" x14ac:dyDescent="0.2">
      <c r="A31" s="47">
        <v>7</v>
      </c>
      <c r="B31" s="9" t="s">
        <v>1014</v>
      </c>
      <c r="C31" s="11" t="s">
        <v>54</v>
      </c>
      <c r="D31" s="104"/>
      <c r="E31" s="75"/>
    </row>
    <row r="32" spans="1:6" x14ac:dyDescent="0.2">
      <c r="A32" s="47">
        <v>8</v>
      </c>
      <c r="B32" s="9" t="s">
        <v>1015</v>
      </c>
      <c r="C32" s="11" t="s">
        <v>54</v>
      </c>
      <c r="D32" s="104"/>
      <c r="E32" s="75"/>
    </row>
    <row r="33" spans="1:5" x14ac:dyDescent="0.2">
      <c r="A33" s="47">
        <v>9</v>
      </c>
      <c r="B33" s="47" t="s">
        <v>399</v>
      </c>
      <c r="C33" s="84" t="s">
        <v>54</v>
      </c>
      <c r="D33" s="104"/>
      <c r="E33" s="75"/>
    </row>
    <row r="34" spans="1:5" ht="25.5" x14ac:dyDescent="0.2">
      <c r="A34" s="47">
        <v>10</v>
      </c>
      <c r="B34" s="47" t="s">
        <v>1016</v>
      </c>
      <c r="C34" s="84" t="s">
        <v>54</v>
      </c>
      <c r="D34" s="104"/>
      <c r="E34" s="75"/>
    </row>
    <row r="35" spans="1:5" x14ac:dyDescent="0.2">
      <c r="A35" s="109" t="s">
        <v>1017</v>
      </c>
      <c r="B35" s="109"/>
      <c r="C35" s="109"/>
      <c r="D35" s="79"/>
      <c r="E35" s="110"/>
    </row>
    <row r="36" spans="1:5" x14ac:dyDescent="0.2">
      <c r="A36" s="47">
        <v>13</v>
      </c>
      <c r="B36" s="47" t="s">
        <v>1018</v>
      </c>
      <c r="C36" s="84" t="s">
        <v>54</v>
      </c>
      <c r="D36" s="104"/>
      <c r="E36" s="75"/>
    </row>
    <row r="37" spans="1:5" x14ac:dyDescent="0.2">
      <c r="A37" s="47">
        <v>14</v>
      </c>
      <c r="B37" s="47" t="s">
        <v>1019</v>
      </c>
      <c r="C37" s="84" t="s">
        <v>54</v>
      </c>
      <c r="D37" s="104"/>
      <c r="E37" s="75"/>
    </row>
    <row r="38" spans="1:5" x14ac:dyDescent="0.2">
      <c r="A38" s="47">
        <v>15</v>
      </c>
      <c r="B38" s="47" t="s">
        <v>399</v>
      </c>
      <c r="C38" s="84" t="s">
        <v>54</v>
      </c>
      <c r="D38" s="104"/>
      <c r="E38" s="75"/>
    </row>
    <row r="39" spans="1:5" x14ac:dyDescent="0.2">
      <c r="A39" s="9">
        <v>16</v>
      </c>
      <c r="B39" s="9" t="s">
        <v>1020</v>
      </c>
      <c r="C39" s="11" t="s">
        <v>54</v>
      </c>
      <c r="D39" s="104"/>
      <c r="E39" s="75"/>
    </row>
    <row r="40" spans="1:5" ht="29.25" customHeight="1" x14ac:dyDescent="0.2">
      <c r="A40" s="168" t="s">
        <v>1021</v>
      </c>
      <c r="B40" s="169"/>
      <c r="C40" s="169"/>
      <c r="D40" s="170"/>
      <c r="E40" s="111"/>
    </row>
  </sheetData>
  <mergeCells count="1">
    <mergeCell ref="A40:D40"/>
  </mergeCells>
  <pageMargins left="0.70866141732283472" right="0.70866141732283472" top="0.74803149606299213" bottom="0.74803149606299213" header="0.31496062992125984" footer="0.31496062992125984"/>
  <pageSetup paperSize="9" scale="75" orientation="portrait" r:id="rId1"/>
  <headerFooter>
    <oddHeader>&amp;L&amp;G&amp;R&amp;G</oddHeader>
    <oddFooter>&amp;L&amp;F&amp;R03/12/2020</oddFooter>
    <firstHeader>&amp;L&amp;G&amp;C&amp;F&amp;R&amp;G</first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08CF47C7269949B7D99D78FDE76BCC" ma:contentTypeVersion="13" ma:contentTypeDescription="Create a new document." ma:contentTypeScope="" ma:versionID="a4c5e6e9a1fadb911b62367bc0b6b97b">
  <xsd:schema xmlns:xsd="http://www.w3.org/2001/XMLSchema" xmlns:xs="http://www.w3.org/2001/XMLSchema" xmlns:p="http://schemas.microsoft.com/office/2006/metadata/properties" xmlns:ns3="82112050-31ba-4fd7-96e1-fcd22513e703" xmlns:ns4="742e0f04-3de1-44b9-9e25-16ae0042652f" targetNamespace="http://schemas.microsoft.com/office/2006/metadata/properties" ma:root="true" ma:fieldsID="62205c0e397eb6aec0af59dc0d704896" ns3:_="" ns4:_="">
    <xsd:import namespace="82112050-31ba-4fd7-96e1-fcd22513e703"/>
    <xsd:import namespace="742e0f04-3de1-44b9-9e25-16ae0042652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12050-31ba-4fd7-96e1-fcd22513e7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42e0f04-3de1-44b9-9e25-16ae0042652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CB3634-2DDA-4273-9214-74FF4B2B6DF1}">
  <ds:schemaRefs>
    <ds:schemaRef ds:uri="82112050-31ba-4fd7-96e1-fcd22513e703"/>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742e0f04-3de1-44b9-9e25-16ae0042652f"/>
    <ds:schemaRef ds:uri="http://schemas.microsoft.com/office/2006/metadata/propertie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366F6F4C-EB31-47C9-BACB-B2F772019D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112050-31ba-4fd7-96e1-fcd22513e703"/>
    <ds:schemaRef ds:uri="742e0f04-3de1-44b9-9e25-16ae004265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A19B58-F10C-4A0A-98E6-078E76F76C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28</vt:i4>
      </vt:variant>
    </vt:vector>
  </HeadingPairs>
  <TitlesOfParts>
    <vt:vector size="46" baseType="lpstr">
      <vt:lpstr>Section A</vt:lpstr>
      <vt:lpstr>Section B</vt:lpstr>
      <vt:lpstr>Section B.1</vt:lpstr>
      <vt:lpstr>Section C</vt:lpstr>
      <vt:lpstr>Section C.1</vt:lpstr>
      <vt:lpstr>Section D</vt:lpstr>
      <vt:lpstr>Section E</vt:lpstr>
      <vt:lpstr>Section F</vt:lpstr>
      <vt:lpstr>Section G</vt:lpstr>
      <vt:lpstr>Section H</vt:lpstr>
      <vt:lpstr>Section I</vt:lpstr>
      <vt:lpstr>Section J</vt:lpstr>
      <vt:lpstr>Section K</vt:lpstr>
      <vt:lpstr>Section L</vt:lpstr>
      <vt:lpstr>Section M - Structure Survey</vt:lpstr>
      <vt:lpstr>Section N - Utility Survey</vt:lpstr>
      <vt:lpstr>Summary</vt:lpstr>
      <vt:lpstr>Appendices</vt:lpstr>
      <vt:lpstr>'Section A'!Print_Area</vt:lpstr>
      <vt:lpstr>'Section B'!Print_Area</vt:lpstr>
      <vt:lpstr>'Section B.1'!Print_Area</vt:lpstr>
      <vt:lpstr>'Section C'!Print_Area</vt:lpstr>
      <vt:lpstr>'Section C.1'!Print_Area</vt:lpstr>
      <vt:lpstr>'Section D'!Print_Area</vt:lpstr>
      <vt:lpstr>'Section E'!Print_Area</vt:lpstr>
      <vt:lpstr>'Section F'!Print_Area</vt:lpstr>
      <vt:lpstr>'Section G'!Print_Area</vt:lpstr>
      <vt:lpstr>'Section H'!Print_Area</vt:lpstr>
      <vt:lpstr>'Section I'!Print_Area</vt:lpstr>
      <vt:lpstr>'Section J'!Print_Area</vt:lpstr>
      <vt:lpstr>'Section K'!Print_Area</vt:lpstr>
      <vt:lpstr>'Section L'!Print_Area</vt:lpstr>
      <vt:lpstr>'Section M - Structure Survey'!Print_Area</vt:lpstr>
      <vt:lpstr>'Section A'!Print_Titles</vt:lpstr>
      <vt:lpstr>'Section B'!Print_Titles</vt:lpstr>
      <vt:lpstr>'Section B.1'!Print_Titles</vt:lpstr>
      <vt:lpstr>'Section C'!Print_Titles</vt:lpstr>
      <vt:lpstr>'Section C.1'!Print_Titles</vt:lpstr>
      <vt:lpstr>'Section D'!Print_Titles</vt:lpstr>
      <vt:lpstr>'Section E'!Print_Titles</vt:lpstr>
      <vt:lpstr>'Section F'!Print_Titles</vt:lpstr>
      <vt:lpstr>'Section G'!Print_Titles</vt:lpstr>
      <vt:lpstr>'Section H'!Print_Titles</vt:lpstr>
      <vt:lpstr>'Section I'!Print_Titles</vt:lpstr>
      <vt:lpstr>'Section J'!Print_Titles</vt:lpstr>
      <vt:lpstr>'Section 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Phelan, David</dc:creator>
  <cp:lastModifiedBy>Rooney, Celine</cp:lastModifiedBy>
  <cp:lastPrinted>2020-12-02T14:49:09Z</cp:lastPrinted>
  <dcterms:created xsi:type="dcterms:W3CDTF">2019-07-23T08:39:33Z</dcterms:created>
  <dcterms:modified xsi:type="dcterms:W3CDTF">2020-12-02T15:20:07Z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y fmtid="{D5CDD505-2E9C-101B-9397-08002B2CF9AE}" pid="5" name="ContentTypeId">
    <vt:lpwstr>0x0101009D08CF47C7269949B7D99D78FDE76BCC</vt:lpwstr>
  </property>
</Properties>
</file>